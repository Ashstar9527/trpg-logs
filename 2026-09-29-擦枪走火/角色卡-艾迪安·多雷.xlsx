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mc:AlternateContent xmlns:mc="http://schemas.openxmlformats.org/markup-compatibility/2006">
    <mc:Choice Requires="x15">
      <x15ac:absPath xmlns:x15ac="http://schemas.microsoft.com/office/spreadsheetml/2010/11/ac" url="/Users/evie/Downloads/"/>
    </mc:Choice>
  </mc:AlternateContent>
  <xr:revisionPtr revIDLastSave="0" documentId="13_ncr:1_{7D4D6BB3-72B6-6B46-9D35-C66866A28EE6}" xr6:coauthVersionLast="47" xr6:coauthVersionMax="47" xr10:uidLastSave="{00000000-0000-0000-0000-000000000000}"/>
  <bookViews>
    <workbookView xWindow="11100" yWindow="600" windowWidth="24840" windowHeight="16620" activeTab="1"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1" l="1"/>
  <c r="M56" i="1" s="1"/>
  <c r="W55" i="1"/>
  <c r="AA55" i="1"/>
  <c r="AC55" i="1"/>
  <c r="AE55" i="1"/>
  <c r="AG55" i="1"/>
  <c r="AJ55" i="1"/>
  <c r="W56" i="1"/>
  <c r="AA56" i="1"/>
  <c r="AC56" i="1"/>
  <c r="AE56" i="1"/>
  <c r="AG56" i="1"/>
  <c r="AJ56" i="1"/>
  <c r="J12" i="2" l="1"/>
  <c r="K12" i="2"/>
  <c r="AE16" i="6"/>
  <c r="H14" i="2"/>
  <c r="I14" i="2"/>
  <c r="I15" i="2"/>
  <c r="J15" i="2"/>
  <c r="K15" i="2"/>
  <c r="L15" i="2"/>
  <c r="M12" i="2"/>
  <c r="I12" i="2"/>
  <c r="D12" i="2"/>
  <c r="H12" i="2"/>
  <c r="H15" i="2"/>
  <c r="M15" i="2"/>
  <c r="G16" i="2"/>
  <c r="D16" i="2"/>
  <c r="G17" i="12"/>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G4" i="7"/>
  <c r="E4" i="7"/>
  <c r="AE263" i="6"/>
  <c r="AD263" i="6"/>
  <c r="Z263" i="6"/>
  <c r="N247" i="6"/>
  <c r="M247" i="6"/>
  <c r="P232" i="6"/>
  <c r="O232" i="6"/>
  <c r="AF227" i="6"/>
  <c r="V227" i="6"/>
  <c r="U227" i="6"/>
  <c r="AF226" i="6"/>
  <c r="R226" i="6"/>
  <c r="Q226" i="6"/>
  <c r="T221" i="6"/>
  <c r="S221" i="6"/>
  <c r="F212" i="6"/>
  <c r="C212" i="6"/>
  <c r="B212" i="6"/>
  <c r="A129" i="6"/>
  <c r="X92" i="6"/>
  <c r="X91" i="6"/>
  <c r="AB61" i="6"/>
  <c r="E59" i="6"/>
  <c r="E53" i="6"/>
  <c r="J52" i="6"/>
  <c r="E52" i="6"/>
  <c r="S43" i="6"/>
  <c r="S42" i="6"/>
  <c r="S41" i="6"/>
  <c r="S39" i="6"/>
  <c r="AV38" i="6"/>
  <c r="S37" i="6"/>
  <c r="C37" i="6"/>
  <c r="C47" i="6" s="1"/>
  <c r="D47" i="6" s="1"/>
  <c r="D48" i="6" s="1"/>
  <c r="E31" i="6"/>
  <c r="D31" i="6"/>
  <c r="C31" i="6"/>
  <c r="AV30" i="6"/>
  <c r="AX27" i="6" s="1"/>
  <c r="BA14" i="6" s="1"/>
  <c r="AU130" i="1" s="1"/>
  <c r="E30" i="6"/>
  <c r="D30" i="6"/>
  <c r="C30" i="6"/>
  <c r="AV29" i="6"/>
  <c r="E29" i="6"/>
  <c r="D29" i="6"/>
  <c r="C29" i="6"/>
  <c r="AV28" i="6"/>
  <c r="E28" i="6"/>
  <c r="D28" i="6"/>
  <c r="C28" i="6"/>
  <c r="E27" i="6"/>
  <c r="D27" i="6"/>
  <c r="C27" i="6"/>
  <c r="C34" i="6" s="1"/>
  <c r="AV26" i="6"/>
  <c r="AE26" i="6"/>
  <c r="AV25" i="6"/>
  <c r="AB25" i="6"/>
  <c r="AA25" i="6"/>
  <c r="AD22" i="6" s="1"/>
  <c r="B25" i="6"/>
  <c r="C32" i="6" s="1"/>
  <c r="AE24" i="6"/>
  <c r="AE28" i="6" s="1"/>
  <c r="AB24" i="6"/>
  <c r="AA24" i="6"/>
  <c r="AB23" i="6"/>
  <c r="AA23" i="6"/>
  <c r="AB22" i="6"/>
  <c r="AA22" i="6"/>
  <c r="AS21" i="6"/>
  <c r="BB28" i="6" s="1"/>
  <c r="AR21" i="6"/>
  <c r="AB21" i="6"/>
  <c r="AA21" i="6"/>
  <c r="S21" i="6"/>
  <c r="R21" i="6"/>
  <c r="V18" i="6"/>
  <c r="W18" i="6" s="1"/>
  <c r="AQ17" i="6"/>
  <c r="AP17" i="6"/>
  <c r="AO17" i="6"/>
  <c r="AL17" i="6"/>
  <c r="AI17" i="6"/>
  <c r="AF17" i="6"/>
  <c r="V17" i="6"/>
  <c r="W17" i="6" s="1"/>
  <c r="AQ16" i="6"/>
  <c r="AP16" i="6"/>
  <c r="AO16" i="6"/>
  <c r="AL16" i="6"/>
  <c r="AI16" i="6"/>
  <c r="AF16" i="6"/>
  <c r="W16" i="6"/>
  <c r="V16" i="6"/>
  <c r="AS15" i="6"/>
  <c r="AR15" i="6"/>
  <c r="AE15" i="6"/>
  <c r="AD15" i="6"/>
  <c r="AC15" i="6"/>
  <c r="AB15" i="6"/>
  <c r="AA15" i="6"/>
  <c r="W15" i="6"/>
  <c r="V15" i="6"/>
  <c r="O14" i="6"/>
  <c r="I9" i="2" s="1"/>
  <c r="N14" i="6"/>
  <c r="F224" i="3" s="1"/>
  <c r="M14" i="6"/>
  <c r="I3" i="2" s="1"/>
  <c r="J3" i="2" s="1"/>
  <c r="L14" i="6"/>
  <c r="K14" i="6"/>
  <c r="J14" i="6"/>
  <c r="I14" i="6"/>
  <c r="H14" i="6"/>
  <c r="G14" i="6"/>
  <c r="E13" i="6"/>
  <c r="C13" i="6"/>
  <c r="AA12" i="6"/>
  <c r="T12" i="6"/>
  <c r="E12" i="6"/>
  <c r="C12" i="6"/>
  <c r="AF11" i="6"/>
  <c r="AA11" i="6"/>
  <c r="T11" i="6"/>
  <c r="E11" i="6"/>
  <c r="C11" i="6"/>
  <c r="AF10" i="6"/>
  <c r="AA10" i="6"/>
  <c r="T10" i="6"/>
  <c r="T9" i="6"/>
  <c r="T8" i="6"/>
  <c r="T7" i="6"/>
  <c r="T6" i="6"/>
  <c r="T5" i="6"/>
  <c r="C5" i="6"/>
  <c r="C7" i="6" s="1"/>
  <c r="B5" i="6"/>
  <c r="B7" i="6" s="1"/>
  <c r="C8" i="6" s="1"/>
  <c r="A5" i="6"/>
  <c r="T4" i="6"/>
  <c r="E4" i="6"/>
  <c r="E6" i="6" s="1"/>
  <c r="E3" i="6"/>
  <c r="E5" i="6" s="1"/>
  <c r="C74" i="5"/>
  <c r="A74" i="5"/>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11" i="3"/>
  <c r="F202" i="3"/>
  <c r="F177" i="3"/>
  <c r="F153" i="3"/>
  <c r="F125" i="3"/>
  <c r="F94" i="3"/>
  <c r="F93" i="3"/>
  <c r="F71" i="3"/>
  <c r="F70" i="3"/>
  <c r="F33" i="3"/>
  <c r="J23" i="3"/>
  <c r="U12" i="6" s="1"/>
  <c r="J22" i="3"/>
  <c r="U11" i="6" s="1"/>
  <c r="J20" i="3"/>
  <c r="U9" i="6" s="1"/>
  <c r="J19" i="3"/>
  <c r="U8" i="6" s="1"/>
  <c r="J18" i="3"/>
  <c r="U7" i="6" s="1"/>
  <c r="J17" i="3"/>
  <c r="U6" i="6" s="1"/>
  <c r="J16" i="3"/>
  <c r="U5" i="6" s="1"/>
  <c r="J15" i="3"/>
  <c r="U4" i="6" s="1"/>
  <c r="G3" i="3"/>
  <c r="B3" i="3"/>
  <c r="J90" i="2"/>
  <c r="E25" i="6" s="1"/>
  <c r="H90" i="2"/>
  <c r="D25" i="6" s="1"/>
  <c r="E90" i="2"/>
  <c r="C25" i="6" s="1"/>
  <c r="B90" i="2"/>
  <c r="W36" i="2"/>
  <c r="Y36" i="2" s="1"/>
  <c r="O36" i="2"/>
  <c r="C36" i="2"/>
  <c r="R35" i="2"/>
  <c r="Q35" i="2"/>
  <c r="S35" i="2" s="1"/>
  <c r="G35" i="2"/>
  <c r="C35" i="2"/>
  <c r="Q34" i="2"/>
  <c r="S34" i="2" s="1"/>
  <c r="G34" i="2"/>
  <c r="C34" i="2"/>
  <c r="AD33" i="2"/>
  <c r="Z33" i="2"/>
  <c r="Q33" i="2"/>
  <c r="N33" i="2" s="1"/>
  <c r="O33" i="2" s="1"/>
  <c r="G33" i="2"/>
  <c r="C33" i="2"/>
  <c r="AD32" i="2"/>
  <c r="Z32" i="2"/>
  <c r="X32" i="2"/>
  <c r="W32" i="2"/>
  <c r="Y32" i="2" s="1"/>
  <c r="S32" i="2"/>
  <c r="Q32" i="2"/>
  <c r="R32" i="2" s="1"/>
  <c r="G32" i="2"/>
  <c r="C32" i="2"/>
  <c r="AD31" i="2"/>
  <c r="Z31" i="2"/>
  <c r="Q31" i="2"/>
  <c r="R31" i="2" s="1"/>
  <c r="N31" i="2"/>
  <c r="G31" i="2"/>
  <c r="C31" i="2"/>
  <c r="AD30" i="2"/>
  <c r="Z30" i="2"/>
  <c r="G30" i="2"/>
  <c r="C30" i="2"/>
  <c r="AD29" i="2"/>
  <c r="Z29" i="2"/>
  <c r="G29" i="2"/>
  <c r="C29" i="2"/>
  <c r="AD28" i="2"/>
  <c r="Z28" i="2"/>
  <c r="H28" i="2"/>
  <c r="C28" i="2"/>
  <c r="AD27" i="2"/>
  <c r="Z27" i="2"/>
  <c r="AD26" i="2"/>
  <c r="Z26" i="2"/>
  <c r="X26" i="2"/>
  <c r="W26" i="2"/>
  <c r="Y26" i="2" s="1"/>
  <c r="K26" i="2"/>
  <c r="H26" i="2"/>
  <c r="E26" i="2"/>
  <c r="B26" i="2"/>
  <c r="AD25" i="2"/>
  <c r="Z25" i="2"/>
  <c r="K25" i="2"/>
  <c r="H25" i="2"/>
  <c r="E25" i="2"/>
  <c r="B25" i="2"/>
  <c r="AD24" i="2"/>
  <c r="Z24" i="2"/>
  <c r="K24" i="2"/>
  <c r="H24" i="2"/>
  <c r="E24" i="2"/>
  <c r="B24" i="2"/>
  <c r="AD23" i="2"/>
  <c r="Z23" i="2"/>
  <c r="K23" i="2"/>
  <c r="H23" i="2"/>
  <c r="E23" i="2"/>
  <c r="B23" i="2"/>
  <c r="K22" i="2"/>
  <c r="H22" i="2"/>
  <c r="E22" i="2"/>
  <c r="B22" i="2"/>
  <c r="Q20" i="2"/>
  <c r="S20" i="2" s="1"/>
  <c r="B20" i="2"/>
  <c r="M19" i="2"/>
  <c r="AB17" i="2"/>
  <c r="Z17" i="2"/>
  <c r="Q17" i="2"/>
  <c r="S17" i="2" s="1"/>
  <c r="N17" i="2"/>
  <c r="AB16" i="2"/>
  <c r="Z16" i="2"/>
  <c r="N16" i="2"/>
  <c r="M16" i="2"/>
  <c r="L16" i="2"/>
  <c r="K16" i="2"/>
  <c r="J16" i="2"/>
  <c r="I16" i="2"/>
  <c r="H16" i="2"/>
  <c r="C16" i="2"/>
  <c r="B16" i="2"/>
  <c r="AB15" i="2"/>
  <c r="Z15" i="2"/>
  <c r="Q15" i="2"/>
  <c r="R15" i="2" s="1"/>
  <c r="C15" i="2"/>
  <c r="B15" i="2"/>
  <c r="AB14" i="2"/>
  <c r="Z14" i="2"/>
  <c r="K14" i="2"/>
  <c r="J14" i="2"/>
  <c r="C14" i="2"/>
  <c r="B14" i="2"/>
  <c r="AB13" i="2"/>
  <c r="Z13" i="2"/>
  <c r="N13" i="2"/>
  <c r="M13" i="2"/>
  <c r="L13" i="2"/>
  <c r="K13" i="2"/>
  <c r="J13" i="2"/>
  <c r="I13" i="2"/>
  <c r="H13" i="2"/>
  <c r="G13" i="2"/>
  <c r="F13" i="2"/>
  <c r="E13" i="2"/>
  <c r="D13" i="2"/>
  <c r="C13" i="2"/>
  <c r="B13" i="2"/>
  <c r="AB12" i="2"/>
  <c r="Z12" i="2"/>
  <c r="Q12" i="2"/>
  <c r="R12" i="2" s="1"/>
  <c r="L12" i="2"/>
  <c r="C12" i="2"/>
  <c r="B12" i="2"/>
  <c r="AB11" i="2"/>
  <c r="Z11" i="2"/>
  <c r="W11" i="2"/>
  <c r="X11" i="2" s="1"/>
  <c r="Q11" i="2"/>
  <c r="S11" i="2" s="1"/>
  <c r="AB10" i="2"/>
  <c r="Z10" i="2"/>
  <c r="AB9" i="2"/>
  <c r="Z9" i="2"/>
  <c r="AB8" i="2"/>
  <c r="Z8" i="2"/>
  <c r="AB7" i="2"/>
  <c r="Z7" i="2"/>
  <c r="L7" i="2"/>
  <c r="J7" i="2"/>
  <c r="D6" i="2"/>
  <c r="L5" i="2"/>
  <c r="M5" i="2" s="1"/>
  <c r="I5" i="2"/>
  <c r="J6" i="2" s="1"/>
  <c r="F5" i="2"/>
  <c r="G5" i="2" s="1"/>
  <c r="D5" i="2"/>
  <c r="C5" i="2"/>
  <c r="AC4" i="2"/>
  <c r="Q4" i="2"/>
  <c r="R4" i="2" s="1"/>
  <c r="M4" i="2"/>
  <c r="AD3" i="2"/>
  <c r="AC3" i="2"/>
  <c r="AA3" i="2"/>
  <c r="Z3" i="2"/>
  <c r="X3" i="2"/>
  <c r="W3" i="2"/>
  <c r="Y3" i="2" s="1"/>
  <c r="T3" i="2"/>
  <c r="Q3" i="2"/>
  <c r="S3" i="2" s="1"/>
  <c r="N3" i="2"/>
  <c r="M3" i="2"/>
  <c r="L3" i="2"/>
  <c r="F3" i="2"/>
  <c r="G4" i="2" s="1"/>
  <c r="B2" i="2"/>
  <c r="Q141" i="1"/>
  <c r="BG129" i="1"/>
  <c r="B76" i="1"/>
  <c r="AU64" i="1"/>
  <c r="M14" i="2"/>
  <c r="L14" i="2"/>
  <c r="B50" i="1"/>
  <c r="AP49" i="1"/>
  <c r="AN49" i="1"/>
  <c r="AR49" i="1" s="1"/>
  <c r="Z49" i="1"/>
  <c r="J49" i="1"/>
  <c r="R49" i="1" s="1"/>
  <c r="D49" i="1"/>
  <c r="AN48" i="1"/>
  <c r="W35" i="2" s="1"/>
  <c r="Z48" i="1"/>
  <c r="R48" i="1"/>
  <c r="V48" i="1" s="1"/>
  <c r="D48" i="1"/>
  <c r="AN47" i="1"/>
  <c r="AR47" i="1" s="1"/>
  <c r="Z47" i="1"/>
  <c r="T47" i="1"/>
  <c r="R47" i="1"/>
  <c r="V47" i="1" s="1"/>
  <c r="D47" i="1"/>
  <c r="AN46" i="1"/>
  <c r="W33" i="2" s="1"/>
  <c r="Z46" i="1"/>
  <c r="V46" i="1"/>
  <c r="R46" i="1"/>
  <c r="T46" i="1" s="1"/>
  <c r="D46" i="1"/>
  <c r="AR45" i="1"/>
  <c r="AP45" i="1"/>
  <c r="AN45" i="1"/>
  <c r="Z45" i="1"/>
  <c r="V45" i="1"/>
  <c r="T45" i="1"/>
  <c r="R45" i="1"/>
  <c r="D45" i="1"/>
  <c r="AU44" i="1"/>
  <c r="AR44" i="1"/>
  <c r="AP44" i="1"/>
  <c r="AN44" i="1"/>
  <c r="W31" i="2" s="1"/>
  <c r="Z44" i="1"/>
  <c r="V44" i="1"/>
  <c r="R44" i="1"/>
  <c r="T44" i="1" s="1"/>
  <c r="D44" i="1"/>
  <c r="AN43" i="1"/>
  <c r="AR43" i="1" s="1"/>
  <c r="Z43" i="1"/>
  <c r="R43" i="1"/>
  <c r="V43" i="1" s="1"/>
  <c r="D43" i="1"/>
  <c r="AR42" i="1"/>
  <c r="AN42" i="1"/>
  <c r="W29" i="2" s="1"/>
  <c r="Z42" i="1"/>
  <c r="R42" i="1"/>
  <c r="D42" i="1"/>
  <c r="AN41" i="1"/>
  <c r="W28" i="2" s="1"/>
  <c r="Z41" i="1"/>
  <c r="J41" i="1"/>
  <c r="R41" i="1" s="1"/>
  <c r="D41" i="1"/>
  <c r="AN40" i="1"/>
  <c r="AR40" i="1" s="1"/>
  <c r="Z40" i="1"/>
  <c r="J40" i="1"/>
  <c r="R40" i="1" s="1"/>
  <c r="D40" i="1"/>
  <c r="AN39" i="1"/>
  <c r="AR39" i="1" s="1"/>
  <c r="Z39" i="1"/>
  <c r="J39" i="1"/>
  <c r="R39" i="1" s="1"/>
  <c r="D39" i="1"/>
  <c r="AV38" i="1"/>
  <c r="AR38" i="1"/>
  <c r="AN38" i="1"/>
  <c r="W25" i="2" s="1"/>
  <c r="Z38" i="1"/>
  <c r="R38" i="1"/>
  <c r="Q25" i="2" s="1"/>
  <c r="D38" i="1"/>
  <c r="AN37" i="1"/>
  <c r="W24" i="2" s="1"/>
  <c r="Z37" i="1"/>
  <c r="J37" i="1"/>
  <c r="R37" i="1" s="1"/>
  <c r="D37" i="1"/>
  <c r="AN36" i="1"/>
  <c r="AR36" i="1" s="1"/>
  <c r="Z36" i="1"/>
  <c r="J36" i="1"/>
  <c r="R36" i="1" s="1"/>
  <c r="D36" i="1"/>
  <c r="AN35" i="1"/>
  <c r="W22" i="2" s="1"/>
  <c r="Z35" i="1"/>
  <c r="J35" i="1"/>
  <c r="R35" i="1" s="1"/>
  <c r="D35" i="1"/>
  <c r="AN34" i="1"/>
  <c r="W21" i="2" s="1"/>
  <c r="Z34" i="1"/>
  <c r="R34" i="1"/>
  <c r="V34" i="1" s="1"/>
  <c r="D34" i="1"/>
  <c r="AF33" i="1"/>
  <c r="AN33" i="1" s="1"/>
  <c r="Z33" i="1"/>
  <c r="R33" i="1"/>
  <c r="T33" i="1" s="1"/>
  <c r="D33" i="1"/>
  <c r="AN32" i="1"/>
  <c r="AR32" i="1" s="1"/>
  <c r="AF32" i="1"/>
  <c r="Z32" i="1"/>
  <c r="R32" i="1"/>
  <c r="V32" i="1" s="1"/>
  <c r="D32" i="1"/>
  <c r="AF31" i="1"/>
  <c r="AN31" i="1" s="1"/>
  <c r="Z31" i="1"/>
  <c r="R31" i="1"/>
  <c r="T31" i="1" s="1"/>
  <c r="D31" i="1"/>
  <c r="AN30" i="1"/>
  <c r="AR30" i="1" s="1"/>
  <c r="Z30" i="1"/>
  <c r="V30" i="1"/>
  <c r="R30" i="1"/>
  <c r="T30" i="1" s="1"/>
  <c r="D30" i="1"/>
  <c r="AN29" i="1"/>
  <c r="AP29" i="1" s="1"/>
  <c r="Z29" i="1"/>
  <c r="R29" i="1"/>
  <c r="T29" i="1" s="1"/>
  <c r="AR57" i="1" s="1"/>
  <c r="J29" i="1"/>
  <c r="D29" i="1"/>
  <c r="AN28" i="1"/>
  <c r="W15" i="2" s="1"/>
  <c r="Z28" i="1"/>
  <c r="V28" i="1"/>
  <c r="T28" i="1"/>
  <c r="R28" i="1"/>
  <c r="D28" i="1"/>
  <c r="AN27" i="1"/>
  <c r="AR27" i="1" s="1"/>
  <c r="AF27" i="1"/>
  <c r="Z27" i="1"/>
  <c r="R27" i="1"/>
  <c r="T27" i="1" s="1"/>
  <c r="D27" i="1"/>
  <c r="AN26" i="1"/>
  <c r="W13" i="2" s="1"/>
  <c r="Z26" i="1"/>
  <c r="R26" i="1"/>
  <c r="V26" i="1" s="1"/>
  <c r="AD224" i="6" s="1"/>
  <c r="AN25" i="1"/>
  <c r="W12" i="2" s="1"/>
  <c r="Z25" i="1"/>
  <c r="R25" i="1"/>
  <c r="T25" i="1" s="1"/>
  <c r="D25" i="1"/>
  <c r="AN24" i="1"/>
  <c r="AR24" i="1" s="1"/>
  <c r="Z24" i="1"/>
  <c r="R24" i="1"/>
  <c r="V24" i="1" s="1"/>
  <c r="D24" i="1"/>
  <c r="AN23" i="1"/>
  <c r="AR23" i="1" s="1"/>
  <c r="Z23" i="1"/>
  <c r="R23" i="1"/>
  <c r="Q10" i="2" s="1"/>
  <c r="D23" i="1"/>
  <c r="AN22" i="1"/>
  <c r="W9" i="2" s="1"/>
  <c r="Z22" i="1"/>
  <c r="J22" i="1"/>
  <c r="R22" i="1" s="1"/>
  <c r="D22" i="1"/>
  <c r="AN21" i="1"/>
  <c r="AR21" i="1" s="1"/>
  <c r="Z21" i="1"/>
  <c r="J21" i="1"/>
  <c r="R21" i="1" s="1"/>
  <c r="D21" i="1"/>
  <c r="AN20" i="1"/>
  <c r="AP20" i="1" s="1"/>
  <c r="Z20" i="1"/>
  <c r="J20" i="1"/>
  <c r="R20" i="1" s="1"/>
  <c r="D20" i="1"/>
  <c r="AN19" i="1"/>
  <c r="W6" i="2" s="1"/>
  <c r="Z19" i="1"/>
  <c r="R19" i="1"/>
  <c r="Q6" i="2" s="1"/>
  <c r="D19" i="1"/>
  <c r="AN18" i="1"/>
  <c r="AP18" i="1" s="1"/>
  <c r="Z18" i="1"/>
  <c r="R18" i="1"/>
  <c r="V18" i="1" s="1"/>
  <c r="D18" i="1"/>
  <c r="AP17" i="1"/>
  <c r="AN17" i="1"/>
  <c r="AR17" i="1" s="1"/>
  <c r="Z17" i="1"/>
  <c r="R17" i="1"/>
  <c r="D17" i="1"/>
  <c r="AR16" i="1"/>
  <c r="AN16" i="1"/>
  <c r="AP16" i="1" s="1"/>
  <c r="Z16" i="1"/>
  <c r="V16" i="1"/>
  <c r="T16" i="1"/>
  <c r="R16" i="1"/>
  <c r="D16" i="1"/>
  <c r="B13" i="1"/>
  <c r="D12" i="1"/>
  <c r="AA11" i="1"/>
  <c r="AT10" i="1"/>
  <c r="AN10" i="1"/>
  <c r="Y10" i="1"/>
  <c r="W10" i="1"/>
  <c r="I7" i="2" s="1"/>
  <c r="P10" i="1"/>
  <c r="M18" i="6" s="1"/>
  <c r="N10" i="1"/>
  <c r="F7" i="2" s="1"/>
  <c r="G10" i="1"/>
  <c r="D7" i="2" s="1"/>
  <c r="E10" i="1"/>
  <c r="C7" i="2" s="1"/>
  <c r="AL9" i="1"/>
  <c r="AC9" i="1"/>
  <c r="T9" i="1"/>
  <c r="K9" i="1"/>
  <c r="F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D24" i="6" l="1"/>
  <c r="AD25" i="6" s="1"/>
  <c r="AU19" i="1" s="1"/>
  <c r="AR29" i="1"/>
  <c r="S44" i="6"/>
  <c r="AE17" i="6"/>
  <c r="D14" i="2"/>
  <c r="F16" i="2"/>
  <c r="E16" i="2"/>
  <c r="AP57" i="1"/>
  <c r="AP40" i="1"/>
  <c r="M6" i="2"/>
  <c r="Q36" i="2"/>
  <c r="V49" i="1"/>
  <c r="J5" i="2"/>
  <c r="F17" i="3"/>
  <c r="F41" i="3"/>
  <c r="F72" i="3"/>
  <c r="F95" i="3"/>
  <c r="F127" i="3"/>
  <c r="F155" i="3"/>
  <c r="F179" i="3"/>
  <c r="F204" i="3"/>
  <c r="F126" i="3"/>
  <c r="F157" i="3"/>
  <c r="F83" i="3"/>
  <c r="F166" i="3"/>
  <c r="F219" i="3"/>
  <c r="F112" i="3"/>
  <c r="F180" i="3"/>
  <c r="F25" i="3"/>
  <c r="F223" i="3"/>
  <c r="F11" i="3"/>
  <c r="F27" i="3"/>
  <c r="F59" i="3"/>
  <c r="F87" i="3"/>
  <c r="F115" i="3"/>
  <c r="F142" i="3"/>
  <c r="F169" i="3"/>
  <c r="F195" i="3"/>
  <c r="F225" i="3"/>
  <c r="F154" i="3"/>
  <c r="F42" i="3"/>
  <c r="F128" i="3"/>
  <c r="F156" i="3"/>
  <c r="F208" i="3"/>
  <c r="F45" i="3"/>
  <c r="F133" i="3"/>
  <c r="F46" i="3"/>
  <c r="F48" i="3"/>
  <c r="F163" i="3"/>
  <c r="F227" i="3"/>
  <c r="F203" i="3"/>
  <c r="F130" i="3"/>
  <c r="F162" i="3"/>
  <c r="F113" i="3"/>
  <c r="F38" i="3"/>
  <c r="F96" i="3"/>
  <c r="F74" i="3"/>
  <c r="F182" i="3"/>
  <c r="F75" i="3"/>
  <c r="F183" i="3"/>
  <c r="F76" i="3"/>
  <c r="F135" i="3"/>
  <c r="F212" i="3"/>
  <c r="F101" i="3"/>
  <c r="F21" i="3"/>
  <c r="F81" i="3"/>
  <c r="F137" i="3"/>
  <c r="F190" i="3"/>
  <c r="F214" i="3"/>
  <c r="F51" i="3"/>
  <c r="F82" i="3"/>
  <c r="F108" i="3"/>
  <c r="F138" i="3"/>
  <c r="F165" i="3"/>
  <c r="F191" i="3"/>
  <c r="F217" i="3"/>
  <c r="F4" i="3"/>
  <c r="F53" i="3"/>
  <c r="F111" i="3"/>
  <c r="F192" i="3"/>
  <c r="F56" i="3"/>
  <c r="F9" i="3"/>
  <c r="F114" i="3"/>
  <c r="F168" i="3"/>
  <c r="F29" i="3"/>
  <c r="F117" i="3"/>
  <c r="F197" i="3"/>
  <c r="F30" i="3"/>
  <c r="F89" i="3"/>
  <c r="F118" i="3"/>
  <c r="F173" i="3"/>
  <c r="F198" i="3"/>
  <c r="F228" i="3"/>
  <c r="F14" i="3"/>
  <c r="F31" i="3"/>
  <c r="F68" i="3"/>
  <c r="F90" i="3"/>
  <c r="F123" i="3"/>
  <c r="F147" i="3"/>
  <c r="F174" i="3"/>
  <c r="F200" i="3"/>
  <c r="F178" i="3"/>
  <c r="F73" i="3"/>
  <c r="F181" i="3"/>
  <c r="F18" i="3"/>
  <c r="F43" i="3"/>
  <c r="F97" i="3"/>
  <c r="F209" i="3"/>
  <c r="F99" i="3"/>
  <c r="F161" i="3"/>
  <c r="F100" i="3"/>
  <c r="F184" i="3"/>
  <c r="F77" i="3"/>
  <c r="F136" i="3"/>
  <c r="F189" i="3"/>
  <c r="F213" i="3"/>
  <c r="F50" i="3"/>
  <c r="F103" i="3"/>
  <c r="F164" i="3"/>
  <c r="F139" i="3"/>
  <c r="F5" i="3"/>
  <c r="F24" i="3"/>
  <c r="F85" i="3"/>
  <c r="F140" i="3"/>
  <c r="F167" i="3"/>
  <c r="F193" i="3"/>
  <c r="F222" i="3"/>
  <c r="F57" i="3"/>
  <c r="F86" i="3"/>
  <c r="F141" i="3"/>
  <c r="F194" i="3"/>
  <c r="F12" i="3"/>
  <c r="F60" i="3"/>
  <c r="F88" i="3"/>
  <c r="F145" i="3"/>
  <c r="F171" i="3"/>
  <c r="F13" i="3"/>
  <c r="F67" i="3"/>
  <c r="F146" i="3"/>
  <c r="F15" i="3"/>
  <c r="F32" i="3"/>
  <c r="F69" i="3"/>
  <c r="F92" i="3"/>
  <c r="F124" i="3"/>
  <c r="F150" i="3"/>
  <c r="F175" i="3"/>
  <c r="F201" i="3"/>
  <c r="F52" i="3"/>
  <c r="F218" i="3"/>
  <c r="F148" i="3"/>
  <c r="F196" i="3"/>
  <c r="F35" i="3"/>
  <c r="F102" i="3"/>
  <c r="F221" i="3"/>
  <c r="F132" i="3"/>
  <c r="F39" i="3"/>
  <c r="F64" i="3"/>
  <c r="F107" i="3"/>
  <c r="F54" i="3"/>
  <c r="F229" i="3"/>
  <c r="F55" i="3"/>
  <c r="G6" i="2"/>
  <c r="F34" i="3"/>
  <c r="F78" i="3"/>
  <c r="F149" i="3"/>
  <c r="F220" i="3"/>
  <c r="J53" i="6" s="1"/>
  <c r="J50" i="1" s="1"/>
  <c r="F36" i="3"/>
  <c r="F176" i="3"/>
  <c r="F199" i="3"/>
  <c r="F37" i="3"/>
  <c r="F104" i="3"/>
  <c r="F131" i="3"/>
  <c r="F19" i="3"/>
  <c r="F61" i="3"/>
  <c r="F105" i="3"/>
  <c r="F65" i="3"/>
  <c r="F6" i="3"/>
  <c r="F207" i="3"/>
  <c r="F230" i="3"/>
  <c r="F7" i="3"/>
  <c r="F129" i="3"/>
  <c r="L18" i="6"/>
  <c r="F210" i="3"/>
  <c r="L20" i="6"/>
  <c r="R12" i="1"/>
  <c r="F10" i="3"/>
  <c r="F232" i="3"/>
  <c r="F58" i="3"/>
  <c r="F143" i="3"/>
  <c r="F185" i="3"/>
  <c r="F226" i="3"/>
  <c r="N5" i="6"/>
  <c r="O7" i="6" s="1"/>
  <c r="F20" i="3"/>
  <c r="F144" i="3"/>
  <c r="F186" i="3"/>
  <c r="F205" i="3"/>
  <c r="C3" i="2"/>
  <c r="F8" i="3"/>
  <c r="F106" i="3"/>
  <c r="F172" i="3"/>
  <c r="F187" i="3"/>
  <c r="F22" i="3"/>
  <c r="F109" i="3"/>
  <c r="F151" i="3"/>
  <c r="F49" i="3"/>
  <c r="F91" i="3"/>
  <c r="F110" i="3"/>
  <c r="F231" i="3"/>
  <c r="F79" i="3"/>
  <c r="F119" i="3"/>
  <c r="F63" i="3"/>
  <c r="F120" i="3"/>
  <c r="F158" i="3"/>
  <c r="F215" i="3"/>
  <c r="F216" i="3"/>
  <c r="F121" i="3"/>
  <c r="F159" i="3"/>
  <c r="F84" i="3"/>
  <c r="F122" i="3"/>
  <c r="F160" i="3"/>
  <c r="N7" i="6"/>
  <c r="F40" i="3"/>
  <c r="F23" i="3"/>
  <c r="F28" i="3"/>
  <c r="F47" i="3"/>
  <c r="F66" i="3"/>
  <c r="B9" i="1"/>
  <c r="AP36" i="1"/>
  <c r="W16" i="2"/>
  <c r="AP34" i="1"/>
  <c r="AR19" i="1"/>
  <c r="Y11" i="2"/>
  <c r="AP24" i="1"/>
  <c r="AP23" i="1"/>
  <c r="AP28" i="1"/>
  <c r="AP19" i="1"/>
  <c r="W10" i="2"/>
  <c r="Y10" i="2" s="1"/>
  <c r="AR28" i="1"/>
  <c r="W7" i="2"/>
  <c r="Y7" i="2" s="1"/>
  <c r="S31" i="2"/>
  <c r="Q18" i="2"/>
  <c r="Q21" i="2"/>
  <c r="N21" i="2" s="1"/>
  <c r="O21" i="2" s="1"/>
  <c r="V33" i="1"/>
  <c r="V31" i="1"/>
  <c r="T24" i="1"/>
  <c r="S12" i="2"/>
  <c r="S24" i="6"/>
  <c r="B40" i="2" s="1"/>
  <c r="H5" i="6"/>
  <c r="N11" i="2"/>
  <c r="V25" i="1"/>
  <c r="L5" i="6"/>
  <c r="K5" i="6"/>
  <c r="C48" i="6"/>
  <c r="Y13" i="2"/>
  <c r="X13" i="2"/>
  <c r="T13" i="2"/>
  <c r="Y33" i="2"/>
  <c r="X33" i="2"/>
  <c r="T33" i="2"/>
  <c r="Y35" i="2"/>
  <c r="X35" i="2"/>
  <c r="T35" i="2"/>
  <c r="Y5" i="6"/>
  <c r="X6" i="6"/>
  <c r="V6" i="6"/>
  <c r="S6" i="6"/>
  <c r="E7" i="6"/>
  <c r="E8" i="6" s="1"/>
  <c r="C9" i="6" s="1"/>
  <c r="AI11" i="1" s="1"/>
  <c r="AF10" i="1" s="1"/>
  <c r="L9" i="2" s="1"/>
  <c r="V22" i="1"/>
  <c r="T22" i="1"/>
  <c r="Q9" i="2"/>
  <c r="V35" i="1"/>
  <c r="T35" i="1"/>
  <c r="Q22" i="2"/>
  <c r="AF15" i="6"/>
  <c r="AE31" i="6"/>
  <c r="AD31" i="6" s="1"/>
  <c r="AE30" i="6"/>
  <c r="AD30" i="6" s="1"/>
  <c r="X6" i="2"/>
  <c r="T6" i="2"/>
  <c r="Y6" i="2"/>
  <c r="X7" i="6"/>
  <c r="V7" i="6"/>
  <c r="S7" i="6"/>
  <c r="Y6" i="6"/>
  <c r="Y29" i="2"/>
  <c r="X29" i="2"/>
  <c r="T29" i="2"/>
  <c r="Y15" i="2"/>
  <c r="X15" i="2"/>
  <c r="T15" i="2"/>
  <c r="AR31" i="1"/>
  <c r="W18" i="2"/>
  <c r="AP31" i="1"/>
  <c r="V39" i="1"/>
  <c r="T39" i="1"/>
  <c r="Q26" i="2"/>
  <c r="AO15" i="6"/>
  <c r="R36" i="2"/>
  <c r="S36" i="2"/>
  <c r="Y9" i="2"/>
  <c r="X9" i="2"/>
  <c r="T9" i="2"/>
  <c r="Y22" i="2"/>
  <c r="X22" i="2"/>
  <c r="T22" i="2"/>
  <c r="S6" i="2"/>
  <c r="R6" i="2"/>
  <c r="N6" i="2"/>
  <c r="Q23" i="2"/>
  <c r="V36" i="1"/>
  <c r="T36" i="1"/>
  <c r="AI15" i="6"/>
  <c r="Y12" i="2"/>
  <c r="X12" i="2"/>
  <c r="T12" i="2"/>
  <c r="Y7" i="6"/>
  <c r="X8" i="6"/>
  <c r="V8" i="6"/>
  <c r="S8" i="6"/>
  <c r="S10" i="2"/>
  <c r="R10" i="2"/>
  <c r="N10" i="2"/>
  <c r="Q27" i="2"/>
  <c r="V40" i="1"/>
  <c r="AP15" i="6"/>
  <c r="T40" i="1"/>
  <c r="Y8" i="6"/>
  <c r="X9" i="6"/>
  <c r="V9" i="6"/>
  <c r="S9" i="6"/>
  <c r="V37" i="1"/>
  <c r="T37" i="1"/>
  <c r="Q24" i="2"/>
  <c r="AL15" i="6"/>
  <c r="X31" i="2"/>
  <c r="T31" i="2"/>
  <c r="Y31" i="2"/>
  <c r="V20" i="1"/>
  <c r="T20" i="1"/>
  <c r="Q7" i="2"/>
  <c r="AR33" i="1"/>
  <c r="W20" i="2"/>
  <c r="AP33" i="1"/>
  <c r="X24" i="2"/>
  <c r="T24" i="2"/>
  <c r="U24" i="2" s="1"/>
  <c r="Y24" i="2"/>
  <c r="X28" i="2"/>
  <c r="T28" i="2"/>
  <c r="Y28" i="2"/>
  <c r="V41" i="1"/>
  <c r="T41" i="1"/>
  <c r="Q28" i="2"/>
  <c r="AQ15" i="6"/>
  <c r="S25" i="2"/>
  <c r="R25" i="2"/>
  <c r="N25" i="2"/>
  <c r="O25" i="2" s="1"/>
  <c r="X4" i="6"/>
  <c r="V4" i="6"/>
  <c r="S4" i="6"/>
  <c r="X11" i="6"/>
  <c r="V11" i="6"/>
  <c r="S11" i="6"/>
  <c r="X12" i="6"/>
  <c r="S12" i="6"/>
  <c r="Y11" i="6"/>
  <c r="T21" i="1"/>
  <c r="V21" i="1"/>
  <c r="Q8" i="2"/>
  <c r="Y21" i="2"/>
  <c r="X21" i="2"/>
  <c r="T21" i="2"/>
  <c r="X25" i="2"/>
  <c r="Y25" i="2"/>
  <c r="T25" i="2"/>
  <c r="Z4" i="6"/>
  <c r="Y4" i="6"/>
  <c r="V5" i="6"/>
  <c r="S5" i="6"/>
  <c r="V12" i="6"/>
  <c r="AP22" i="1"/>
  <c r="AR18" i="1"/>
  <c r="AR20" i="1"/>
  <c r="AR22" i="1"/>
  <c r="AP35" i="1"/>
  <c r="AP37" i="1"/>
  <c r="AP39" i="1"/>
  <c r="AP41" i="1"/>
  <c r="AR35" i="1"/>
  <c r="AR37" i="1"/>
  <c r="AR41" i="1"/>
  <c r="N4" i="2"/>
  <c r="Q5" i="2"/>
  <c r="N15" i="2"/>
  <c r="W23" i="2"/>
  <c r="Q30" i="2"/>
  <c r="W34" i="2"/>
  <c r="D32" i="6"/>
  <c r="D34" i="6" s="1"/>
  <c r="AC27" i="6" s="1"/>
  <c r="AC28" i="6" s="1"/>
  <c r="AD28" i="6" s="1"/>
  <c r="W17" i="2"/>
  <c r="T36" i="2"/>
  <c r="E32" i="6"/>
  <c r="E34" i="6" s="1"/>
  <c r="J113" i="1" s="1"/>
  <c r="AD222" i="6"/>
  <c r="Z231" i="6" s="1"/>
  <c r="W14" i="2"/>
  <c r="T19" i="1"/>
  <c r="AR48" i="1"/>
  <c r="S4" i="2"/>
  <c r="R11" i="2"/>
  <c r="S15" i="2"/>
  <c r="W27" i="2"/>
  <c r="S33" i="2"/>
  <c r="X36" i="2"/>
  <c r="T17" i="1"/>
  <c r="AP25" i="1"/>
  <c r="T32" i="1"/>
  <c r="T34" i="1"/>
  <c r="V38" i="1"/>
  <c r="V42" i="1"/>
  <c r="AP46" i="1"/>
  <c r="R3" i="2"/>
  <c r="W5" i="2"/>
  <c r="G7" i="2"/>
  <c r="Q19" i="2"/>
  <c r="W30" i="2"/>
  <c r="G5" i="6"/>
  <c r="AC29" i="6"/>
  <c r="T23" i="1"/>
  <c r="AP27" i="1"/>
  <c r="AP48" i="1"/>
  <c r="R33" i="2"/>
  <c r="V19" i="1"/>
  <c r="V23" i="1"/>
  <c r="T38" i="1"/>
  <c r="T42" i="1"/>
  <c r="V17" i="1"/>
  <c r="AR25" i="1"/>
  <c r="AR46" i="1"/>
  <c r="W4" i="2"/>
  <c r="T11" i="2"/>
  <c r="N12" i="2"/>
  <c r="Q16" i="2"/>
  <c r="N32" i="2"/>
  <c r="N35" i="2"/>
  <c r="O35" i="2" s="1"/>
  <c r="J21" i="3"/>
  <c r="U10" i="6" s="1"/>
  <c r="Y10" i="6" s="1"/>
  <c r="Q29" i="2"/>
  <c r="I5" i="6"/>
  <c r="AR16" i="6"/>
  <c r="AR17" i="6"/>
  <c r="AP21" i="1"/>
  <c r="T26" i="1"/>
  <c r="AD223" i="6" s="1"/>
  <c r="AP38" i="1"/>
  <c r="AP42" i="1"/>
  <c r="T49" i="1"/>
  <c r="W8" i="2"/>
  <c r="J5" i="6"/>
  <c r="AS16" i="6"/>
  <c r="D37" i="6"/>
  <c r="V2" i="1" s="1"/>
  <c r="AP30" i="1"/>
  <c r="AP32" i="1"/>
  <c r="AR34" i="1"/>
  <c r="W19" i="2"/>
  <c r="T26" i="2"/>
  <c r="T32" i="2"/>
  <c r="S63" i="6"/>
  <c r="B46" i="2" s="1"/>
  <c r="B63" i="1"/>
  <c r="Q13" i="2"/>
  <c r="S76" i="6"/>
  <c r="B59" i="2" s="1"/>
  <c r="T43" i="1"/>
  <c r="V10" i="6"/>
  <c r="N34" i="2"/>
  <c r="O34" i="2" s="1"/>
  <c r="F16" i="3"/>
  <c r="F26" i="3"/>
  <c r="F44" i="3"/>
  <c r="F62" i="3"/>
  <c r="F80" i="3"/>
  <c r="F98" i="3"/>
  <c r="F116" i="3"/>
  <c r="F134" i="3"/>
  <c r="F152" i="3"/>
  <c r="F170" i="3"/>
  <c r="F188" i="3"/>
  <c r="F206" i="3"/>
  <c r="AP26" i="1"/>
  <c r="T18" i="1"/>
  <c r="AR26" i="1"/>
  <c r="AP47" i="1"/>
  <c r="T10" i="2"/>
  <c r="N20" i="2"/>
  <c r="AA16" i="6"/>
  <c r="AB16" i="6"/>
  <c r="AP43" i="1"/>
  <c r="G3" i="2"/>
  <c r="X7" i="2"/>
  <c r="R20" i="2"/>
  <c r="R34" i="2"/>
  <c r="AC16" i="6"/>
  <c r="Q14" i="2"/>
  <c r="V27" i="1"/>
  <c r="V29" i="1"/>
  <c r="AR58" i="1" s="1"/>
  <c r="T48" i="1"/>
  <c r="J4" i="2"/>
  <c r="R17" i="2"/>
  <c r="AD16" i="6"/>
  <c r="AB17" i="6" l="1"/>
  <c r="AC17" i="6"/>
  <c r="D15" i="2"/>
  <c r="AS17" i="6"/>
  <c r="AD17" i="6"/>
  <c r="AA17" i="6"/>
  <c r="AF12" i="6"/>
  <c r="F3" i="3" s="1"/>
  <c r="D3" i="2"/>
  <c r="D4" i="2"/>
  <c r="P7" i="6"/>
  <c r="T7" i="2"/>
  <c r="Y16" i="2"/>
  <c r="X16" i="2"/>
  <c r="T16" i="2"/>
  <c r="X10" i="2"/>
  <c r="R21" i="2"/>
  <c r="S21" i="2"/>
  <c r="S18" i="2"/>
  <c r="R18" i="2"/>
  <c r="N18" i="2"/>
  <c r="Z225" i="6"/>
  <c r="F62" i="1" s="1"/>
  <c r="E19" i="2" s="1"/>
  <c r="Z223" i="6"/>
  <c r="B62" i="1" s="1"/>
  <c r="B19" i="2" s="1"/>
  <c r="AB221" i="6"/>
  <c r="S28" i="2"/>
  <c r="R28" i="2"/>
  <c r="N28" i="2"/>
  <c r="O28" i="2" s="1"/>
  <c r="AB245" i="6"/>
  <c r="AG245" i="6" s="1"/>
  <c r="AG243" i="6"/>
  <c r="AG224" i="6" s="1"/>
  <c r="AB262" i="6"/>
  <c r="AG262" i="6" s="1"/>
  <c r="AB258" i="6"/>
  <c r="AG258" i="6" s="1"/>
  <c r="AB254" i="6"/>
  <c r="AG254" i="6" s="1"/>
  <c r="AB250" i="6"/>
  <c r="AG250" i="6" s="1"/>
  <c r="AB247" i="6"/>
  <c r="AG247" i="6" s="1"/>
  <c r="AB243" i="6"/>
  <c r="AF224" i="6" s="1"/>
  <c r="AB261" i="6"/>
  <c r="AG261" i="6" s="1"/>
  <c r="AB257" i="6"/>
  <c r="AG257" i="6" s="1"/>
  <c r="AB253" i="6"/>
  <c r="AG253" i="6" s="1"/>
  <c r="AB249" i="6"/>
  <c r="AG249" i="6" s="1"/>
  <c r="AB246" i="6"/>
  <c r="AG246" i="6" s="1"/>
  <c r="AB263" i="6"/>
  <c r="AG263" i="6" s="1"/>
  <c r="AB259" i="6"/>
  <c r="AG259" i="6" s="1"/>
  <c r="AB255" i="6"/>
  <c r="AG255" i="6" s="1"/>
  <c r="AB251" i="6"/>
  <c r="AG251" i="6" s="1"/>
  <c r="AB248" i="6"/>
  <c r="AG248" i="6" s="1"/>
  <c r="N9" i="2"/>
  <c r="O9" i="2" s="1"/>
  <c r="S9" i="2"/>
  <c r="R9" i="2"/>
  <c r="S24" i="2"/>
  <c r="R24" i="2"/>
  <c r="N24" i="2"/>
  <c r="O24" i="2" s="1"/>
  <c r="X17" i="2"/>
  <c r="Y17" i="2"/>
  <c r="T17" i="2"/>
  <c r="Y19" i="2"/>
  <c r="X19" i="2"/>
  <c r="T19" i="2"/>
  <c r="U19" i="2" s="1"/>
  <c r="Z227" i="6"/>
  <c r="S29" i="2"/>
  <c r="R29" i="2"/>
  <c r="N29" i="2"/>
  <c r="T34" i="2"/>
  <c r="Y34" i="2"/>
  <c r="X34" i="2"/>
  <c r="N30" i="2"/>
  <c r="S30" i="2"/>
  <c r="R30" i="2"/>
  <c r="T23" i="2"/>
  <c r="Y23" i="2"/>
  <c r="X23" i="2"/>
  <c r="AU16" i="6"/>
  <c r="S10" i="6"/>
  <c r="X10" i="6" s="1"/>
  <c r="AA9" i="6" s="1"/>
  <c r="E3" i="3" s="1"/>
  <c r="Y9" i="6"/>
  <c r="Y27" i="2"/>
  <c r="T27" i="2"/>
  <c r="X27" i="2"/>
  <c r="N5" i="2"/>
  <c r="S5" i="2"/>
  <c r="R5" i="2"/>
  <c r="T20" i="2"/>
  <c r="U20" i="2" s="1"/>
  <c r="X20" i="2"/>
  <c r="Y20" i="2"/>
  <c r="J6" i="6"/>
  <c r="I8" i="6" s="1"/>
  <c r="S26" i="2"/>
  <c r="R26" i="2"/>
  <c r="N26" i="2"/>
  <c r="O26" i="2" s="1"/>
  <c r="X8" i="2"/>
  <c r="Y8" i="2"/>
  <c r="T8" i="2"/>
  <c r="S16" i="2"/>
  <c r="R16" i="2"/>
  <c r="Y30" i="2"/>
  <c r="X30" i="2"/>
  <c r="T30" i="2"/>
  <c r="S7" i="2"/>
  <c r="R7" i="2"/>
  <c r="N7" i="2"/>
  <c r="O7" i="2" s="1"/>
  <c r="AD32" i="6"/>
  <c r="AE22" i="6" s="1"/>
  <c r="Y4" i="2"/>
  <c r="X4" i="2"/>
  <c r="T4" i="2"/>
  <c r="T14" i="2"/>
  <c r="U14" i="2" s="1"/>
  <c r="Y14" i="2"/>
  <c r="X14" i="2"/>
  <c r="Y18" i="2"/>
  <c r="X18" i="2"/>
  <c r="T18" i="2"/>
  <c r="U18" i="2" s="1"/>
  <c r="AU15" i="6"/>
  <c r="S19" i="2"/>
  <c r="R19" i="2"/>
  <c r="N19" i="2"/>
  <c r="S23" i="2"/>
  <c r="R23" i="2"/>
  <c r="N23" i="2"/>
  <c r="O23" i="2" s="1"/>
  <c r="N22" i="2"/>
  <c r="O22" i="2" s="1"/>
  <c r="R22" i="2"/>
  <c r="S22" i="2"/>
  <c r="S14" i="2"/>
  <c r="R14" i="2"/>
  <c r="N14" i="2"/>
  <c r="S13" i="2"/>
  <c r="R13" i="2"/>
  <c r="Y5" i="2"/>
  <c r="X5" i="2"/>
  <c r="T5" i="2"/>
  <c r="Z229" i="6"/>
  <c r="S8" i="2"/>
  <c r="R8" i="2"/>
  <c r="N8" i="2"/>
  <c r="O8" i="2" s="1"/>
  <c r="N27" i="2"/>
  <c r="O27" i="2" s="1"/>
  <c r="S27" i="2"/>
  <c r="R27" i="2"/>
  <c r="AU17" i="6" l="1"/>
  <c r="AT17" i="6" s="1"/>
  <c r="AV17" i="6" s="1"/>
  <c r="J8" i="6"/>
  <c r="AP55" i="1"/>
  <c r="F9" i="2" s="1"/>
  <c r="N9" i="6"/>
  <c r="AF230" i="6"/>
  <c r="G8" i="6"/>
  <c r="AT16" i="6"/>
  <c r="AV16" i="6" s="1"/>
  <c r="Q55" i="1" s="1"/>
  <c r="AF234" i="6"/>
  <c r="AF231" i="6"/>
  <c r="AF237" i="6"/>
  <c r="H8" i="6"/>
  <c r="K8" i="6"/>
  <c r="L8" i="6"/>
  <c r="AO22" i="6"/>
  <c r="AU68" i="1" s="1"/>
  <c r="AN22" i="6"/>
  <c r="BL66" i="1" s="1"/>
  <c r="AM22" i="6"/>
  <c r="BL65" i="1" s="1"/>
  <c r="AL22" i="6"/>
  <c r="BL64" i="1" s="1"/>
  <c r="AK22" i="6"/>
  <c r="BF66" i="1" s="1"/>
  <c r="AJ22" i="6"/>
  <c r="BF65" i="1" s="1"/>
  <c r="AI22" i="6"/>
  <c r="BF64" i="1" s="1"/>
  <c r="AH22" i="6"/>
  <c r="AZ66" i="1" s="1"/>
  <c r="AG22" i="6"/>
  <c r="AZ65" i="1" s="1"/>
  <c r="AU62" i="1"/>
  <c r="AF22" i="6"/>
  <c r="AZ64" i="1" s="1"/>
  <c r="AS22" i="6"/>
  <c r="BB27" i="6" s="1"/>
  <c r="AR22" i="6"/>
  <c r="BB26" i="6" s="1"/>
  <c r="AQ22" i="6"/>
  <c r="BB25" i="6" s="1"/>
  <c r="AP22" i="6"/>
  <c r="AU105" i="1" s="1"/>
  <c r="AC245" i="6"/>
  <c r="AH245" i="6" s="1"/>
  <c r="AH243" i="6"/>
  <c r="AG225" i="6" s="1"/>
  <c r="AC262" i="6"/>
  <c r="AH262" i="6" s="1"/>
  <c r="AC258" i="6"/>
  <c r="AH258" i="6" s="1"/>
  <c r="AC254" i="6"/>
  <c r="AH254" i="6" s="1"/>
  <c r="AC250" i="6"/>
  <c r="AH250" i="6" s="1"/>
  <c r="AC247" i="6"/>
  <c r="AH247" i="6" s="1"/>
  <c r="AC243" i="6"/>
  <c r="AF225" i="6" s="1"/>
  <c r="AG230" i="6" s="1"/>
  <c r="AC261" i="6"/>
  <c r="AH261" i="6" s="1"/>
  <c r="AC257" i="6"/>
  <c r="AH257" i="6" s="1"/>
  <c r="AC253" i="6"/>
  <c r="AH253" i="6" s="1"/>
  <c r="AC249" i="6"/>
  <c r="AH249" i="6" s="1"/>
  <c r="AC246" i="6"/>
  <c r="AH246" i="6" s="1"/>
  <c r="AC263" i="6"/>
  <c r="AH263" i="6" s="1"/>
  <c r="AC259" i="6"/>
  <c r="AH259" i="6" s="1"/>
  <c r="AC255" i="6"/>
  <c r="AH255" i="6" s="1"/>
  <c r="AC251" i="6"/>
  <c r="AH251" i="6" s="1"/>
  <c r="AC248" i="6"/>
  <c r="AH248" i="6" s="1"/>
  <c r="AT15" i="6"/>
  <c r="AV15" i="6" s="1"/>
  <c r="AA259" i="6"/>
  <c r="AF259" i="6" s="1"/>
  <c r="AA255" i="6"/>
  <c r="AF255" i="6" s="1"/>
  <c r="AA251" i="6"/>
  <c r="AF251" i="6" s="1"/>
  <c r="AA248" i="6"/>
  <c r="AF248" i="6" s="1"/>
  <c r="AA245" i="6"/>
  <c r="AF245" i="6" s="1"/>
  <c r="AF243" i="6"/>
  <c r="AG223" i="6" s="1"/>
  <c r="AA262" i="6"/>
  <c r="AF262" i="6" s="1"/>
  <c r="AA258" i="6"/>
  <c r="AF258" i="6" s="1"/>
  <c r="AA254" i="6"/>
  <c r="AF254" i="6" s="1"/>
  <c r="AA250" i="6"/>
  <c r="AF250" i="6" s="1"/>
  <c r="AA247" i="6"/>
  <c r="AF247" i="6" s="1"/>
  <c r="AA243" i="6"/>
  <c r="AF223" i="6" s="1"/>
  <c r="AA261" i="6"/>
  <c r="AF261" i="6" s="1"/>
  <c r="AA257" i="6"/>
  <c r="AF257" i="6" s="1"/>
  <c r="AA253" i="6"/>
  <c r="AF253" i="6" s="1"/>
  <c r="AA249" i="6"/>
  <c r="AF249" i="6" s="1"/>
  <c r="AA246" i="6"/>
  <c r="AF246" i="6" s="1"/>
  <c r="AA263" i="6"/>
  <c r="AF263" i="6" s="1"/>
  <c r="Q56" i="1" l="1"/>
  <c r="E15" i="2" s="1"/>
  <c r="S55" i="1"/>
  <c r="F14" i="2" s="1"/>
  <c r="U55" i="1"/>
  <c r="G14" i="2" s="1"/>
  <c r="E12" i="2"/>
  <c r="P9" i="6"/>
  <c r="AP52" i="1" s="1"/>
  <c r="O9" i="6"/>
  <c r="O10" i="6" s="1"/>
  <c r="AE230" i="6"/>
  <c r="E14" i="2"/>
  <c r="AB235" i="6"/>
  <c r="AB236" i="6"/>
  <c r="AF240" i="6" s="1"/>
  <c r="O62" i="1" s="1"/>
  <c r="K19" i="2" s="1"/>
  <c r="AG234" i="6"/>
  <c r="AG231" i="6"/>
  <c r="AG237" i="6"/>
  <c r="N76" i="1"/>
  <c r="AE234" i="6"/>
  <c r="AE231" i="6"/>
  <c r="AE237" i="6"/>
  <c r="U56" i="1" l="1"/>
  <c r="G15" i="2" s="1"/>
  <c r="S56" i="1"/>
  <c r="F15" i="2" s="1"/>
  <c r="G12" i="2"/>
  <c r="F12" i="2"/>
  <c r="S40" i="6"/>
  <c r="S46" i="6" s="1"/>
  <c r="B52" i="2" s="1"/>
  <c r="C9" i="2"/>
  <c r="AA235" i="6"/>
  <c r="AA236" i="6"/>
  <c r="AE240" i="6" s="1"/>
  <c r="I62" i="1" s="1"/>
  <c r="G19" i="2" s="1"/>
  <c r="AC235" i="6"/>
  <c r="AC236" i="6"/>
  <c r="AG240" i="6" s="1"/>
  <c r="L62" i="1" s="1"/>
  <c r="I19" i="2" s="1"/>
</calcChain>
</file>

<file path=xl/sharedStrings.xml><?xml version="1.0" encoding="utf-8"?>
<sst xmlns="http://schemas.openxmlformats.org/spreadsheetml/2006/main" count="12866" uniqueCount="5975">
  <si>
    <t>电脑推荐使用excel2010及以后版本或WPS打开本卡，使用横轴滚动条可以看见更多东西，手机推荐使用WPS</t>
  </si>
  <si>
    <t>调查员信息</t>
  </si>
  <si>
    <t>年龄补正：</t>
  </si>
  <si>
    <t>属性</t>
  </si>
  <si>
    <t>已用点数:</t>
  </si>
  <si>
    <t>您的角色可能（只是可能！）</t>
  </si>
  <si>
    <t>姓名</t>
  </si>
  <si>
    <t>力量
STR</t>
  </si>
  <si>
    <t>敏捷
DEX</t>
  </si>
  <si>
    <t>意志
POW</t>
  </si>
  <si>
    <t>玩家</t>
  </si>
  <si>
    <t>时代</t>
  </si>
  <si>
    <t>现代</t>
  </si>
  <si>
    <t>职业</t>
  </si>
  <si>
    <t>职业序号</t>
  </si>
  <si>
    <t>体质
CON</t>
  </si>
  <si>
    <t>外貌
APP</t>
  </si>
  <si>
    <t>教育
知识</t>
  </si>
  <si>
    <t>年龄</t>
  </si>
  <si>
    <t>性别</t>
  </si>
  <si>
    <t>住地</t>
  </si>
  <si>
    <t>故乡</t>
  </si>
  <si>
    <t>体型
SIZ</t>
  </si>
  <si>
    <t>智力
灵感</t>
  </si>
  <si>
    <t>幸运
Luck</t>
  </si>
  <si>
    <t>现时间</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</si>
  <si>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</si>
  <si>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</si>
  <si>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</si>
  <si>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</si>
  <si>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</si>
  <si>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</si>
  <si>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</si>
  <si>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</si>
  <si>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</si>
  <si>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</si>
  <si>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</si>
  <si>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</si>
  <si>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</si>
  <si>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</si>
  <si>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</si>
  <si>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</si>
  <si>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</si>
  <si>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</si>
  <si>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</si>
  <si>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</si>
  <si>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</si>
  <si>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</si>
  <si>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</si>
  <si>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</si>
  <si>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</si>
  <si>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</si>
  <si>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</si>
  <si>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</si>
  <si>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</si>
  <si>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</si>
  <si>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</si>
  <si>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</si>
  <si>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</si>
  <si>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</si>
  <si>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</si>
  <si>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</si>
  <si>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</si>
  <si>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</si>
  <si>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</si>
  <si>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</si>
  <si>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</si>
  <si>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</si>
  <si>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</si>
  <si>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格斗：</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</si>
  <si>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</si>
  <si>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</si>
  <si>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</si>
  <si>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</si>
  <si>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</si>
  <si>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</si>
  <si>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</si>
  <si>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</si>
  <si>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</si>
  <si>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</si>
  <si>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</si>
  <si>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</si>
  <si>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</si>
  <si>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</si>
  <si>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</si>
  <si>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</si>
  <si>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</si>
  <si>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</si>
  <si>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</si>
  <si>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</si>
  <si>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</si>
  <si>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</si>
  <si>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</si>
  <si>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</si>
  <si>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</si>
  <si>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</si>
  <si>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</si>
  <si>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</si>
  <si>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</si>
  <si>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</si>
  <si>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</si>
  <si>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</si>
  <si>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</si>
  <si>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</si>
  <si>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</si>
  <si>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</si>
  <si>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</si>
  <si>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</si>
  <si>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</si>
  <si>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</si>
  <si>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</si>
  <si>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</si>
  <si>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</si>
  <si>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</si>
  <si>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</si>
  <si>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</si>
  <si>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</si>
  <si>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</si>
  <si>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</si>
  <si>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</si>
  <si>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</si>
  <si>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</si>
  <si>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</si>
  <si>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</si>
  <si>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</si>
  <si>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</si>
  <si>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</si>
  <si>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</si>
  <si>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</si>
  <si>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</si>
  <si>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</si>
  <si>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</si>
  <si>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</si>
  <si>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</si>
  <si>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</si>
  <si>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</si>
  <si>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</si>
  <si>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</si>
  <si>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</si>
  <si>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</si>
  <si>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</si>
  <si>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</si>
  <si>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</si>
  <si>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</si>
  <si>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</si>
  <si>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</si>
  <si>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</si>
  <si>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</si>
  <si>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</si>
  <si>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</si>
  <si>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</si>
  <si>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</si>
  <si>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</si>
  <si>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</si>
  <si>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</si>
  <si>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</si>
  <si>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</si>
  <si>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</si>
  <si>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</si>
  <si>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</si>
  <si>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</si>
  <si>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</si>
  <si>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</si>
  <si>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</si>
  <si>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</si>
  <si>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</si>
  <si>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</si>
  <si>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</si>
  <si>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</si>
  <si>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</si>
  <si>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</si>
  <si>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体格
Build</t>
  </si>
  <si>
    <t>闪避
Dodge</t>
  </si>
  <si>
    <t>资产</t>
  </si>
  <si>
    <t>背景故事</t>
  </si>
  <si>
    <t>生活水平</t>
  </si>
  <si>
    <t>消费水平</t>
  </si>
  <si>
    <t>其他资产</t>
  </si>
  <si>
    <t>当前现金($)</t>
  </si>
  <si>
    <t>单位</t>
  </si>
  <si>
    <t>形象描述</t>
  </si>
  <si>
    <t>关键
连接</t>
  </si>
  <si>
    <t>美元</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</si>
  <si>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</si>
  <si>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</si>
  <si>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</si>
  <si>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</si>
  <si>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</si>
  <si>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</si>
  <si>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</si>
  <si>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</si>
  <si>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</si>
  <si>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</si>
  <si>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</si>
  <si>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</si>
  <si>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</si>
  <si>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</si>
  <si>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</si>
  <si>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</si>
  <si>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</si>
  <si>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无</t>
  </si>
  <si>
    <t xml:space="preserve">                                      随身物品（使用右侧栏位需要背包）</t>
  </si>
  <si>
    <t>状态</t>
  </si>
  <si>
    <t>部位</t>
  </si>
  <si>
    <t>物品名称</t>
  </si>
  <si>
    <t>背包格↓</t>
  </si>
  <si>
    <t>显露</t>
  </si>
  <si>
    <t>躯————</t>
  </si>
  <si>
    <t>耳朵</t>
  </si>
  <si>
    <t>隐藏</t>
  </si>
  <si>
    <t>衣服内</t>
  </si>
  <si>
    <t>裤兜</t>
  </si>
  <si>
    <t>衣兜</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</si>
  <si>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</si>
  <si>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</si>
  <si>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</si>
  <si>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</si>
  <si>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</si>
  <si>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</si>
  <si>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</si>
  <si>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</si>
  <si>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</si>
  <si>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</si>
  <si>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</si>
  <si>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</si>
  <si>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</si>
  <si>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</si>
  <si>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</si>
  <si>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</si>
  <si>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</si>
  <si>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</si>
  <si>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</si>
  <si>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</si>
  <si>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</si>
  <si>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</si>
  <si>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</si>
  <si>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</si>
  <si>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</si>
  <si>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</si>
  <si>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</si>
  <si>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</si>
  <si>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</si>
  <si>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</si>
  <si>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</si>
  <si>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</si>
  <si>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</si>
  <si>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</si>
  <si>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</si>
  <si>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</si>
  <si>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</si>
  <si>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</si>
  <si>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</si>
  <si>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</si>
  <si>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</si>
  <si>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</si>
  <si>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</si>
  <si>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</si>
  <si>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</si>
  <si>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</si>
  <si>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</si>
  <si>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</si>
  <si>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</si>
  <si>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</si>
  <si>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</si>
  <si>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</si>
  <si>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</si>
  <si>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</si>
  <si>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</si>
  <si>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</si>
  <si>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</si>
  <si>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</si>
  <si>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</si>
  <si>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</si>
  <si>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</si>
  <si>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</si>
  <si>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</si>
  <si>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</si>
  <si>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</si>
  <si>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</si>
  <si>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</si>
  <si>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</si>
  <si>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</si>
  <si>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</si>
  <si>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</si>
  <si>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</si>
  <si>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</si>
  <si>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</si>
  <si>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</si>
  <si>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</si>
  <si>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</si>
  <si>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</si>
  <si>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</si>
  <si>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</si>
  <si>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</si>
  <si>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</si>
  <si>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</si>
  <si>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</si>
  <si>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</si>
  <si>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</si>
  <si>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</si>
  <si>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</si>
  <si>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</si>
  <si>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</si>
  <si>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</si>
  <si>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</si>
  <si>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</si>
  <si>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</si>
  <si>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神楽桜（丛雨Official） 2020/06</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</si>
  <si>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</si>
  <si>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</si>
  <si>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</si>
  <si>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</si>
  <si>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</si>
  <si>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</si>
  <si>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</si>
  <si>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</si>
  <si>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</si>
  <si>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</si>
  <si>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</si>
  <si>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</si>
  <si>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</si>
  <si>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</si>
  <si>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</si>
  <si>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</si>
  <si>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</si>
  <si>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</si>
  <si>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</si>
  <si>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</si>
  <si>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</si>
  <si>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</si>
  <si>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</si>
  <si>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</si>
  <si>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</si>
  <si>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</si>
  <si>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</si>
  <si>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</si>
  <si>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</si>
  <si>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</si>
  <si>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</si>
  <si>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</si>
  <si>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</si>
  <si>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</si>
  <si>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</si>
  <si>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</si>
  <si>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</si>
  <si>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</si>
  <si>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</si>
  <si>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</si>
  <si>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</si>
  <si>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</si>
  <si>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</si>
  <si>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</si>
  <si>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</si>
  <si>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</si>
  <si>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</si>
  <si>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</si>
  <si>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</si>
  <si>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</si>
  <si>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</si>
  <si>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</si>
  <si>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</si>
  <si>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</si>
  <si>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</si>
  <si>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</si>
  <si>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</si>
  <si>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</si>
  <si>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</si>
  <si>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</si>
  <si>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</si>
  <si>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</si>
  <si>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</si>
  <si>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</si>
  <si>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</si>
  <si>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</si>
  <si>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</si>
  <si>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</si>
  <si>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</si>
  <si>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</si>
  <si>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</si>
  <si>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</si>
  <si>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</si>
  <si>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</si>
  <si>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</si>
  <si>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</si>
  <si>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</si>
  <si>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</si>
  <si>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</si>
  <si>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</si>
  <si>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</si>
  <si>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</si>
  <si>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</si>
  <si>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</si>
  <si>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</si>
  <si>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</si>
  <si>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</si>
  <si>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</si>
  <si>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</si>
  <si>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</si>
  <si>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</si>
  <si>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</si>
  <si>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</si>
  <si>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</si>
  <si>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</si>
  <si>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</si>
  <si>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</si>
  <si>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</si>
  <si>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</si>
  <si>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</si>
  <si>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</si>
  <si>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</si>
  <si>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</si>
  <si>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</si>
  <si>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</si>
  <si>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</si>
  <si>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</si>
  <si>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</si>
  <si>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</si>
  <si>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</si>
  <si>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</si>
  <si>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</si>
  <si>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</si>
  <si>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</si>
  <si>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</si>
  <si>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在职业属性中输入第二职业属性的名字（如外貌、意志、教育、敏捷、力量、体质、体型，留空则视为附表!N14）并自行设置起始信誉。使用自定义职业前，请先咨询你的KP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</si>
  <si>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</si>
  <si>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</si>
  <si>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</si>
  <si>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</si>
  <si>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</si>
  <si>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</si>
  <si>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</si>
  <si>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</si>
  <si>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</si>
  <si>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</si>
  <si>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</si>
  <si>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</si>
  <si>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</si>
  <si>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</si>
  <si>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</si>
  <si>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</si>
  <si>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</si>
  <si>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</si>
  <si>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</si>
  <si>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</si>
  <si>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</si>
  <si>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</si>
  <si>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</si>
  <si>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</si>
  <si>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</si>
  <si>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</si>
  <si>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</si>
  <si>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</si>
  <si>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</si>
  <si>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</si>
  <si>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</si>
  <si>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</si>
  <si>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 xml:space="preserve"> </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</si>
  <si>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</si>
  <si>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</si>
  <si>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</si>
  <si>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</si>
  <si>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</si>
  <si>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</si>
  <si>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</si>
  <si>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</si>
  <si>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</si>
  <si>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</si>
  <si>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</si>
  <si>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</si>
  <si>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</si>
  <si>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</si>
  <si>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</si>
  <si>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</si>
  <si>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</si>
  <si>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</si>
  <si>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</si>
  <si>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</si>
  <si>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</si>
  <si>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</si>
  <si>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</si>
  <si>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</si>
  <si>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</si>
  <si>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</si>
  <si>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</si>
  <si>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</si>
  <si>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</si>
  <si>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</si>
  <si>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</si>
  <si>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</si>
  <si>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</si>
  <si>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</si>
  <si>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</si>
  <si>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</si>
  <si>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</si>
  <si>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</si>
  <si>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</si>
  <si>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</si>
  <si>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</si>
  <si>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</si>
  <si>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</si>
  <si>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</si>
  <si>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</si>
  <si>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</si>
  <si>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</si>
  <si>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</si>
  <si>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</si>
  <si>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</si>
  <si>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</si>
  <si>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</si>
  <si>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</si>
  <si>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</si>
  <si>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</si>
  <si>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</si>
  <si>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</si>
  <si>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</si>
  <si>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</si>
  <si>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</si>
  <si>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</si>
  <si>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</si>
  <si>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</si>
  <si>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</si>
  <si>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</si>
  <si>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</si>
  <si>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</si>
  <si>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</si>
  <si>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</si>
  <si>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</si>
  <si>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</si>
  <si>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</si>
  <si>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</si>
  <si>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</si>
  <si>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</si>
  <si>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</si>
  <si>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</si>
  <si>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</si>
  <si>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</si>
  <si>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</si>
  <si>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</si>
  <si>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</si>
  <si>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</si>
  <si>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</si>
  <si>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</si>
  <si>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</si>
  <si>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</si>
  <si>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</si>
  <si>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</si>
  <si>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</si>
  <si>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</si>
  <si>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</si>
  <si>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</si>
  <si>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</si>
  <si>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</si>
  <si>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</si>
  <si>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</si>
  <si>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</si>
  <si>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</si>
  <si>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</si>
  <si>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</si>
  <si>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</si>
  <si>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</si>
  <si>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</si>
  <si>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</si>
  <si>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</si>
  <si>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</si>
  <si>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</si>
  <si>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</si>
  <si>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</si>
  <si>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</si>
  <si>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</si>
  <si>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</si>
  <si>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</si>
  <si>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</si>
  <si>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</si>
  <si>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</si>
  <si>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</si>
  <si>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</si>
  <si>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</si>
  <si>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</si>
  <si>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</si>
  <si>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</si>
  <si>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</si>
  <si>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</si>
  <si>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</si>
  <si>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</si>
  <si>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</si>
  <si>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</si>
  <si>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</si>
  <si>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</si>
  <si>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</si>
  <si>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</si>
  <si>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</si>
  <si>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</si>
  <si>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</si>
  <si>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</si>
  <si>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</si>
  <si>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</si>
  <si>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</si>
  <si>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</si>
  <si>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</si>
  <si>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</si>
  <si>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</si>
  <si>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</si>
  <si>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</si>
  <si>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</si>
  <si>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</si>
  <si>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</si>
  <si>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</si>
  <si>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</si>
  <si>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</si>
  <si>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</si>
  <si>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</si>
  <si>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</si>
  <si>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</si>
  <si>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</si>
  <si>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</si>
  <si>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</si>
  <si>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</si>
  <si>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</si>
  <si>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</si>
  <si>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</si>
  <si>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</si>
  <si>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</si>
  <si>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</si>
  <si>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</si>
  <si>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</si>
  <si>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</si>
  <si>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</si>
  <si>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</si>
  <si>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</si>
  <si>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</si>
  <si>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</si>
  <si>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</si>
  <si>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</si>
  <si>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</si>
  <si>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</si>
  <si>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</si>
  <si>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</si>
  <si>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</si>
  <si>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</si>
  <si>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</si>
  <si>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</si>
  <si>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</si>
  <si>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</si>
  <si>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</si>
  <si>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</si>
  <si>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</si>
  <si>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</si>
  <si>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</si>
  <si>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</si>
  <si>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</si>
  <si>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</si>
  <si>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</si>
  <si>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</si>
  <si>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</si>
  <si>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</si>
  <si>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</si>
  <si>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</si>
  <si>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</si>
  <si>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</si>
  <si>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</si>
  <si>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</si>
  <si>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</si>
  <si>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</si>
  <si>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</si>
  <si>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</si>
  <si>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</si>
  <si>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</si>
  <si>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</si>
  <si>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</si>
  <si>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</si>
  <si>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</si>
  <si>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</si>
  <si>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</si>
  <si>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</si>
  <si>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</si>
  <si>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</si>
  <si>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</si>
  <si>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</si>
  <si>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</si>
  <si>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</si>
  <si>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</si>
  <si>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</si>
  <si>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</si>
  <si>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</si>
  <si>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</si>
  <si>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</si>
  <si>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</si>
  <si>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</si>
  <si>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</si>
  <si>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</si>
  <si>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</si>
  <si>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</si>
  <si>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</si>
  <si>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</si>
  <si>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</si>
  <si>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</si>
  <si>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</si>
  <si>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</si>
  <si>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</si>
  <si>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</si>
  <si>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</si>
  <si>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</si>
  <si>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</si>
  <si>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</si>
  <si>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</si>
  <si>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</si>
  <si>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</si>
  <si>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</si>
  <si>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</si>
  <si>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</si>
  <si>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</si>
  <si>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</si>
  <si>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</si>
  <si>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</si>
  <si>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</si>
  <si>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</si>
  <si>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</si>
  <si>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</si>
  <si>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</si>
  <si>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</si>
  <si>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</si>
  <si>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</si>
  <si>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</si>
  <si>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</si>
  <si>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</si>
  <si>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</si>
  <si>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</si>
  <si>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</si>
  <si>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</si>
  <si>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</si>
  <si>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</si>
  <si>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</si>
  <si>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</si>
  <si>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</si>
  <si>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</si>
  <si>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</si>
  <si>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</si>
  <si>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</si>
  <si>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</si>
  <si>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</si>
  <si>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</si>
  <si>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</si>
  <si>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</si>
  <si>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</si>
  <si>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</si>
  <si>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</si>
  <si>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</si>
  <si>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</si>
  <si>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</si>
  <si>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</si>
  <si>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</si>
  <si>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</si>
  <si>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</si>
  <si>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</si>
  <si>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</si>
  <si>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</si>
  <si>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</si>
  <si>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</si>
  <si>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</si>
  <si>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</si>
  <si>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</si>
  <si>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</si>
  <si>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</si>
  <si>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</si>
  <si>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</si>
  <si>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</si>
  <si>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</si>
  <si>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</si>
  <si>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</si>
  <si>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</si>
  <si>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</si>
  <si>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</si>
  <si>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</si>
  <si>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</si>
  <si>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</si>
  <si>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</si>
  <si>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</si>
  <si>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</si>
  <si>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</si>
  <si>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</si>
  <si>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</si>
  <si>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</si>
  <si>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</si>
  <si>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</si>
  <si>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</si>
  <si>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</si>
  <si>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</si>
  <si>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</si>
  <si>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</si>
  <si>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</si>
  <si>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</si>
  <si>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</si>
  <si>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</si>
  <si>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</si>
  <si>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</si>
  <si>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</si>
  <si>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</si>
  <si>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</si>
  <si>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</si>
  <si>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</si>
  <si>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</si>
  <si>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</si>
  <si>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</si>
  <si>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</si>
  <si>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</si>
  <si>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</si>
  <si>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</si>
  <si>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</si>
  <si>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</si>
  <si>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</si>
  <si>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</si>
  <si>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</si>
  <si>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</si>
  <si>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</si>
  <si>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</si>
  <si>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</si>
  <si>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</si>
  <si>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</si>
  <si>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</si>
  <si>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</si>
  <si>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</si>
  <si>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</si>
  <si>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</si>
  <si>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</si>
  <si>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</si>
  <si>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</si>
  <si>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</si>
  <si>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</si>
  <si>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</si>
  <si>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</si>
  <si>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</si>
  <si>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</si>
  <si>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</si>
  <si>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</si>
  <si>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</si>
  <si>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</si>
  <si>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</si>
  <si>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</si>
  <si>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</si>
  <si>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</si>
  <si>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</si>
  <si>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</si>
  <si>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</si>
  <si>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</si>
  <si>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</si>
  <si>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</si>
  <si>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</si>
  <si>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</si>
  <si>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</si>
  <si>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</si>
  <si>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</si>
  <si>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</si>
  <si>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</si>
  <si>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</si>
  <si>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</si>
  <si>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</si>
  <si>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</si>
  <si>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</si>
  <si>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</si>
  <si>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</si>
  <si>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</si>
  <si>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</si>
  <si>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</si>
  <si>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</si>
  <si>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</si>
  <si>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</si>
  <si>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</si>
  <si>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</si>
  <si>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</si>
  <si>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</si>
  <si>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</si>
  <si>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</si>
  <si>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</si>
  <si>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</si>
  <si>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</si>
  <si>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</si>
  <si>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</si>
  <si>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</si>
  <si>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</si>
  <si>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</si>
  <si>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</si>
  <si>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</si>
  <si>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</si>
  <si>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</si>
  <si>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</si>
  <si>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</si>
  <si>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</si>
  <si>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</si>
  <si>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</si>
  <si>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</si>
  <si>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</si>
  <si>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</si>
  <si>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</si>
  <si>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</si>
  <si>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</si>
  <si>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</si>
  <si>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</si>
  <si>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</si>
  <si>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</si>
  <si>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</si>
  <si>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</si>
  <si>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</si>
  <si>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</si>
  <si>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</si>
  <si>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</si>
  <si>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</si>
  <si>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</si>
  <si>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</si>
  <si>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</si>
  <si>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</si>
  <si>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</si>
  <si>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</si>
  <si>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</si>
  <si>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</si>
  <si>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</si>
  <si>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</si>
  <si>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</si>
  <si>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</si>
  <si>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</si>
  <si>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</si>
  <si>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</si>
  <si>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</si>
  <si>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</si>
  <si>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</si>
  <si>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</si>
  <si>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</si>
  <si>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</si>
  <si>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</si>
  <si>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</si>
  <si>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</si>
  <si>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</si>
  <si>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</si>
  <si>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</si>
  <si>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</si>
  <si>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</si>
  <si>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</si>
  <si>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</si>
  <si>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</si>
  <si>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</si>
  <si>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</si>
  <si>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</si>
  <si>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</si>
  <si>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</si>
  <si>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</si>
  <si>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</si>
  <si>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</si>
  <si>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</si>
  <si>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</si>
  <si>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</si>
  <si>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</si>
  <si>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</si>
  <si>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</si>
  <si>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</si>
  <si>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</si>
  <si>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</si>
  <si>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</si>
  <si>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</si>
  <si>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</si>
  <si>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</si>
  <si>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</si>
  <si>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</si>
  <si>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</si>
  <si>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</si>
  <si>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</si>
  <si>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</si>
  <si>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</si>
  <si>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</si>
  <si>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</si>
  <si>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</si>
  <si>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</si>
  <si>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</si>
  <si>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</si>
  <si>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</si>
  <si>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</si>
  <si>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</si>
  <si>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</si>
  <si>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</si>
  <si>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</si>
  <si>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</si>
  <si>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</si>
  <si>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</si>
  <si>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</si>
  <si>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</si>
  <si>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</si>
  <si>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</si>
  <si>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</si>
  <si>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</si>
  <si>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</si>
  <si>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</si>
  <si>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</si>
  <si>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</si>
  <si>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</si>
  <si>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</si>
  <si>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教育×2＋敏捷或外貌×2</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</si>
  <si>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</si>
  <si>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</si>
  <si>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</si>
  <si>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</si>
  <si>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</si>
  <si>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</si>
  <si>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</si>
  <si>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</si>
  <si>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</si>
  <si>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</si>
  <si>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</si>
  <si>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</si>
  <si>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</si>
  <si>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</si>
  <si>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</si>
  <si>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</si>
  <si>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</si>
  <si>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</si>
  <si>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</si>
  <si>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</si>
  <si>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</si>
  <si>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</si>
  <si>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</si>
  <si>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</si>
  <si>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</si>
  <si>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</si>
  <si>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</si>
  <si>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</si>
  <si>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</si>
  <si>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</si>
  <si>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</si>
  <si>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</si>
  <si>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</si>
  <si>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</si>
  <si>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</si>
  <si>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</si>
  <si>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</si>
  <si>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</si>
  <si>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</si>
  <si>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</si>
  <si>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</si>
  <si>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</si>
  <si>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</si>
  <si>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</si>
  <si>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</si>
  <si>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</si>
  <si>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</si>
  <si>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</si>
  <si>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</si>
  <si>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</si>
  <si>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</si>
  <si>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</si>
  <si>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</si>
  <si>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</si>
  <si>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</si>
  <si>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</si>
  <si>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</si>
  <si>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</si>
  <si>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</si>
  <si>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</si>
  <si>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</si>
  <si>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</si>
  <si>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</si>
  <si>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</si>
  <si>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</si>
  <si>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</si>
  <si>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</si>
  <si>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</si>
  <si>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</si>
  <si>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</si>
  <si>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</si>
  <si>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</si>
  <si>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</si>
  <si>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</si>
  <si>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</si>
  <si>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</si>
  <si>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</si>
  <si>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</si>
  <si>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</si>
  <si>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</si>
  <si>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</si>
  <si>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</si>
  <si>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</si>
  <si>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</si>
  <si>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</si>
  <si>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</si>
  <si>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</si>
  <si>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</si>
  <si>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</si>
  <si>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</si>
  <si>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</si>
  <si>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</si>
  <si>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</si>
  <si>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</si>
  <si>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</si>
  <si>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</si>
  <si>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</si>
  <si>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</si>
  <si>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</si>
  <si>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</si>
  <si>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</si>
  <si>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</si>
  <si>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</si>
  <si>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</si>
  <si>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</si>
  <si>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</si>
  <si>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</si>
  <si>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</si>
  <si>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</si>
  <si>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</si>
  <si>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</si>
  <si>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</si>
  <si>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</si>
  <si>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</si>
  <si>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</si>
  <si>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</si>
  <si>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</si>
  <si>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</si>
  <si>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</si>
  <si>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</si>
  <si>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</si>
  <si>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</si>
  <si>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</si>
  <si>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</si>
  <si>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</si>
  <si>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相扑力士(SIZ&gt;80,附表!G14&gt;70)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</si>
  <si>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</si>
  <si>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</si>
  <si>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</si>
  <si>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</si>
  <si>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</si>
  <si>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</si>
  <si>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</si>
  <si>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</si>
  <si>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</si>
  <si>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</si>
  <si>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</si>
  <si>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</si>
  <si>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</si>
  <si>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</si>
  <si>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</si>
  <si>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</si>
  <si>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</si>
  <si>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</si>
  <si>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</si>
  <si>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</si>
  <si>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</si>
  <si>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</si>
  <si>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</si>
  <si>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</si>
  <si>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</si>
  <si>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</si>
  <si>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</si>
  <si>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</si>
  <si>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</si>
  <si>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</si>
  <si>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</si>
  <si>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</si>
  <si>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</si>
  <si>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</si>
  <si>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</si>
  <si>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</si>
  <si>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</si>
  <si>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</si>
  <si>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</si>
  <si>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</si>
  <si>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</si>
  <si>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</si>
  <si>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</si>
  <si>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</si>
  <si>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</si>
  <si>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</si>
  <si>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</si>
  <si>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</si>
  <si>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</si>
  <si>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</si>
  <si>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</si>
  <si>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</si>
  <si>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</si>
  <si>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</si>
  <si>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</si>
  <si>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</si>
  <si>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</si>
  <si>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</si>
  <si>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</si>
  <si>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</si>
  <si>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</si>
  <si>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</si>
  <si>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</si>
  <si>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</si>
  <si>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</si>
  <si>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</si>
  <si>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</si>
  <si>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</si>
  <si>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</si>
  <si>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</si>
  <si>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</si>
  <si>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</si>
  <si>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</si>
  <si>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</si>
  <si>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</si>
  <si>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</si>
  <si>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</si>
  <si>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</si>
  <si>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</si>
  <si>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</si>
  <si>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</si>
  <si>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</si>
  <si>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</si>
  <si>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</si>
  <si>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</si>
  <si>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</si>
  <si>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</si>
  <si>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</si>
  <si>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</si>
  <si>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</si>
  <si>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</si>
  <si>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</si>
  <si>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</si>
  <si>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</si>
  <si>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</si>
  <si>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</si>
  <si>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</si>
  <si>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</si>
  <si>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</si>
  <si>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</si>
  <si>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</si>
  <si>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</si>
  <si>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</si>
  <si>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</si>
  <si>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</si>
  <si>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</si>
  <si>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</si>
  <si>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</si>
  <si>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</si>
  <si>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</si>
  <si>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</si>
  <si>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</si>
  <si>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</si>
  <si>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</si>
  <si>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</si>
  <si>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</si>
  <si>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</si>
  <si>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</si>
  <si>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</si>
  <si>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</si>
  <si>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</si>
  <si>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</si>
  <si>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</si>
  <si>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</si>
  <si>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</si>
  <si>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</si>
  <si>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</si>
  <si>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总计成长</t>
  </si>
  <si>
    <t>请填入模组名称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</si>
  <si>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</si>
  <si>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</si>
  <si>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</si>
  <si>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</si>
  <si>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</si>
  <si>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</si>
  <si>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</si>
  <si>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</si>
  <si>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</si>
  <si>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</si>
  <si>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</si>
  <si>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</si>
  <si>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</si>
  <si>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</si>
  <si>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</si>
  <si>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</si>
  <si>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</si>
  <si>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</si>
  <si>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</si>
  <si>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</si>
  <si>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</si>
  <si>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</si>
  <si>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</si>
  <si>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</si>
  <si>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</si>
  <si>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</si>
  <si>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</si>
  <si>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</si>
  <si>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</si>
  <si>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</si>
  <si>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</si>
  <si>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</si>
  <si>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</si>
  <si>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</si>
  <si>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</si>
  <si>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</si>
  <si>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</si>
  <si>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</si>
  <si>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</si>
  <si>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</si>
  <si>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</si>
  <si>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</si>
  <si>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</si>
  <si>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</si>
  <si>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</si>
  <si>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</si>
  <si>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</si>
  <si>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</si>
  <si>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</si>
  <si>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</si>
  <si>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</si>
  <si>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</si>
  <si>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</si>
  <si>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</si>
  <si>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</si>
  <si>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</si>
  <si>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</si>
  <si>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</si>
  <si>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</si>
  <si>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</si>
  <si>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</si>
  <si>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</si>
  <si>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</si>
  <si>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</si>
  <si>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</si>
  <si>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</si>
  <si>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</si>
  <si>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</si>
  <si>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</si>
  <si>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</si>
  <si>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</si>
  <si>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</si>
  <si>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</si>
  <si>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</si>
  <si>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</si>
  <si>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</si>
  <si>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</si>
  <si>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</si>
  <si>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</si>
  <si>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</si>
  <si>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</si>
  <si>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</si>
  <si>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</si>
  <si>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</si>
  <si>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</si>
  <si>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</si>
  <si>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</si>
  <si>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</si>
  <si>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</si>
  <si>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</si>
  <si>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</si>
  <si>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</si>
  <si>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</si>
  <si>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</si>
  <si>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</si>
  <si>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</si>
  <si>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</si>
  <si>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</si>
  <si>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</si>
  <si>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请填入成长数值</t>
  </si>
  <si>
    <t>后面依次类推哦</t>
  </si>
  <si>
    <t>以上这些是示例</t>
  </si>
  <si>
    <t>格斗：斗殴</t>
  </si>
  <si>
    <t>射击：手枪</t>
  </si>
  <si>
    <t>自定义职业</t>
  </si>
  <si>
    <t>事务所侦探</t>
  </si>
  <si>
    <t>非熟练工人</t>
  </si>
  <si>
    <t>司法家</t>
  </si>
  <si>
    <t>赛车手/赛艇手</t>
  </si>
  <si>
    <t>相扑力士(SIZ&gt;80,STR&gt;70)</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</si>
  <si>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</si>
  <si>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</si>
  <si>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</si>
  <si>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</si>
  <si>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</si>
  <si>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</si>
  <si>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</si>
  <si>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</si>
  <si>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</si>
  <si>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</si>
  <si>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</si>
  <si>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</si>
  <si>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</si>
  <si>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</si>
  <si>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</si>
  <si>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</si>
  <si>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</si>
  <si>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</si>
  <si>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</si>
  <si>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</si>
  <si>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</si>
  <si>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</si>
  <si>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</si>
  <si>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</si>
  <si>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</si>
  <si>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</si>
  <si>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</si>
  <si>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</si>
  <si>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</si>
  <si>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</si>
  <si>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</si>
  <si>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</si>
  <si>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</si>
  <si>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</si>
  <si>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</si>
  <si>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</si>
  <si>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</si>
  <si>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</si>
  <si>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</si>
  <si>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</si>
  <si>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</si>
  <si>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</si>
  <si>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</si>
  <si>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</si>
  <si>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</si>
  <si>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</si>
  <si>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</si>
  <si>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</si>
  <si>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</si>
  <si>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</si>
  <si>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</si>
  <si>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</si>
  <si>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</si>
  <si>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</si>
  <si>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</si>
  <si>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</si>
  <si>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</si>
  <si>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</si>
  <si>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</si>
  <si>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</si>
  <si>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</si>
  <si>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</si>
  <si>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</si>
  <si>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</si>
  <si>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</si>
  <si>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</si>
  <si>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</si>
  <si>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</si>
  <si>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</si>
  <si>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</si>
  <si>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</si>
  <si>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</si>
  <si>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</si>
  <si>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</si>
  <si>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</si>
  <si>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</si>
  <si>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</si>
  <si>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使用</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</si>
  <si>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</si>
  <si>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</si>
  <si>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</si>
  <si>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</si>
  <si>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</si>
  <si>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</si>
  <si>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</si>
  <si>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</si>
  <si>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</si>
  <si>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</si>
  <si>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</si>
  <si>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</si>
  <si>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</si>
  <si>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</si>
  <si>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</si>
  <si>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</si>
  <si>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</si>
  <si>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</si>
  <si>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</si>
  <si>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</si>
  <si>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</si>
  <si>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</si>
  <si>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</si>
  <si>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</si>
  <si>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</si>
  <si>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</si>
  <si>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</si>
  <si>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</si>
  <si>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</si>
  <si>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</si>
  <si>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</si>
  <si>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</si>
  <si>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</si>
  <si>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</si>
  <si>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</si>
  <si>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</si>
  <si>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</si>
  <si>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</si>
  <si>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</si>
  <si>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</si>
  <si>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</si>
  <si>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</si>
  <si>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</si>
  <si>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</si>
  <si>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</si>
  <si>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</si>
  <si>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</si>
  <si>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</si>
  <si>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</si>
  <si>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</si>
  <si>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</si>
  <si>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</si>
  <si>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</si>
  <si>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</si>
  <si>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</si>
  <si>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</si>
  <si>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</si>
  <si>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</si>
  <si>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</si>
  <si>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数</t>
  </si>
  <si>
    <t>目前值</t>
  </si>
  <si>
    <t>肩</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</si>
  <si>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</si>
  <si>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</si>
  <si>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</si>
  <si>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</si>
  <si>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</si>
  <si>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</si>
  <si>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</si>
  <si>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</si>
  <si>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</si>
  <si>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</si>
  <si>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</si>
  <si>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</si>
  <si>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</si>
  <si>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</si>
  <si>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</si>
  <si>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</si>
  <si>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</si>
  <si>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</si>
  <si>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</si>
  <si>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</si>
  <si>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</si>
  <si>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</si>
  <si>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</si>
  <si>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</si>
  <si>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</si>
  <si>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</si>
  <si>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</si>
  <si>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</si>
  <si>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</si>
  <si>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</si>
  <si>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</si>
  <si>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</si>
  <si>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</si>
  <si>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</si>
  <si>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</si>
  <si>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</si>
  <si>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</si>
  <si>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</si>
  <si>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</si>
  <si>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</si>
  <si>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</si>
  <si>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</si>
  <si>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</si>
  <si>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</si>
  <si>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</si>
  <si>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</si>
  <si>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</si>
  <si>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</si>
  <si>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</si>
  <si>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</si>
  <si>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</si>
  <si>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</si>
  <si>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</si>
  <si>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</si>
  <si>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</si>
  <si>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</si>
  <si>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</si>
  <si>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</si>
  <si>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</si>
  <si>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</si>
  <si>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</si>
  <si>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</si>
  <si>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</si>
  <si>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</si>
  <si>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</si>
  <si>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</si>
  <si>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</si>
  <si>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</si>
  <si>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</si>
  <si>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</si>
  <si>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</si>
  <si>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</si>
  <si>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</si>
  <si>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</si>
  <si>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</si>
  <si>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</si>
  <si>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</si>
  <si>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</si>
  <si>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</si>
  <si>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</si>
  <si>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</si>
  <si>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</si>
  <si>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</si>
  <si>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</si>
  <si>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</si>
  <si>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</si>
  <si>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</si>
  <si>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</si>
  <si>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</si>
  <si>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</si>
  <si>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</si>
  <si>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</si>
  <si>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</si>
  <si>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</si>
  <si>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</si>
  <si>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</si>
  <si>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</si>
  <si>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</si>
  <si>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</si>
  <si>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</si>
  <si>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</si>
  <si>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</si>
  <si>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</si>
  <si>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</si>
  <si>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</si>
  <si>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</si>
  <si>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</si>
  <si>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</si>
  <si>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</si>
  <si>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</si>
  <si>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</si>
  <si>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</si>
  <si>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</si>
  <si>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</si>
  <si>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</si>
  <si>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</si>
  <si>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</si>
  <si>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</si>
  <si>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</si>
  <si>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</si>
  <si>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</si>
  <si>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</si>
  <si>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</si>
  <si>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</si>
  <si>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</si>
  <si>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</si>
  <si>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</si>
  <si>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</si>
  <si>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</si>
  <si>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</si>
  <si>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</si>
  <si>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</si>
  <si>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</si>
  <si>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</si>
  <si>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</si>
  <si>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</si>
  <si>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</si>
  <si>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</si>
  <si>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</si>
  <si>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</si>
  <si>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</si>
  <si>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</si>
  <si>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</si>
  <si>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</si>
  <si>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</si>
  <si>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</si>
  <si>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</si>
  <si>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</si>
  <si>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</si>
  <si>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</si>
  <si>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</si>
  <si>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</si>
  <si>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</si>
  <si>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</si>
  <si>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</si>
  <si>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</si>
  <si>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</si>
  <si>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</si>
  <si>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</si>
  <si>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</si>
  <si>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</si>
  <si>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</si>
  <si>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</si>
  <si>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</si>
  <si>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</si>
  <si>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</si>
  <si>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</si>
  <si>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</si>
  <si>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</si>
  <si>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</si>
  <si>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</si>
  <si>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</si>
  <si>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</si>
  <si>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</si>
  <si>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</si>
  <si>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</si>
  <si>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</si>
  <si>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</si>
  <si>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</si>
  <si>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</si>
  <si>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</si>
  <si>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</si>
  <si>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</si>
  <si>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</si>
  <si>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</si>
  <si>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</si>
  <si>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</si>
  <si>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</si>
  <si>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</si>
  <si>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</si>
  <si>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</si>
  <si>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</si>
  <si>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</si>
  <si>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</si>
  <si>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</si>
  <si>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</si>
  <si>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</si>
  <si>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</si>
  <si>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</si>
  <si>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</si>
  <si>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</si>
  <si>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</si>
  <si>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</si>
  <si>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</si>
  <si>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</si>
  <si>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</si>
  <si>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</si>
  <si>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</si>
  <si>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</si>
  <si>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</si>
  <si>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</si>
  <si>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</si>
  <si>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</si>
  <si>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</si>
  <si>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</si>
  <si>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</si>
  <si>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</si>
  <si>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</si>
  <si>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</si>
  <si>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</si>
  <si>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</si>
  <si>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</si>
  <si>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</si>
  <si>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</si>
  <si>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</si>
  <si>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</si>
  <si>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</si>
  <si>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</si>
  <si>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</si>
  <si>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</si>
  <si>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</si>
  <si>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</si>
  <si>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</si>
  <si>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</si>
  <si>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</si>
  <si>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</si>
  <si>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</si>
  <si>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</si>
  <si>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</si>
  <si>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</si>
  <si>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</si>
  <si>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</si>
  <si>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</si>
  <si>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</si>
  <si>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</si>
  <si>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</si>
  <si>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</si>
  <si>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</si>
  <si>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</si>
  <si>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</si>
  <si>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</si>
  <si>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</si>
  <si>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</si>
  <si>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</si>
  <si>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</si>
  <si>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</si>
  <si>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</si>
  <si>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</si>
  <si>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</si>
  <si>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</si>
  <si>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</si>
  <si>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</si>
  <si>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</si>
  <si>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</si>
  <si>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</si>
  <si>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</si>
  <si>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</si>
  <si>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</si>
  <si>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</si>
  <si>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</si>
  <si>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</si>
  <si>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</si>
  <si>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</si>
  <si>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</si>
  <si>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</si>
  <si>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</si>
  <si>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</si>
  <si>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</si>
  <si>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</si>
  <si>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</si>
  <si>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</si>
  <si>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</si>
  <si>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</si>
  <si>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</si>
  <si>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</si>
  <si>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</si>
  <si>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</si>
  <si>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</si>
  <si>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</si>
  <si>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</si>
  <si>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</si>
  <si>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</si>
  <si>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</si>
  <si>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</si>
  <si>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</si>
  <si>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</si>
  <si>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</si>
  <si>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</si>
  <si>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</si>
  <si>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</si>
  <si>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</si>
  <si>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</si>
  <si>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</si>
  <si>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</si>
  <si>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</si>
  <si>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</si>
  <si>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</si>
  <si>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</si>
  <si>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</si>
  <si>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</si>
  <si>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</si>
  <si>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</si>
  <si>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</si>
  <si>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</si>
  <si>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</si>
  <si>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</si>
  <si>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</si>
  <si>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</si>
  <si>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</si>
  <si>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</si>
  <si>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</si>
  <si>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</si>
  <si>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</si>
  <si>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</si>
  <si>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</si>
  <si>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</si>
  <si>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</si>
  <si>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</si>
  <si>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</si>
  <si>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</si>
  <si>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</si>
  <si>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</si>
  <si>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</si>
  <si>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</si>
  <si>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</si>
  <si>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</si>
  <si>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</si>
  <si>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</si>
  <si>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</si>
  <si>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</si>
  <si>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</si>
  <si>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</si>
  <si>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</si>
  <si>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</si>
  <si>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</si>
  <si>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</si>
  <si>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</si>
  <si>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</si>
  <si>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</si>
  <si>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</si>
  <si>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</si>
  <si>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</si>
  <si>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</si>
  <si>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</si>
  <si>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</si>
  <si>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</si>
  <si>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</si>
  <si>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</si>
  <si>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</si>
  <si>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</si>
  <si>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</si>
  <si>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</si>
  <si>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</si>
  <si>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</si>
  <si>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</si>
  <si>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</si>
  <si>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</si>
  <si>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</si>
  <si>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</si>
  <si>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</si>
  <si>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</si>
  <si>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</si>
  <si>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</si>
  <si>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</si>
  <si>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</si>
  <si>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</si>
  <si>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</si>
  <si>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</si>
  <si>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</si>
  <si>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</si>
  <si>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</si>
  <si>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</si>
  <si>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</si>
  <si>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</si>
  <si>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</si>
  <si>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</si>
  <si>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</si>
  <si>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</si>
  <si>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</si>
  <si>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</si>
  <si>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</si>
  <si>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</si>
  <si>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</si>
  <si>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</si>
  <si>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</si>
  <si>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</si>
  <si>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</si>
  <si>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</si>
  <si>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</si>
  <si>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</si>
  <si>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</si>
  <si>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</si>
  <si>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</si>
  <si>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</si>
  <si>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</si>
  <si>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</si>
  <si>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</si>
  <si>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</si>
  <si>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</si>
  <si>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</si>
  <si>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</si>
  <si>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</si>
  <si>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</si>
  <si>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</si>
  <si>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</si>
  <si>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</si>
  <si>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</si>
  <si>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</si>
  <si>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</si>
  <si>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</si>
  <si>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</si>
  <si>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</si>
  <si>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</si>
  <si>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</si>
  <si>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</si>
  <si>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</si>
  <si>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</si>
  <si>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</si>
  <si>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</si>
  <si>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</si>
  <si>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</si>
  <si>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</si>
  <si>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</si>
  <si>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</si>
  <si>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</si>
  <si>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</si>
  <si>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</si>
  <si>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</si>
  <si>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</si>
  <si>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</si>
  <si>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</si>
  <si>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</si>
  <si>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</si>
  <si>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</si>
  <si>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</si>
  <si>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</si>
  <si>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</si>
  <si>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</si>
  <si>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</si>
  <si>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</si>
  <si>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</si>
  <si>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</si>
  <si>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</si>
  <si>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</si>
  <si>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</si>
  <si>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</si>
  <si>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</si>
  <si>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</si>
  <si>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</si>
  <si>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</si>
  <si>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</si>
  <si>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</si>
  <si>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</si>
  <si>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</si>
  <si>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</si>
  <si>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</si>
  <si>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</si>
  <si>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</si>
  <si>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</si>
  <si>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</si>
  <si>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</si>
  <si>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</si>
  <si>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</si>
  <si>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</si>
  <si>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</si>
  <si>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</si>
  <si>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</si>
  <si>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</si>
  <si>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</si>
  <si>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</si>
  <si>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</si>
  <si>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</si>
  <si>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</si>
  <si>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</si>
  <si>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</si>
  <si>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</si>
  <si>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</si>
  <si>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</si>
  <si>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</si>
  <si>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</si>
  <si>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</si>
  <si>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</si>
  <si>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</si>
  <si>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</si>
  <si>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</si>
  <si>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</si>
  <si>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</si>
  <si>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</si>
  <si>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</si>
  <si>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</si>
  <si>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</si>
  <si>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</si>
  <si>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</si>
  <si>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</si>
  <si>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</si>
  <si>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</si>
  <si>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</si>
  <si>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</si>
  <si>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</si>
  <si>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</si>
  <si>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</si>
  <si>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</si>
  <si>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</si>
  <si>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</si>
  <si>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</si>
  <si>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</si>
  <si>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</si>
  <si>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</si>
  <si>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</si>
  <si>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</si>
  <si>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</si>
  <si>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</si>
  <si>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</si>
  <si>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</si>
  <si>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</si>
  <si>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</si>
  <si>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</si>
  <si>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</si>
  <si>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</si>
  <si>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</si>
  <si>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</si>
  <si>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</si>
  <si>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</si>
  <si>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</si>
  <si>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</si>
  <si>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</si>
  <si>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</si>
  <si>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</si>
  <si>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</si>
  <si>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</si>
  <si>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</si>
  <si>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</si>
  <si>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</si>
  <si>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</si>
  <si>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</si>
  <si>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</si>
  <si>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</si>
  <si>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</si>
  <si>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</si>
  <si>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</si>
  <si>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</si>
  <si>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</si>
  <si>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</si>
  <si>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</si>
  <si>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</si>
  <si>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</si>
  <si>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</si>
  <si>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</si>
  <si>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</si>
  <si>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</si>
  <si>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</si>
  <si>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</si>
  <si>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</si>
  <si>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</si>
  <si>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</si>
  <si>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</si>
  <si>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</si>
  <si>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</si>
  <si>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</si>
  <si>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</si>
  <si>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</si>
  <si>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</si>
  <si>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</si>
  <si>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</si>
  <si>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</si>
  <si>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</si>
  <si>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</si>
  <si>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</si>
  <si>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</si>
  <si>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</si>
  <si>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</si>
  <si>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</si>
  <si>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</si>
  <si>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</si>
  <si>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</si>
  <si>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</si>
  <si>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</si>
  <si>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</si>
  <si>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</si>
  <si>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</si>
  <si>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</si>
  <si>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</si>
  <si>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</si>
  <si>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</si>
  <si>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</si>
  <si>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</si>
  <si>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</si>
  <si>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</si>
  <si>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</si>
  <si>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</si>
  <si>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</si>
  <si>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</si>
  <si>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</si>
  <si>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</si>
  <si>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</si>
  <si>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</si>
  <si>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</si>
  <si>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</si>
  <si>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</si>
  <si>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</si>
  <si>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</si>
  <si>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</si>
  <si>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</si>
  <si>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</si>
  <si>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</si>
  <si>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</si>
  <si>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</si>
  <si>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</si>
  <si>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</si>
  <si>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</si>
  <si>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</si>
  <si>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</si>
  <si>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</si>
  <si>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</si>
  <si>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</si>
  <si>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</si>
  <si>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</si>
  <si>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</si>
  <si>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</si>
  <si>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</si>
  <si>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</si>
  <si>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</si>
  <si>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</si>
  <si>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</si>
  <si>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</si>
  <si>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</si>
  <si>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</si>
  <si>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</si>
  <si>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</si>
  <si>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</si>
  <si>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</si>
  <si>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</si>
  <si>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</si>
  <si>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</si>
  <si>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</si>
  <si>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</si>
  <si>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</si>
  <si>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</si>
  <si>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</si>
  <si>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</si>
  <si>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</si>
  <si>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</si>
  <si>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</si>
  <si>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</si>
  <si>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</si>
  <si>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</si>
  <si>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</si>
  <si>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</si>
  <si>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</si>
  <si>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</si>
  <si>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</si>
  <si>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</si>
  <si>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</si>
  <si>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</si>
  <si>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</si>
  <si>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</si>
  <si>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</si>
  <si>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</si>
  <si>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</si>
  <si>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</si>
  <si>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</si>
  <si>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</si>
  <si>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</si>
  <si>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</si>
  <si>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</si>
  <si>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</si>
  <si>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</si>
  <si>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</si>
  <si>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</si>
  <si>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</si>
  <si>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</si>
  <si>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</si>
  <si>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</si>
  <si>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</si>
  <si>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</si>
  <si>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</si>
  <si>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</si>
  <si>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</si>
  <si>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</si>
  <si>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</si>
  <si>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</si>
  <si>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</si>
  <si>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</si>
  <si>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</si>
  <si>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</si>
  <si>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</si>
  <si>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</si>
  <si>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</si>
  <si>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</si>
  <si>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</si>
  <si>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</si>
  <si>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</si>
  <si>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</si>
  <si>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</si>
  <si>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</si>
  <si>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</si>
  <si>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</si>
  <si>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</si>
  <si>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</si>
  <si>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</si>
  <si>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</si>
  <si>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</si>
  <si>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</si>
  <si>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</si>
  <si>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</si>
  <si>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</si>
  <si>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</si>
  <si>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</si>
  <si>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</si>
  <si>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</si>
  <si>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</si>
  <si>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</si>
  <si>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</si>
  <si>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</si>
  <si>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</si>
  <si>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</si>
  <si>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</si>
  <si>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</si>
  <si>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</si>
  <si>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</si>
  <si>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</si>
  <si>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</si>
  <si>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</si>
  <si>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</si>
  <si>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</si>
  <si>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</si>
  <si>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</si>
  <si>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</si>
  <si>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</si>
  <si>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</si>
  <si>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</si>
  <si>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</si>
  <si>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</si>
  <si>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</si>
  <si>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</si>
  <si>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</si>
  <si>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</si>
  <si>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</si>
  <si>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</si>
  <si>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</si>
  <si>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</si>
  <si>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</si>
  <si>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</si>
  <si>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</si>
  <si>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</si>
  <si>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</si>
  <si>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</si>
  <si>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</si>
  <si>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</si>
  <si>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</si>
  <si>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</si>
  <si>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</si>
  <si>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</si>
  <si>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</si>
  <si>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</si>
  <si>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</si>
  <si>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</si>
  <si>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</si>
  <si>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</si>
  <si>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</si>
  <si>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</si>
  <si>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</si>
  <si>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</si>
  <si>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</si>
  <si>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</si>
  <si>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</si>
  <si>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</si>
  <si>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</si>
  <si>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</si>
  <si>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</si>
  <si>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</si>
  <si>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</si>
  <si>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</si>
  <si>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</si>
  <si>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</si>
  <si>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</si>
  <si>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</si>
  <si>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</si>
  <si>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</si>
  <si>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</si>
  <si>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</si>
  <si>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</si>
  <si>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</si>
  <si>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</si>
  <si>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</si>
  <si>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</si>
  <si>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</si>
  <si>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</si>
  <si>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</si>
  <si>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</si>
  <si>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</si>
  <si>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</si>
  <si>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</si>
  <si>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</si>
  <si>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</si>
  <si>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</si>
  <si>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</si>
  <si>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</si>
  <si>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</si>
  <si>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</si>
  <si>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</si>
  <si>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</si>
  <si>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</si>
  <si>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</si>
  <si>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</si>
  <si>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</si>
  <si>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</si>
  <si>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</si>
  <si>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</si>
  <si>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</si>
  <si>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</si>
  <si>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</si>
  <si>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</si>
  <si>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</si>
  <si>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</si>
  <si>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</si>
  <si>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</si>
  <si>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</si>
  <si>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</si>
  <si>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</si>
  <si>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</si>
  <si>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</si>
  <si>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</si>
  <si>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</si>
  <si>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</si>
  <si>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</si>
  <si>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</si>
  <si>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</si>
  <si>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</si>
  <si>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</si>
  <si>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</si>
  <si>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</si>
  <si>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</si>
  <si>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</si>
  <si>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</si>
  <si>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</si>
  <si>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</si>
  <si>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</si>
  <si>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</si>
  <si>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</si>
  <si>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</si>
  <si>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</si>
  <si>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</si>
  <si>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</si>
  <si>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</si>
  <si>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</si>
  <si>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</si>
  <si>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</si>
  <si>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</si>
  <si>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</si>
  <si>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</si>
  <si>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</si>
  <si>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</si>
  <si>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</si>
  <si>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</si>
  <si>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</si>
  <si>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</si>
  <si>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</si>
  <si>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</si>
  <si>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</si>
  <si>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</si>
  <si>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</si>
  <si>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</si>
  <si>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</si>
  <si>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</si>
  <si>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</si>
  <si>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</si>
  <si>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</si>
  <si>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</si>
  <si>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</si>
  <si>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</si>
  <si>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</si>
  <si>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</si>
  <si>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</si>
  <si>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</si>
  <si>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</si>
  <si>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</si>
  <si>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</si>
  <si>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</si>
  <si>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</si>
  <si>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</si>
  <si>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</si>
  <si>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</si>
  <si>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</si>
  <si>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</si>
  <si>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</si>
  <si>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</si>
  <si>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</si>
  <si>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</si>
  <si>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</si>
  <si>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</si>
  <si>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</si>
  <si>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</si>
  <si>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</si>
  <si>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</si>
  <si>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</si>
  <si>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</si>
  <si>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</si>
  <si>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</si>
  <si>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</si>
  <si>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</si>
  <si>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</si>
  <si>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</si>
  <si>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</si>
  <si>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</si>
  <si>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</si>
  <si>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</si>
  <si>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</si>
  <si>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</si>
  <si>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</si>
  <si>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</si>
  <si>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</si>
  <si>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</si>
  <si>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</si>
  <si>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</si>
  <si>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</si>
  <si>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</si>
  <si>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</si>
  <si>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</si>
  <si>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</si>
  <si>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</si>
  <si>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</si>
  <si>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</si>
  <si>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</si>
  <si>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</si>
  <si>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</si>
  <si>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</si>
  <si>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</si>
  <si>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</si>
  <si>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</si>
  <si>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</si>
  <si>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</si>
  <si>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</si>
  <si>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</si>
  <si>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</si>
  <si>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</si>
  <si>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</si>
  <si>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</si>
  <si>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</si>
  <si>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</si>
  <si>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</si>
  <si>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</si>
  <si>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</si>
  <si>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</si>
  <si>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</si>
  <si>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</si>
  <si>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</si>
  <si>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</si>
  <si>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</si>
  <si>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</si>
  <si>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</si>
  <si>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</si>
  <si>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</si>
  <si>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</si>
  <si>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</si>
  <si>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</si>
  <si>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</si>
  <si>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</si>
  <si>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</si>
  <si>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</si>
  <si>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</si>
  <si>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</si>
  <si>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</si>
  <si>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</si>
  <si>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</si>
  <si>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</si>
  <si>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</si>
  <si>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</si>
  <si>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</si>
  <si>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</si>
  <si>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</si>
  <si>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</si>
  <si>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</si>
  <si>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</si>
  <si>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</si>
  <si>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</si>
  <si>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</si>
  <si>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</si>
  <si>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</si>
  <si>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</si>
  <si>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</si>
  <si>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</si>
  <si>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</si>
  <si>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</si>
  <si>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</si>
  <si>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</si>
  <si>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</si>
  <si>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</si>
  <si>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</si>
  <si>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</si>
  <si>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</si>
  <si>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</si>
  <si>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</si>
  <si>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</si>
  <si>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</si>
  <si>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</si>
  <si>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</si>
  <si>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</si>
  <si>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</si>
  <si>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</si>
  <si>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</si>
  <si>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</si>
  <si>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</si>
  <si>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</si>
  <si>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</si>
  <si>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</si>
  <si>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</si>
  <si>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</si>
  <si>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</si>
  <si>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</si>
  <si>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</si>
  <si>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</si>
  <si>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</si>
  <si>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</si>
  <si>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</si>
  <si>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</si>
  <si>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</si>
  <si>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</si>
  <si>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</si>
  <si>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</si>
  <si>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</si>
  <si>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</si>
  <si>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</si>
  <si>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</si>
  <si>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</si>
  <si>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</si>
  <si>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</si>
  <si>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</si>
  <si>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</si>
  <si>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</si>
  <si>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</si>
  <si>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</si>
  <si>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</si>
  <si>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</si>
  <si>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</si>
  <si>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</si>
  <si>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</si>
  <si>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</si>
  <si>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</si>
  <si>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</si>
  <si>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</si>
  <si>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</si>
  <si>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</si>
  <si>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</si>
  <si>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</si>
  <si>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</si>
  <si>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</si>
  <si>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</si>
  <si>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</si>
  <si>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</si>
  <si>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</si>
  <si>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</si>
  <si>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</si>
  <si>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</si>
  <si>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</si>
  <si>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</si>
  <si>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</si>
  <si>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</si>
  <si>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</si>
  <si>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</si>
  <si>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</si>
  <si>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</si>
  <si>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</si>
  <si>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</si>
  <si>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</si>
  <si>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</si>
  <si>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</si>
  <si>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</si>
  <si>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</si>
  <si>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</si>
  <si>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</si>
  <si>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</si>
  <si>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</si>
  <si>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</si>
  <si>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</si>
  <si>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</si>
  <si>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</si>
  <si>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</si>
  <si>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</si>
  <si>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</si>
  <si>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</si>
  <si>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</si>
  <si>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</si>
  <si>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</si>
  <si>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</si>
  <si>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</si>
  <si>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</si>
  <si>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</si>
  <si>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</si>
  <si>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</si>
  <si>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</si>
  <si>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</si>
  <si>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</si>
  <si>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</si>
  <si>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</si>
  <si>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</si>
  <si>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</si>
  <si>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</si>
  <si>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</si>
  <si>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</si>
  <si>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</si>
  <si>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</si>
  <si>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</si>
  <si>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</si>
  <si>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</si>
  <si>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</si>
  <si>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</si>
  <si>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</si>
  <si>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</si>
  <si>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</si>
  <si>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</si>
  <si>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</si>
  <si>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</si>
  <si>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</si>
  <si>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</si>
  <si>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</si>
  <si>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</si>
  <si>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</si>
  <si>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</si>
  <si>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</si>
  <si>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</si>
  <si>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</si>
  <si>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</si>
  <si>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</si>
  <si>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</si>
  <si>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</si>
  <si>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</si>
  <si>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</si>
  <si>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</si>
  <si>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</si>
  <si>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</si>
  <si>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</si>
  <si>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</si>
  <si>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</si>
  <si>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</si>
  <si>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</si>
  <si>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</si>
  <si>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</si>
  <si>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</si>
  <si>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</si>
  <si>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</si>
  <si>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</si>
  <si>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</si>
  <si>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</si>
  <si>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</si>
  <si>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</si>
  <si>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</si>
  <si>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</si>
  <si>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</si>
  <si>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</si>
  <si>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</si>
  <si>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</si>
  <si>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</si>
  <si>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</si>
  <si>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</si>
  <si>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</si>
  <si>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</si>
  <si>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</si>
  <si>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</si>
  <si>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</si>
  <si>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</si>
  <si>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</si>
  <si>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</si>
  <si>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</si>
  <si>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</si>
  <si>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</si>
  <si>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</si>
  <si>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</si>
  <si>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</si>
  <si>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</si>
  <si>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</si>
  <si>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</si>
  <si>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</si>
  <si>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</si>
  <si>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</si>
  <si>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</si>
  <si>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</si>
  <si>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</si>
  <si>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</si>
  <si>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</si>
  <si>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</si>
  <si>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</si>
  <si>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</si>
  <si>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</si>
  <si>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</si>
  <si>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</si>
  <si>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</si>
  <si>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</si>
  <si>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</si>
  <si>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</si>
  <si>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</si>
  <si>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</si>
  <si>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</si>
  <si>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</si>
  <si>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</si>
  <si>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</si>
  <si>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</si>
  <si>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</si>
  <si>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</si>
  <si>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</si>
  <si>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</si>
  <si>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</si>
  <si>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</si>
  <si>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</si>
  <si>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</si>
  <si>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</si>
  <si>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</si>
  <si>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</si>
  <si>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</si>
  <si>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</si>
  <si>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</si>
  <si>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</si>
  <si>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</si>
  <si>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</si>
  <si>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</si>
  <si>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</si>
  <si>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</si>
  <si>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</si>
  <si>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</si>
  <si>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</si>
  <si>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</si>
  <si>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</si>
  <si>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</si>
  <si>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</si>
  <si>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</si>
  <si>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</si>
  <si>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</si>
  <si>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</si>
  <si>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</si>
  <si>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</si>
  <si>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</si>
  <si>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</si>
  <si>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</si>
  <si>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</si>
  <si>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</si>
  <si>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</si>
  <si>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</si>
  <si>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</si>
  <si>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</si>
  <si>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</si>
  <si>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</si>
  <si>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</si>
  <si>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</si>
  <si>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</si>
  <si>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</si>
  <si>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</si>
  <si>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</si>
  <si>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</si>
  <si>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</si>
  <si>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</si>
  <si>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</si>
  <si>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</si>
  <si>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</si>
  <si>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</si>
  <si>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</si>
  <si>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</si>
  <si>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</si>
  <si>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</si>
  <si>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</si>
  <si>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</si>
  <si>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</si>
  <si>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</si>
  <si>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</si>
  <si>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</si>
  <si>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</si>
  <si>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</si>
  <si>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</si>
  <si>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</si>
  <si>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</si>
  <si>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</si>
  <si>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</si>
  <si>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</si>
  <si>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</si>
  <si>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</si>
  <si>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</si>
  <si>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</si>
  <si>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</si>
  <si>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</si>
  <si>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</si>
  <si>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</si>
  <si>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</si>
  <si>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</si>
  <si>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</si>
  <si>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</si>
  <si>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</si>
  <si>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</si>
  <si>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</si>
  <si>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</si>
  <si>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</si>
  <si>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</si>
  <si>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</si>
  <si>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</si>
  <si>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</si>
  <si>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</si>
  <si>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</si>
  <si>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</si>
  <si>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</si>
  <si>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</si>
  <si>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</si>
  <si>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</si>
  <si>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</si>
  <si>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</si>
  <si>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</si>
  <si>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</si>
  <si>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</si>
  <si>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</si>
  <si>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</si>
  <si>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</si>
  <si>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</si>
  <si>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</si>
  <si>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</si>
  <si>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</si>
  <si>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</si>
  <si>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</si>
  <si>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</si>
  <si>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</si>
  <si>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</si>
  <si>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</si>
  <si>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</si>
  <si>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</si>
  <si>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</si>
  <si>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</si>
  <si>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</si>
  <si>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</si>
  <si>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</si>
  <si>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</si>
  <si>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</si>
  <si>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</si>
  <si>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</si>
  <si>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</si>
  <si>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</si>
  <si>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</si>
  <si>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</si>
  <si>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</si>
  <si>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</si>
  <si>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</si>
  <si>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</si>
  <si>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</si>
  <si>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</si>
  <si>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</si>
  <si>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</si>
  <si>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</si>
  <si>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</si>
  <si>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</si>
  <si>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</si>
  <si>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</si>
  <si>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</si>
  <si>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</si>
  <si>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</si>
  <si>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</si>
  <si>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</si>
  <si>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</si>
  <si>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</si>
  <si>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</si>
  <si>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</si>
  <si>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</si>
  <si>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</si>
  <si>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</si>
  <si>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</si>
  <si>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</si>
  <si>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</si>
  <si>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</si>
  <si>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</si>
  <si>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</si>
  <si>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</si>
  <si>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</si>
  <si>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</si>
  <si>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</si>
  <si>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</si>
  <si>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</si>
  <si>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</si>
  <si>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</si>
  <si>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</si>
  <si>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</si>
  <si>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</si>
  <si>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</si>
  <si>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</si>
  <si>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</si>
  <si>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</si>
  <si>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</si>
  <si>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</si>
  <si>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</si>
  <si>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</si>
  <si>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</si>
  <si>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</si>
  <si>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</si>
  <si>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</si>
  <si>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</si>
  <si>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</si>
  <si>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</si>
  <si>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</si>
  <si>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</si>
  <si>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</si>
  <si>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</si>
  <si>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</si>
  <si>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</si>
  <si>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</si>
  <si>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</si>
  <si>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</si>
  <si>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</si>
  <si>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</si>
  <si>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</si>
  <si>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</si>
  <si>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</si>
  <si>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</si>
  <si>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</si>
  <si>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</si>
  <si>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</si>
  <si>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</si>
  <si>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</si>
  <si>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</si>
  <si>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</si>
  <si>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</si>
  <si>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</si>
  <si>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</si>
  <si>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</si>
  <si>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</si>
  <si>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</si>
  <si>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</si>
  <si>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</si>
  <si>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</si>
  <si>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</si>
  <si>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</si>
  <si>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</si>
  <si>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</si>
  <si>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</si>
  <si>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</si>
  <si>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</si>
  <si>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</si>
  <si>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</si>
  <si>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</si>
  <si>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</si>
  <si>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</si>
  <si>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</si>
  <si>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</si>
  <si>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</si>
  <si>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</si>
  <si>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</si>
  <si>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</si>
  <si>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</si>
  <si>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</si>
  <si>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</si>
  <si>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</si>
  <si>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</si>
  <si>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</si>
  <si>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</si>
  <si>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</si>
  <si>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</si>
  <si>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</si>
  <si>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</si>
  <si>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</si>
  <si>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</si>
  <si>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</si>
  <si>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</si>
  <si>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</si>
  <si>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</si>
  <si>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</si>
  <si>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</si>
  <si>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</si>
  <si>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</si>
  <si>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</si>
  <si>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</si>
  <si>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</si>
  <si>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</si>
  <si>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</si>
  <si>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</si>
  <si>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</si>
  <si>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</si>
  <si>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</si>
  <si>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</si>
  <si>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</si>
  <si>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</si>
  <si>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</si>
  <si>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</si>
  <si>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</si>
  <si>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</si>
  <si>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</si>
  <si>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</si>
  <si>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</si>
  <si>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</si>
  <si>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</si>
  <si>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</si>
  <si>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</si>
  <si>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</si>
  <si>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</si>
  <si>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</si>
  <si>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</si>
  <si>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</si>
  <si>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</si>
  <si>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</si>
  <si>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</si>
  <si>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</si>
  <si>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</si>
  <si>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</si>
  <si>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</si>
  <si>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</si>
  <si>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</si>
  <si>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</si>
  <si>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</si>
  <si>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</si>
  <si>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</si>
  <si>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</si>
  <si>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</si>
  <si>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</si>
  <si>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</si>
  <si>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</si>
  <si>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</si>
  <si>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</si>
  <si>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</si>
  <si>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</si>
  <si>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</si>
  <si>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</si>
  <si>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</si>
  <si>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</si>
  <si>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</si>
  <si>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</si>
  <si>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</si>
  <si>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</si>
  <si>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</si>
  <si>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</si>
  <si>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</si>
  <si>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</si>
  <si>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</si>
  <si>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</si>
  <si>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</si>
  <si>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</si>
  <si>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</si>
  <si>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</si>
  <si>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</si>
  <si>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</si>
  <si>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</si>
  <si>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</si>
  <si>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</si>
  <si>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</si>
  <si>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</si>
  <si>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</si>
  <si>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</si>
  <si>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</si>
  <si>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</si>
  <si>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</si>
  <si>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</si>
  <si>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</si>
  <si>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</si>
  <si>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</si>
  <si>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</si>
  <si>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</si>
  <si>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</si>
  <si>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</si>
  <si>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</si>
  <si>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</si>
  <si>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</si>
  <si>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</si>
  <si>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</si>
  <si>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</si>
  <si>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</si>
  <si>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</si>
  <si>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</si>
  <si>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</si>
  <si>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</si>
  <si>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</si>
  <si>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</si>
  <si>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</si>
  <si>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</si>
  <si>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</si>
  <si>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</si>
  <si>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</si>
  <si>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</si>
  <si>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</si>
  <si>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</si>
  <si>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</si>
  <si>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</si>
  <si>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</si>
  <si>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</si>
  <si>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</si>
  <si>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</si>
  <si>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</si>
  <si>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</si>
  <si>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</si>
  <si>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</si>
  <si>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</si>
  <si>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</si>
  <si>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</si>
  <si>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</si>
  <si>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</si>
  <si>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</si>
  <si>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</si>
  <si>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</si>
  <si>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</si>
  <si>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</si>
  <si>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</si>
  <si>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</si>
  <si>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</si>
  <si>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</si>
  <si>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</si>
  <si>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</si>
  <si>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</si>
  <si>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</si>
  <si>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</si>
  <si>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</si>
  <si>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</si>
  <si>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</si>
  <si>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</si>
  <si>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</si>
  <si>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</si>
  <si>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</si>
  <si>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</si>
  <si>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</si>
  <si>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</si>
  <si>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</si>
  <si>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</si>
  <si>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</si>
  <si>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</si>
  <si>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</si>
  <si>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</si>
  <si>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</si>
  <si>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</si>
  <si>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</si>
  <si>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</si>
  <si>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</si>
  <si>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</si>
  <si>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</si>
  <si>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</si>
  <si>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</si>
  <si>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</si>
  <si>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</si>
  <si>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</si>
  <si>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</si>
  <si>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</si>
  <si>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</si>
  <si>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</si>
  <si>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</si>
  <si>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</si>
  <si>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</si>
  <si>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</si>
  <si>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</si>
  <si>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</si>
  <si>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</si>
  <si>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</si>
  <si>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</si>
  <si>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</si>
  <si>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</si>
  <si>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</si>
  <si>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</si>
  <si>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</si>
  <si>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</si>
  <si>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</si>
  <si>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</si>
  <si>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</si>
  <si>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</si>
  <si>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</si>
  <si>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</si>
  <si>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</si>
  <si>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</si>
  <si>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</si>
  <si>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</si>
  <si>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</si>
  <si>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</si>
  <si>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</si>
  <si>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</si>
  <si>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</si>
  <si>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</si>
  <si>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</si>
  <si>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</si>
  <si>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</si>
  <si>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</si>
  <si>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</si>
  <si>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</si>
  <si>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</si>
  <si>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</si>
  <si>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</si>
  <si>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</si>
  <si>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</si>
  <si>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</si>
  <si>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</si>
  <si>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</si>
  <si>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</si>
  <si>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</si>
  <si>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</si>
  <si>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</si>
  <si>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</si>
  <si>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</si>
  <si>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</si>
  <si>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</si>
  <si>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</si>
  <si>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</si>
  <si>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</si>
  <si>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</si>
  <si>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</si>
  <si>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</si>
  <si>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</si>
  <si>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</si>
  <si>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</si>
  <si>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</si>
  <si>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</si>
  <si>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</si>
  <si>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</si>
  <si>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</si>
  <si>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</si>
  <si>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</si>
  <si>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</si>
  <si>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</si>
  <si>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</si>
  <si>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</si>
  <si>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</si>
  <si>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</si>
  <si>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</si>
  <si>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</si>
  <si>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</si>
  <si>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</si>
  <si>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</si>
  <si>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</si>
  <si>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</si>
  <si>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</si>
  <si>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</si>
  <si>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</si>
  <si>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</si>
  <si>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</si>
  <si>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</si>
  <si>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</si>
  <si>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</si>
  <si>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</si>
  <si>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</si>
  <si>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</si>
  <si>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</si>
  <si>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</si>
  <si>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</si>
  <si>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</si>
  <si>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</si>
  <si>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</si>
  <si>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</si>
  <si>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</si>
  <si>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</si>
  <si>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1920s</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</si>
  <si>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</si>
  <si>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</si>
  <si>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</si>
  <si>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</si>
  <si>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</si>
  <si>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</si>
  <si>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</si>
  <si>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</si>
  <si>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</si>
  <si>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</si>
  <si>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</si>
  <si>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</si>
  <si>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</si>
  <si>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</si>
  <si>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</si>
  <si>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</si>
  <si>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</si>
  <si>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</si>
  <si>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</si>
  <si>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</si>
  <si>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</si>
  <si>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</si>
  <si>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</si>
  <si>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</si>
  <si>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</si>
  <si>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</si>
  <si>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</si>
  <si>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</si>
  <si>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</si>
  <si>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</si>
  <si>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</si>
  <si>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</si>
  <si>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</si>
  <si>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</si>
  <si>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</si>
  <si>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</si>
  <si>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</si>
  <si>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</si>
  <si>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</si>
  <si>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</si>
  <si>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</si>
  <si>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</si>
  <si>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</si>
  <si>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</si>
  <si>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</si>
  <si>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</si>
  <si>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</si>
  <si>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</si>
  <si>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</si>
  <si>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</si>
  <si>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</si>
  <si>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</si>
  <si>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</si>
  <si>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</si>
  <si>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</si>
  <si>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</si>
  <si>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</si>
  <si>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</si>
  <si>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</si>
  <si>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</si>
  <si>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</si>
  <si>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</si>
  <si>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</si>
  <si>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</si>
  <si>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</si>
  <si>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</si>
  <si>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</si>
  <si>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</si>
  <si>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</si>
  <si>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</si>
  <si>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</si>
  <si>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</si>
  <si>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</si>
  <si>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</si>
  <si>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</si>
  <si>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</si>
  <si>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</si>
  <si>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</si>
  <si>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</si>
  <si>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</si>
  <si>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</si>
  <si>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</si>
  <si>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</si>
  <si>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</si>
  <si>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</si>
  <si>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</si>
  <si>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</si>
  <si>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</si>
  <si>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</si>
  <si>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</si>
  <si>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</si>
  <si>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</si>
  <si>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</si>
  <si>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</si>
  <si>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</si>
  <si>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</si>
  <si>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</si>
  <si>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</si>
  <si>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</si>
  <si>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</si>
  <si>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</si>
  <si>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</si>
  <si>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</si>
  <si>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</si>
  <si>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</si>
  <si>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</si>
  <si>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</si>
  <si>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</si>
  <si>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</si>
  <si>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</si>
  <si>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</si>
  <si>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</si>
  <si>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</si>
  <si>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</si>
  <si>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</si>
  <si>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</si>
  <si>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</si>
  <si>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</si>
  <si>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</si>
  <si>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</si>
  <si>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</si>
  <si>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</si>
  <si>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</si>
  <si>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</si>
  <si>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</si>
  <si>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</si>
  <si>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</si>
  <si>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</si>
  <si>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</si>
  <si>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</si>
  <si>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</si>
  <si>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</si>
  <si>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</si>
  <si>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</si>
  <si>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</si>
  <si>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</si>
  <si>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</si>
  <si>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</si>
  <si>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</si>
  <si>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</si>
  <si>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</si>
  <si>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</si>
  <si>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</si>
  <si>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</si>
  <si>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</si>
  <si>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</si>
  <si>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</si>
  <si>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</si>
  <si>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</si>
  <si>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</si>
  <si>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</si>
  <si>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</si>
  <si>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</si>
  <si>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</si>
  <si>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</si>
  <si>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</si>
  <si>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</si>
  <si>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</si>
  <si>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</si>
  <si>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</si>
  <si>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</si>
  <si>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</si>
  <si>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</si>
  <si>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</si>
  <si>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</si>
  <si>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</si>
  <si>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</si>
  <si>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</si>
  <si>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</si>
  <si>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</si>
  <si>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</si>
  <si>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</si>
  <si>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</si>
  <si>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</si>
  <si>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</si>
  <si>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</si>
  <si>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</si>
  <si>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</si>
  <si>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</si>
  <si>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</si>
  <si>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</si>
  <si>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</si>
  <si>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</si>
  <si>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</si>
  <si>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</si>
  <si>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</si>
  <si>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</si>
  <si>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</si>
  <si>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</si>
  <si>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</si>
  <si>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</si>
  <si>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</si>
  <si>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</si>
  <si>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</si>
  <si>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</si>
  <si>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</si>
  <si>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</si>
  <si>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</si>
  <si>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</si>
  <si>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</si>
  <si>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</si>
  <si>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</si>
  <si>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</si>
  <si>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</si>
  <si>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</si>
  <si>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</si>
  <si>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</si>
  <si>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</si>
  <si>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</si>
  <si>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</si>
  <si>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</si>
  <si>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</si>
  <si>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</si>
  <si>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</si>
  <si>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</si>
  <si>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</si>
  <si>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</si>
  <si>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</si>
  <si>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</si>
  <si>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</si>
  <si>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</si>
  <si>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</si>
  <si>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</si>
  <si>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</si>
  <si>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</si>
  <si>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</si>
  <si>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</si>
  <si>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</si>
  <si>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</si>
  <si>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</si>
  <si>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</si>
  <si>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</si>
  <si>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</si>
  <si>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</si>
  <si>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</si>
  <si>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</si>
  <si>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</si>
  <si>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</si>
  <si>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</si>
  <si>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</si>
  <si>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</si>
  <si>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</si>
  <si>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</si>
  <si>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</si>
  <si>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</si>
  <si>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</si>
  <si>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</si>
  <si>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</si>
  <si>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</si>
  <si>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</si>
  <si>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</si>
  <si>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</si>
  <si>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</si>
  <si>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</si>
  <si>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</si>
  <si>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</si>
  <si>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</si>
  <si>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</si>
  <si>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</si>
  <si>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</si>
  <si>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</si>
  <si>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</si>
  <si>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</si>
  <si>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</si>
  <si>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</si>
  <si>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</si>
  <si>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</si>
  <si>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</si>
  <si>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</si>
  <si>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</si>
  <si>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</si>
  <si>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</si>
  <si>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</si>
  <si>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</si>
  <si>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</si>
  <si>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</si>
  <si>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</si>
  <si>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</si>
  <si>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</si>
  <si>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</si>
  <si>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</si>
  <si>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</si>
  <si>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</si>
  <si>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</si>
  <si>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</si>
  <si>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</si>
  <si>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</si>
  <si>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</si>
  <si>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</si>
  <si>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</si>
  <si>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</si>
  <si>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</si>
  <si>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</si>
  <si>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</si>
  <si>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</si>
  <si>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</si>
  <si>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</si>
  <si>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</si>
  <si>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</si>
  <si>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</si>
  <si>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</si>
  <si>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</si>
  <si>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</si>
  <si>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</si>
  <si>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</si>
  <si>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</si>
  <si>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</si>
  <si>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</si>
  <si>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</si>
  <si>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</si>
  <si>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</si>
  <si>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</si>
  <si>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</si>
  <si>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</si>
  <si>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</si>
  <si>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</si>
  <si>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</si>
  <si>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</si>
  <si>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</si>
  <si>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</si>
  <si>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</si>
  <si>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</si>
  <si>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</si>
  <si>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</si>
  <si>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</si>
  <si>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</si>
  <si>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</si>
  <si>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</si>
  <si>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</si>
  <si>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</si>
  <si>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</si>
  <si>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</si>
  <si>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</si>
  <si>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</si>
  <si>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</si>
  <si>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</si>
  <si>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</si>
  <si>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</si>
  <si>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</si>
  <si>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</si>
  <si>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</si>
  <si>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</si>
  <si>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</si>
  <si>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</si>
  <si>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</si>
  <si>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</si>
  <si>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</si>
  <si>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</si>
  <si>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</si>
  <si>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</si>
  <si>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</si>
  <si>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</si>
  <si>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</si>
  <si>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</si>
  <si>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</si>
  <si>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</si>
  <si>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</si>
  <si>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</si>
  <si>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</si>
  <si>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</si>
  <si>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</si>
  <si>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</si>
  <si>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</si>
  <si>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</si>
  <si>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</si>
  <si>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</si>
  <si>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</si>
  <si>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</si>
  <si>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</si>
  <si>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</si>
  <si>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</si>
  <si>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</si>
  <si>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</si>
  <si>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</si>
  <si>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</si>
  <si>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</si>
  <si>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</si>
  <si>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</si>
  <si>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</si>
  <si>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</si>
  <si>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</si>
  <si>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</si>
  <si>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</si>
  <si>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</si>
  <si>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</si>
  <si>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</si>
  <si>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</si>
  <si>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</si>
  <si>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</si>
  <si>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</si>
  <si>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</si>
  <si>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</si>
  <si>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</si>
  <si>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</si>
  <si>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</si>
  <si>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</si>
  <si>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</si>
  <si>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</si>
  <si>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</si>
  <si>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</si>
  <si>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</si>
  <si>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</si>
  <si>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</si>
  <si>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</si>
  <si>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</si>
  <si>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</si>
  <si>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</si>
  <si>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</si>
  <si>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</si>
  <si>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</si>
  <si>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</si>
  <si>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</si>
  <si>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</si>
  <si>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</si>
  <si>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</si>
  <si>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</si>
  <si>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</si>
  <si>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</si>
  <si>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</si>
  <si>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</si>
  <si>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</si>
  <si>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</si>
  <si>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</si>
  <si>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</si>
  <si>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</si>
  <si>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</si>
  <si>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</si>
  <si>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</si>
  <si>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</si>
  <si>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</si>
  <si>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</si>
  <si>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</si>
  <si>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</si>
  <si>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</si>
  <si>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</si>
  <si>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</si>
  <si>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</si>
  <si>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</si>
  <si>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</si>
  <si>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</si>
  <si>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</si>
  <si>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</si>
  <si>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</si>
  <si>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</si>
  <si>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</si>
  <si>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</si>
  <si>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</si>
  <si>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</si>
  <si>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</si>
  <si>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</si>
  <si>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</si>
  <si>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</si>
  <si>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</si>
  <si>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</si>
  <si>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</si>
  <si>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</si>
  <si>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</si>
  <si>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</si>
  <si>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</si>
  <si>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</si>
  <si>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</si>
  <si>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</si>
  <si>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b/>
        <sz val="12"/>
        <color rgb="FFD58B43"/>
        <rFont val="微软雅黑 Light"/>
        <family val="2"/>
        <charset val="134"/>
      </rPr>
      <t xml:space="preserve">
之后进行 2 次教育进步</t>
    </r>
    <r>
      <rPr>
        <b/>
        <sz val="12"/>
        <rFont val="微软雅黑 Light"/>
        <family val="2"/>
        <charset val="134"/>
      </rPr>
      <t xml:space="preserve">
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</si>
  <si>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</si>
  <si>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</si>
  <si>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</si>
  <si>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</si>
  <si>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</si>
  <si>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</si>
  <si>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</si>
  <si>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</si>
  <si>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</si>
  <si>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</si>
  <si>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</si>
  <si>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</si>
  <si>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</si>
  <si>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</si>
  <si>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b/>
        <sz val="12"/>
        <color rgb="FFD58B43"/>
        <rFont val="微软雅黑 Light"/>
        <family val="2"/>
        <charset val="134"/>
      </rPr>
      <t xml:space="preserve">
之后进行 3 次教育进步</t>
    </r>
    <r>
      <rPr>
        <b/>
        <sz val="12"/>
        <rFont val="微软雅黑 Light"/>
        <family val="2"/>
        <charset val="134"/>
      </rPr>
      <t xml:space="preserve">
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</si>
  <si>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</si>
  <si>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</si>
  <si>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b/>
        <sz val="12"/>
        <color rgb="FFD58B43"/>
        <rFont val="微软雅黑 Light"/>
        <family val="2"/>
        <charset val="134"/>
      </rPr>
      <t xml:space="preserve">
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</si>
  <si>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</si>
  <si>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b/>
        <sz val="12"/>
        <color rgb="FFD58B43"/>
        <rFont val="微软雅黑 Light"/>
        <family val="2"/>
        <charset val="134"/>
      </rPr>
      <t xml:space="preserve">
之后进行 4 次教育进步</t>
    </r>
    <r>
      <rPr>
        <b/>
        <sz val="12"/>
        <rFont val="微软雅黑 Light"/>
        <family val="2"/>
        <charset val="134"/>
      </rPr>
      <t xml:space="preserve">
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</si>
  <si>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</si>
  <si>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</si>
  <si>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</si>
  <si>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</si>
  <si>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</si>
  <si>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</si>
  <si>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</si>
  <si>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</si>
  <si>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</si>
  <si>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</si>
  <si>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</si>
  <si>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</si>
  <si>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</si>
  <si>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</si>
  <si>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</si>
  <si>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</si>
  <si>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</si>
  <si>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</si>
  <si>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</si>
  <si>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</si>
  <si>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</si>
  <si>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</si>
  <si>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</si>
  <si>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</si>
  <si>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</si>
  <si>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</si>
  <si>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</si>
  <si>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</si>
  <si>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</si>
  <si>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</si>
  <si>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</si>
  <si>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</si>
  <si>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</si>
  <si>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</si>
  <si>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</si>
  <si>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</si>
  <si>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</si>
  <si>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</si>
  <si>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</si>
  <si>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</si>
  <si>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</si>
  <si>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</si>
  <si>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</si>
  <si>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</si>
  <si>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</si>
  <si>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</si>
  <si>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</si>
  <si>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</si>
  <si>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</si>
  <si>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</si>
  <si>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</si>
  <si>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</si>
  <si>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</si>
  <si>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</si>
  <si>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</si>
  <si>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</si>
  <si>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</si>
  <si>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</si>
  <si>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</si>
  <si>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</si>
  <si>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</si>
  <si>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</si>
  <si>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</si>
  <si>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</si>
  <si>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</si>
  <si>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</si>
  <si>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</si>
  <si>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</si>
  <si>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</si>
  <si>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</si>
  <si>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</si>
  <si>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</si>
  <si>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</si>
  <si>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</si>
  <si>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</si>
  <si>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</si>
  <si>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</si>
  <si>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</si>
  <si>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</si>
  <si>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</si>
  <si>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</si>
  <si>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</si>
  <si>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</si>
  <si>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</si>
  <si>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</si>
  <si>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</si>
  <si>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</si>
  <si>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</si>
  <si>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</si>
  <si>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</si>
  <si>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</si>
  <si>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</si>
  <si>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</si>
  <si>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</si>
  <si>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</si>
  <si>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</si>
  <si>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</si>
  <si>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</si>
  <si>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</si>
  <si>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</si>
  <si>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</si>
  <si>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</si>
  <si>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</si>
  <si>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</si>
  <si>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</si>
  <si>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</si>
  <si>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</si>
  <si>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</si>
  <si>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</si>
  <si>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</si>
  <si>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</si>
  <si>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</si>
  <si>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</si>
  <si>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</si>
  <si>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</si>
  <si>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</si>
  <si>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</si>
  <si>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</si>
  <si>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</si>
  <si>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</si>
  <si>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</si>
  <si>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</si>
  <si>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</si>
  <si>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</si>
  <si>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</si>
  <si>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</si>
  <si>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</si>
  <si>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</si>
  <si>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</si>
  <si>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</si>
  <si>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</si>
  <si>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</si>
  <si>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</si>
  <si>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</si>
  <si>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</si>
  <si>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</si>
  <si>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</si>
  <si>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</si>
  <si>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</si>
  <si>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</si>
  <si>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</si>
  <si>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</si>
  <si>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</si>
  <si>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</si>
  <si>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</si>
  <si>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</si>
  <si>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</si>
  <si>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</si>
  <si>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</si>
  <si>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</si>
  <si>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</si>
  <si>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</si>
  <si>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</si>
  <si>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</si>
  <si>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</si>
  <si>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</si>
  <si>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</si>
  <si>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</si>
  <si>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</si>
  <si>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</si>
  <si>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</si>
  <si>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</si>
  <si>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</si>
  <si>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</si>
  <si>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</si>
  <si>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</si>
  <si>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</si>
  <si>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</si>
  <si>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</si>
  <si>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</si>
  <si>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</si>
  <si>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</si>
  <si>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</si>
  <si>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</si>
  <si>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</si>
  <si>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</si>
  <si>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</si>
  <si>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</si>
  <si>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</si>
  <si>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</si>
  <si>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</si>
  <si>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</si>
  <si>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</si>
  <si>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</si>
  <si>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</si>
  <si>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</si>
  <si>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</si>
  <si>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</si>
  <si>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</si>
  <si>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</si>
  <si>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</si>
  <si>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</si>
  <si>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</si>
  <si>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</si>
  <si>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</si>
  <si>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</si>
  <si>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</si>
  <si>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</si>
  <si>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</si>
  <si>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</si>
  <si>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</si>
  <si>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</si>
  <si>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</si>
  <si>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</si>
  <si>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</si>
  <si>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</si>
  <si>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</si>
  <si>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</si>
  <si>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</si>
  <si>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</si>
  <si>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</si>
  <si>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</si>
  <si>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</si>
  <si>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</si>
  <si>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</si>
  <si>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</si>
  <si>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</si>
  <si>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</si>
  <si>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</si>
  <si>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</si>
  <si>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</si>
  <si>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</si>
  <si>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</si>
  <si>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</si>
  <si>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</si>
  <si>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</si>
  <si>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</si>
  <si>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</si>
  <si>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</si>
  <si>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</si>
  <si>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</si>
  <si>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</si>
  <si>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</si>
  <si>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</si>
  <si>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</si>
  <si>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</si>
  <si>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</si>
  <si>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</si>
  <si>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</si>
  <si>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</si>
  <si>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</si>
  <si>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</si>
  <si>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</si>
  <si>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</si>
  <si>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</si>
  <si>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</si>
  <si>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</si>
  <si>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</si>
  <si>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</si>
  <si>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</si>
  <si>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</si>
  <si>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</si>
  <si>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</si>
  <si>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</si>
  <si>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</si>
  <si>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</si>
  <si>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</si>
  <si>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</si>
  <si>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</si>
  <si>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</si>
  <si>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</si>
  <si>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</si>
  <si>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</si>
  <si>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</si>
  <si>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</si>
  <si>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</si>
  <si>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</si>
  <si>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</si>
  <si>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</si>
  <si>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</si>
  <si>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</si>
  <si>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</si>
  <si>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</si>
  <si>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</si>
  <si>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</si>
  <si>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</si>
  <si>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</si>
  <si>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</si>
  <si>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</si>
  <si>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</si>
  <si>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</si>
  <si>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</si>
  <si>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</si>
  <si>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</si>
  <si>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</si>
  <si>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</si>
  <si>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</si>
  <si>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</si>
  <si>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</si>
  <si>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</si>
  <si>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</si>
  <si>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</si>
  <si>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</si>
  <si>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</si>
  <si>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</si>
  <si>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</si>
  <si>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</si>
  <si>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</si>
  <si>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</si>
  <si>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</si>
  <si>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</si>
  <si>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</si>
  <si>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</si>
  <si>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</si>
  <si>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</si>
  <si>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</si>
  <si>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</si>
  <si>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</si>
  <si>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</si>
  <si>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</si>
  <si>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</si>
  <si>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</si>
  <si>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</si>
  <si>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</si>
  <si>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</si>
  <si>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</si>
  <si>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</si>
  <si>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</si>
  <si>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</si>
  <si>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</si>
  <si>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</si>
  <si>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</si>
  <si>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</si>
  <si>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</si>
  <si>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</si>
  <si>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</si>
  <si>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</si>
  <si>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</si>
  <si>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</si>
  <si>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</si>
  <si>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</si>
  <si>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</si>
  <si>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</si>
  <si>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</si>
  <si>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</si>
  <si>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</si>
  <si>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</si>
  <si>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</si>
  <si>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</si>
  <si>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</si>
  <si>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</si>
  <si>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</si>
  <si>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</si>
  <si>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</si>
  <si>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</si>
  <si>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</si>
  <si>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</si>
  <si>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</si>
  <si>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</si>
  <si>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</si>
  <si>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</si>
  <si>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</si>
  <si>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</si>
  <si>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</si>
  <si>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</si>
  <si>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</si>
  <si>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</si>
  <si>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</si>
  <si>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</si>
  <si>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</si>
  <si>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</si>
  <si>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</si>
  <si>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</si>
  <si>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</si>
  <si>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</si>
  <si>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</si>
  <si>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</si>
  <si>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</si>
  <si>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</si>
  <si>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</si>
  <si>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</si>
  <si>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</si>
  <si>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</si>
  <si>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</si>
  <si>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</si>
  <si>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</si>
  <si>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</si>
  <si>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</si>
  <si>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</si>
  <si>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</si>
  <si>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</si>
  <si>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</si>
  <si>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</si>
  <si>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</si>
  <si>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</si>
  <si>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</si>
  <si>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</si>
  <si>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</si>
  <si>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</si>
  <si>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</si>
  <si>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</si>
  <si>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</si>
  <si>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</si>
  <si>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</si>
  <si>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</si>
  <si>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</si>
  <si>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</si>
  <si>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</si>
  <si>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</si>
  <si>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</si>
  <si>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</si>
  <si>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</si>
  <si>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</si>
  <si>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</si>
  <si>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</si>
  <si>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</si>
  <si>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</si>
  <si>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</si>
  <si>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</si>
  <si>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</si>
  <si>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</si>
  <si>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</si>
  <si>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</si>
  <si>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</si>
  <si>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</si>
  <si>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</si>
  <si>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</si>
  <si>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</si>
  <si>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</si>
  <si>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</si>
  <si>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</si>
  <si>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</si>
  <si>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</si>
  <si>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</si>
  <si>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</si>
  <si>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</si>
  <si>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</si>
  <si>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</si>
  <si>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</si>
  <si>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</si>
  <si>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</si>
  <si>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</si>
  <si>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</si>
  <si>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</si>
  <si>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</si>
  <si>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</si>
  <si>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</si>
  <si>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</si>
  <si>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</si>
  <si>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</si>
  <si>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</si>
  <si>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</si>
  <si>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</si>
  <si>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</si>
  <si>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</si>
  <si>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</si>
  <si>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</si>
  <si>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</si>
  <si>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</si>
  <si>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</si>
  <si>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</si>
  <si>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</si>
  <si>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</si>
  <si>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</si>
  <si>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</si>
  <si>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</si>
  <si>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</si>
  <si>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</si>
  <si>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</si>
  <si>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</si>
  <si>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</si>
  <si>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</si>
  <si>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</si>
  <si>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</si>
  <si>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</si>
  <si>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</si>
  <si>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</si>
  <si>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</si>
  <si>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</si>
  <si>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</si>
  <si>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</si>
  <si>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</si>
  <si>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</si>
  <si>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</si>
  <si>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</si>
  <si>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</si>
  <si>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</si>
  <si>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</si>
  <si>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</si>
  <si>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</si>
  <si>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</si>
  <si>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</si>
  <si>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</si>
  <si>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</si>
  <si>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</si>
  <si>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</si>
  <si>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</si>
  <si>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</si>
  <si>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</si>
  <si>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</si>
  <si>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</si>
  <si>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</si>
  <si>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</si>
  <si>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</si>
  <si>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</si>
  <si>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</si>
  <si>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</si>
  <si>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</si>
  <si>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</si>
  <si>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</si>
  <si>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</si>
  <si>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</si>
  <si>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</si>
  <si>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</si>
  <si>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</si>
  <si>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</si>
  <si>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</si>
  <si>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</si>
  <si>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</si>
  <si>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</si>
  <si>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</si>
  <si>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</si>
  <si>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</si>
  <si>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</si>
  <si>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</si>
  <si>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</si>
  <si>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</si>
  <si>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</si>
  <si>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</si>
  <si>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</si>
  <si>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</si>
  <si>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</si>
  <si>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</si>
  <si>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</si>
  <si>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</si>
  <si>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</si>
  <si>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</si>
  <si>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</si>
  <si>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</si>
  <si>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</si>
  <si>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</si>
  <si>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</si>
  <si>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</si>
  <si>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</si>
  <si>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</si>
  <si>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</si>
  <si>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</si>
  <si>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</si>
  <si>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</si>
  <si>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</si>
  <si>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</si>
  <si>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</si>
  <si>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</si>
  <si>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</si>
  <si>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</si>
  <si>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</si>
  <si>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</si>
  <si>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</si>
  <si>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</si>
  <si>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</si>
  <si>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</si>
  <si>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</si>
  <si>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</si>
  <si>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</si>
  <si>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</si>
  <si>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</si>
  <si>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</si>
  <si>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</si>
  <si>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</si>
  <si>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</si>
  <si>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</si>
  <si>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</si>
  <si>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</si>
  <si>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</si>
  <si>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</si>
  <si>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</si>
  <si>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</si>
  <si>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</si>
  <si>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</si>
  <si>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</si>
  <si>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</si>
  <si>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</si>
  <si>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</si>
  <si>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</si>
  <si>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</si>
  <si>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</si>
  <si>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</si>
  <si>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</si>
  <si>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</si>
  <si>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</si>
  <si>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</si>
  <si>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</si>
  <si>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</si>
  <si>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</si>
  <si>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</si>
  <si>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</si>
  <si>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</si>
  <si>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</si>
  <si>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</si>
  <si>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</si>
  <si>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</si>
  <si>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</si>
  <si>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</si>
  <si>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</si>
  <si>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</si>
  <si>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</si>
  <si>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</si>
  <si>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</si>
  <si>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</si>
  <si>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</si>
  <si>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</si>
  <si>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</si>
  <si>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</si>
  <si>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</si>
  <si>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</si>
  <si>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</si>
  <si>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</si>
  <si>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</si>
  <si>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</si>
  <si>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</si>
  <si>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</si>
  <si>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</si>
  <si>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</si>
  <si>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</si>
  <si>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</si>
  <si>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</si>
  <si>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</si>
  <si>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</si>
  <si>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</si>
  <si>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</si>
  <si>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</si>
  <si>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</si>
  <si>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</si>
  <si>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</si>
  <si>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</si>
  <si>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</si>
  <si>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</si>
  <si>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</si>
  <si>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</si>
  <si>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</si>
  <si>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</si>
  <si>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</si>
  <si>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</si>
  <si>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</si>
  <si>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</si>
  <si>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</si>
  <si>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</si>
  <si>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</si>
  <si>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</si>
  <si>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</si>
  <si>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</si>
  <si>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</si>
  <si>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</si>
  <si>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</si>
  <si>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</si>
  <si>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</si>
  <si>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</si>
  <si>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</si>
  <si>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</si>
  <si>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</si>
  <si>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</si>
  <si>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</si>
  <si>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</si>
  <si>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</si>
  <si>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</si>
  <si>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</si>
  <si>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</si>
  <si>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</si>
  <si>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</si>
  <si>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</si>
  <si>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</si>
  <si>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</si>
  <si>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</si>
  <si>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</si>
  <si>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</si>
  <si>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</si>
  <si>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</si>
  <si>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</si>
  <si>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</si>
  <si>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</si>
  <si>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</si>
  <si>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</si>
  <si>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</si>
  <si>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</si>
  <si>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</si>
  <si>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</si>
  <si>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</si>
  <si>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</si>
  <si>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</si>
  <si>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</si>
  <si>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</si>
  <si>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</si>
  <si>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</si>
  <si>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</si>
  <si>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</si>
  <si>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</si>
  <si>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</si>
  <si>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</si>
  <si>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</si>
  <si>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</si>
  <si>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</si>
  <si>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</si>
  <si>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</si>
  <si>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</si>
  <si>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</si>
  <si>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</si>
  <si>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</si>
  <si>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</si>
  <si>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</si>
  <si>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</si>
  <si>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</si>
  <si>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</si>
  <si>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</si>
  <si>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</si>
  <si>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</si>
  <si>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</si>
  <si>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</si>
  <si>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</si>
  <si>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</si>
  <si>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</si>
  <si>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</si>
  <si>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</si>
  <si>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</si>
  <si>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</si>
  <si>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</si>
  <si>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</si>
  <si>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</si>
  <si>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</si>
  <si>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</si>
  <si>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</si>
  <si>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</si>
  <si>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</si>
  <si>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</si>
  <si>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</si>
  <si>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</si>
  <si>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</si>
  <si>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</si>
  <si>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</si>
  <si>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</si>
  <si>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</si>
  <si>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</si>
  <si>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</si>
  <si>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</si>
  <si>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</si>
  <si>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</si>
  <si>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</si>
  <si>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</si>
  <si>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</si>
  <si>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</si>
  <si>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</si>
  <si>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</si>
  <si>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</si>
  <si>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</si>
  <si>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</si>
  <si>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</si>
  <si>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</si>
  <si>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</si>
  <si>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</si>
  <si>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</si>
  <si>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</si>
  <si>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</si>
  <si>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</si>
  <si>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</si>
  <si>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</si>
  <si>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</si>
  <si>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</si>
  <si>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</si>
  <si>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</si>
  <si>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</si>
  <si>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</si>
  <si>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</si>
  <si>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</si>
  <si>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</si>
  <si>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</si>
  <si>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</si>
  <si>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</si>
  <si>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</si>
  <si>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</si>
  <si>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</si>
  <si>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</si>
  <si>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</si>
  <si>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</si>
  <si>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</si>
  <si>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</si>
  <si>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</si>
  <si>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</si>
  <si>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</si>
  <si>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</si>
  <si>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</si>
  <si>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</si>
  <si>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</si>
  <si>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</si>
  <si>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</si>
  <si>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</si>
  <si>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</si>
  <si>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</si>
  <si>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</si>
  <si>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</si>
  <si>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</si>
  <si>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</si>
  <si>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</si>
  <si>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</si>
  <si>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</si>
  <si>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</si>
  <si>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</si>
  <si>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</si>
  <si>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</si>
  <si>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</si>
  <si>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</si>
  <si>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</si>
  <si>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</si>
  <si>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</si>
  <si>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</si>
  <si>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</si>
  <si>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</si>
  <si>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</si>
  <si>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</si>
  <si>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</si>
  <si>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</si>
  <si>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</si>
  <si>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</si>
  <si>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</si>
  <si>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</si>
  <si>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</si>
  <si>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</si>
  <si>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</si>
  <si>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</si>
  <si>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</si>
  <si>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</si>
  <si>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</si>
  <si>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</si>
  <si>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</si>
  <si>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</si>
  <si>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</si>
  <si>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</si>
  <si>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</si>
  <si>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</si>
  <si>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</si>
  <si>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</si>
  <si>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</si>
  <si>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</si>
  <si>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</si>
  <si>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</si>
  <si>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</si>
  <si>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</si>
  <si>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</si>
  <si>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</si>
  <si>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</si>
  <si>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</si>
  <si>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</si>
  <si>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</si>
  <si>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</si>
  <si>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</si>
  <si>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</si>
  <si>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</si>
  <si>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</si>
  <si>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</si>
  <si>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</si>
  <si>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</si>
  <si>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</si>
  <si>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</si>
  <si>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</si>
  <si>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</si>
  <si>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</si>
  <si>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</si>
  <si>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</si>
  <si>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</si>
  <si>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</si>
  <si>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</si>
  <si>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</si>
  <si>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</si>
  <si>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</si>
  <si>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</si>
  <si>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</si>
  <si>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</si>
  <si>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</si>
  <si>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</si>
  <si>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</si>
  <si>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</si>
  <si>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</si>
  <si>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</si>
  <si>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</si>
  <si>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</si>
  <si>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</si>
  <si>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</si>
  <si>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</si>
  <si>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</si>
  <si>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</si>
  <si>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</si>
  <si>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</si>
  <si>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</si>
  <si>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</si>
  <si>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</si>
  <si>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</si>
  <si>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</si>
  <si>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</si>
  <si>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</si>
  <si>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</si>
  <si>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</si>
  <si>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</si>
  <si>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</si>
  <si>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</si>
  <si>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</si>
  <si>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</si>
  <si>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</si>
  <si>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</si>
  <si>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</si>
  <si>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</si>
  <si>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</si>
  <si>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</si>
  <si>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</si>
  <si>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</si>
  <si>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</si>
  <si>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</si>
  <si>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</si>
  <si>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</si>
  <si>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</si>
  <si>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</si>
  <si>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</si>
  <si>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</si>
  <si>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</si>
  <si>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</si>
  <si>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</si>
  <si>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</si>
  <si>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</si>
  <si>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</si>
  <si>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</si>
  <si>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</si>
  <si>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</si>
  <si>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</si>
  <si>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</si>
  <si>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</si>
  <si>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</si>
  <si>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</si>
  <si>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</si>
  <si>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</si>
  <si>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</si>
  <si>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</si>
  <si>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</si>
  <si>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</si>
  <si>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</si>
  <si>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</si>
  <si>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</si>
  <si>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</si>
  <si>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</si>
  <si>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</si>
  <si>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</si>
  <si>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</si>
  <si>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</si>
  <si>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</si>
  <si>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</si>
  <si>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</si>
  <si>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</si>
  <si>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</si>
  <si>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</si>
  <si>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</si>
  <si>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</si>
  <si>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</si>
  <si>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</si>
  <si>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</si>
  <si>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</si>
  <si>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</si>
  <si>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</si>
  <si>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</si>
  <si>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</si>
  <si>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</si>
  <si>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</si>
  <si>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</si>
  <si>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</si>
  <si>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</si>
  <si>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</si>
  <si>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</si>
  <si>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</si>
  <si>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</si>
  <si>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</si>
  <si>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</si>
  <si>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</si>
  <si>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</si>
  <si>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</si>
  <si>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</si>
  <si>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</si>
  <si>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</si>
  <si>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</si>
  <si>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</si>
  <si>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</si>
  <si>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</si>
  <si>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</si>
  <si>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</si>
  <si>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</si>
  <si>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</si>
  <si>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</si>
  <si>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</si>
  <si>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</si>
  <si>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</si>
  <si>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</si>
  <si>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</si>
  <si>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</si>
  <si>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</si>
  <si>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</si>
  <si>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</si>
  <si>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</si>
  <si>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</si>
  <si>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</si>
  <si>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</si>
  <si>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</si>
  <si>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</si>
  <si>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</si>
  <si>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</si>
  <si>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</si>
  <si>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</si>
  <si>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</si>
  <si>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</si>
  <si>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</si>
  <si>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</si>
  <si>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</si>
  <si>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</si>
  <si>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</si>
  <si>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</si>
  <si>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</si>
  <si>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</si>
  <si>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</si>
  <si>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</si>
  <si>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</si>
  <si>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</si>
  <si>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</si>
  <si>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</si>
  <si>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</si>
  <si>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</si>
  <si>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</si>
  <si>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</si>
  <si>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</si>
  <si>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</si>
  <si>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</si>
  <si>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</si>
  <si>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</si>
  <si>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</si>
  <si>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</si>
  <si>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</si>
  <si>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</si>
  <si>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</si>
  <si>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</si>
  <si>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</si>
  <si>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</si>
  <si>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</si>
  <si>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</si>
  <si>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</si>
  <si>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</si>
  <si>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</si>
  <si>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</si>
  <si>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</si>
  <si>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</si>
  <si>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</si>
  <si>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</si>
  <si>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</si>
  <si>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</si>
  <si>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</si>
  <si>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</si>
  <si>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</si>
  <si>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</si>
  <si>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</si>
  <si>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</si>
  <si>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</si>
  <si>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</si>
  <si>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</si>
  <si>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</si>
  <si>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</si>
  <si>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</si>
  <si>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</si>
  <si>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</si>
  <si>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</si>
  <si>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</si>
  <si>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</si>
  <si>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</si>
  <si>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</si>
  <si>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</si>
  <si>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</si>
  <si>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</si>
  <si>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</si>
  <si>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</si>
  <si>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</si>
  <si>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</si>
  <si>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</si>
  <si>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</si>
  <si>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</si>
  <si>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</si>
  <si>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</si>
  <si>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</si>
  <si>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</si>
  <si>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</si>
  <si>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</si>
  <si>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</si>
  <si>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</si>
  <si>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</si>
  <si>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</si>
  <si>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</si>
  <si>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</si>
  <si>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</si>
  <si>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</si>
  <si>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</si>
  <si>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</si>
  <si>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</si>
  <si>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</si>
  <si>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</si>
  <si>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</si>
  <si>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</si>
  <si>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</si>
  <si>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</si>
  <si>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</si>
  <si>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</si>
  <si>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</si>
  <si>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</si>
  <si>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</si>
  <si>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</si>
  <si>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</si>
  <si>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</si>
  <si>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</si>
  <si>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</si>
  <si>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</si>
  <si>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</si>
  <si>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</si>
  <si>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</si>
  <si>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</si>
  <si>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</si>
  <si>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</si>
  <si>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</si>
  <si>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</si>
  <si>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</si>
  <si>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</si>
  <si>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</si>
  <si>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</si>
  <si>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</si>
  <si>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</si>
  <si>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</si>
  <si>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</si>
  <si>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</si>
  <si>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</si>
  <si>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</si>
  <si>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</si>
  <si>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</si>
  <si>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</si>
  <si>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</si>
  <si>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</si>
  <si>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</si>
  <si>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</si>
  <si>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</si>
  <si>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</si>
  <si>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</si>
  <si>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</si>
  <si>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</si>
  <si>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</si>
  <si>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</si>
  <si>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</si>
  <si>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</si>
  <si>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</si>
  <si>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</si>
  <si>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</si>
  <si>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</si>
  <si>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</si>
  <si>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</si>
  <si>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</si>
  <si>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</si>
  <si>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</si>
  <si>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</si>
  <si>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</si>
  <si>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</si>
  <si>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</si>
  <si>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</si>
  <si>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</si>
  <si>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</si>
  <si>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</si>
  <si>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</si>
  <si>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</si>
  <si>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</si>
  <si>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</si>
  <si>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</si>
  <si>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</si>
  <si>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</si>
  <si>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</si>
  <si>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</si>
  <si>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</si>
  <si>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</si>
  <si>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</si>
  <si>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</si>
  <si>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</si>
  <si>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</si>
  <si>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</si>
  <si>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</si>
  <si>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</si>
  <si>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</si>
  <si>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</si>
  <si>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</si>
  <si>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</si>
  <si>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</si>
  <si>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</si>
  <si>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</si>
  <si>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</si>
  <si>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</si>
  <si>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</si>
  <si>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</si>
  <si>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</si>
  <si>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</si>
  <si>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</si>
  <si>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</si>
  <si>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</si>
  <si>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</si>
  <si>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</si>
  <si>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</si>
  <si>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</si>
  <si>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</si>
  <si>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</si>
  <si>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</si>
  <si>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</si>
  <si>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</si>
  <si>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</si>
  <si>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</si>
  <si>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</si>
  <si>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</si>
  <si>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</si>
  <si>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</si>
  <si>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</si>
  <si>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</si>
  <si>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</si>
  <si>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</si>
  <si>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</si>
  <si>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</si>
  <si>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</si>
  <si>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</si>
  <si>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</si>
  <si>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</si>
  <si>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</si>
  <si>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</si>
  <si>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</si>
  <si>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</si>
  <si>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</si>
  <si>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</si>
  <si>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</si>
  <si>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</si>
  <si>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</si>
  <si>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</si>
  <si>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</si>
  <si>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</si>
  <si>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</si>
  <si>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</si>
  <si>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</si>
  <si>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</si>
  <si>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</si>
  <si>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</si>
  <si>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</si>
  <si>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</si>
  <si>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</si>
  <si>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</si>
  <si>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</si>
  <si>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</si>
  <si>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</si>
  <si>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</si>
  <si>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</si>
  <si>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</si>
  <si>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</si>
  <si>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</si>
  <si>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</si>
  <si>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</si>
  <si>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</si>
  <si>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</si>
  <si>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</si>
  <si>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</si>
  <si>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</si>
  <si>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</si>
  <si>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</si>
  <si>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</si>
  <si>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</si>
  <si>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</si>
  <si>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</si>
  <si>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</si>
  <si>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</si>
  <si>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</si>
  <si>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</si>
  <si>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</si>
  <si>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</si>
  <si>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</si>
  <si>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</si>
  <si>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</si>
  <si>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</si>
  <si>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</si>
  <si>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</si>
  <si>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</si>
  <si>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</si>
  <si>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</si>
  <si>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</si>
  <si>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</si>
  <si>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</si>
  <si>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</si>
  <si>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</si>
  <si>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</si>
  <si>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</si>
  <si>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</si>
  <si>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</si>
  <si>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</si>
  <si>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</si>
  <si>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</si>
  <si>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</si>
  <si>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</si>
  <si>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</si>
  <si>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</si>
  <si>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</si>
  <si>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</si>
  <si>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</si>
  <si>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</si>
  <si>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</si>
  <si>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</si>
  <si>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</si>
  <si>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</si>
  <si>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</si>
  <si>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</si>
  <si>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</si>
  <si>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</si>
  <si>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</si>
  <si>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</si>
  <si>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</si>
  <si>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</si>
  <si>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</si>
  <si>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</si>
  <si>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</si>
  <si>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</si>
  <si>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</si>
  <si>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</si>
  <si>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</si>
  <si>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</si>
  <si>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</si>
  <si>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</si>
  <si>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</si>
  <si>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</si>
  <si>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</si>
  <si>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</si>
  <si>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</si>
  <si>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</si>
  <si>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</si>
  <si>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</si>
  <si>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</si>
  <si>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</si>
  <si>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</si>
  <si>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</si>
  <si>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</si>
  <si>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</si>
  <si>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</si>
  <si>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</si>
  <si>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</si>
  <si>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</si>
  <si>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</si>
  <si>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</si>
  <si>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</si>
  <si>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</si>
  <si>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</si>
  <si>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</si>
  <si>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</si>
  <si>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</si>
  <si>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</si>
  <si>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</si>
  <si>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</si>
  <si>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</si>
  <si>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</si>
  <si>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</si>
  <si>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</si>
  <si>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</si>
  <si>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</si>
  <si>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</si>
  <si>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</si>
  <si>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</si>
  <si>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</si>
  <si>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</si>
  <si>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</si>
  <si>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</si>
  <si>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</si>
  <si>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</si>
  <si>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</si>
  <si>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</si>
  <si>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</si>
  <si>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</si>
  <si>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</si>
  <si>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</si>
  <si>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</si>
  <si>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</si>
  <si>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</si>
  <si>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</si>
  <si>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</si>
  <si>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</si>
  <si>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</si>
  <si>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</si>
  <si>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</si>
  <si>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</si>
  <si>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</si>
  <si>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</si>
  <si>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</si>
  <si>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</si>
  <si>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</si>
  <si>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</si>
  <si>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</si>
  <si>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</si>
  <si>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</si>
  <si>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</si>
  <si>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</si>
  <si>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</si>
  <si>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</si>
  <si>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</si>
  <si>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</si>
  <si>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</si>
  <si>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</si>
  <si>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</si>
  <si>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</si>
  <si>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</si>
  <si>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</si>
  <si>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</si>
  <si>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</si>
  <si>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</si>
  <si>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</si>
  <si>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</si>
  <si>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</si>
  <si>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</si>
  <si>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</si>
  <si>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</si>
  <si>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</si>
  <si>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</si>
  <si>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</si>
  <si>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</si>
  <si>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</si>
  <si>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</si>
  <si>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</si>
  <si>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</si>
  <si>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</si>
  <si>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</si>
  <si>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</si>
  <si>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</si>
  <si>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</si>
  <si>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</si>
  <si>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</si>
  <si>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</si>
  <si>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</si>
  <si>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</si>
  <si>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</si>
  <si>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</si>
  <si>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</si>
  <si>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</si>
  <si>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</si>
  <si>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</si>
  <si>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</si>
  <si>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</si>
  <si>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</si>
  <si>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</si>
  <si>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</si>
  <si>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</si>
  <si>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</si>
  <si>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</si>
  <si>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</si>
  <si>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</si>
  <si>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</si>
  <si>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</si>
  <si>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</si>
  <si>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</si>
  <si>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</si>
  <si>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</si>
  <si>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</si>
  <si>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</si>
  <si>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</si>
  <si>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</si>
  <si>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</si>
  <si>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</si>
  <si>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</si>
  <si>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</si>
  <si>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</si>
  <si>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</si>
  <si>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</si>
  <si>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</si>
  <si>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</si>
  <si>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</si>
  <si>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</si>
  <si>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</si>
  <si>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</si>
  <si>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</si>
  <si>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</si>
  <si>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</si>
  <si>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</si>
  <si>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</si>
  <si>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</si>
  <si>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</si>
  <si>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</si>
  <si>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</si>
  <si>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</si>
  <si>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</si>
  <si>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</si>
  <si>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</si>
  <si>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</si>
  <si>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</si>
  <si>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</si>
  <si>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</si>
  <si>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</si>
  <si>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</si>
  <si>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</si>
  <si>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</si>
  <si>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</si>
  <si>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</si>
  <si>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</si>
  <si>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</si>
  <si>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</si>
  <si>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</si>
  <si>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</si>
  <si>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</si>
  <si>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</si>
  <si>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</si>
  <si>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</si>
  <si>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</si>
  <si>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</si>
  <si>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</si>
  <si>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</si>
  <si>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</si>
  <si>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</si>
  <si>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</si>
  <si>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</si>
  <si>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</si>
  <si>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</si>
  <si>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</si>
  <si>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</si>
  <si>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</si>
  <si>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</si>
  <si>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</si>
  <si>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</si>
  <si>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</si>
  <si>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</si>
  <si>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</si>
  <si>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</si>
  <si>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</si>
  <si>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</si>
  <si>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</si>
  <si>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</si>
  <si>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</si>
  <si>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</si>
  <si>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</si>
  <si>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</si>
  <si>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</si>
  <si>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</si>
  <si>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</si>
  <si>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</si>
  <si>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</si>
  <si>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</si>
  <si>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</si>
  <si>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</si>
  <si>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</si>
  <si>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</si>
  <si>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</si>
  <si>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</si>
  <si>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</si>
  <si>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</si>
  <si>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</si>
  <si>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</si>
  <si>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</si>
  <si>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</si>
  <si>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</si>
  <si>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</si>
  <si>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</si>
  <si>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</si>
  <si>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</si>
  <si>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</si>
  <si>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</si>
  <si>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</si>
  <si>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</si>
  <si>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</si>
  <si>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</si>
  <si>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</si>
  <si>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</si>
  <si>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</si>
  <si>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</si>
  <si>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</si>
  <si>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</si>
  <si>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</si>
  <si>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</si>
  <si>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</si>
  <si>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</si>
  <si>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</si>
  <si>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</si>
  <si>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</si>
  <si>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</si>
  <si>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</si>
  <si>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</si>
  <si>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</si>
  <si>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</si>
  <si>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</si>
  <si>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</si>
  <si>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</si>
  <si>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</si>
  <si>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</si>
  <si>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</si>
  <si>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</si>
  <si>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</si>
  <si>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</si>
  <si>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</si>
  <si>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</si>
  <si>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</si>
  <si>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</si>
  <si>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</si>
  <si>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</si>
  <si>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</si>
  <si>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</si>
  <si>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</si>
  <si>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</si>
  <si>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</si>
  <si>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</si>
  <si>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</si>
  <si>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</si>
  <si>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</si>
  <si>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</si>
  <si>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</si>
  <si>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</si>
  <si>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</si>
  <si>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</si>
  <si>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</si>
  <si>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</si>
  <si>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</si>
  <si>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</si>
  <si>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</si>
  <si>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</si>
  <si>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</si>
  <si>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</si>
  <si>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</si>
  <si>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</si>
  <si>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</si>
  <si>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</si>
  <si>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</si>
  <si>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</si>
  <si>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</si>
  <si>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</si>
  <si>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</si>
  <si>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</si>
  <si>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</si>
  <si>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</si>
  <si>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</si>
  <si>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</si>
  <si>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</si>
  <si>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</si>
  <si>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</si>
  <si>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</si>
  <si>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</si>
  <si>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</si>
  <si>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</si>
  <si>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</si>
  <si>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</si>
  <si>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</si>
  <si>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</si>
  <si>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</si>
  <si>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</si>
  <si>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</si>
  <si>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</si>
  <si>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</si>
  <si>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</si>
  <si>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</si>
  <si>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</si>
  <si>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</si>
  <si>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</si>
  <si>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</si>
  <si>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</si>
  <si>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</si>
  <si>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</si>
  <si>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</si>
  <si>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</si>
  <si>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</si>
  <si>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</si>
  <si>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</si>
  <si>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</si>
  <si>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</si>
  <si>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</si>
  <si>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</si>
  <si>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</si>
  <si>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</si>
  <si>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</si>
  <si>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</si>
  <si>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</si>
  <si>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</si>
  <si>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</si>
  <si>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</si>
  <si>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</si>
  <si>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</si>
  <si>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</si>
  <si>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</si>
  <si>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</si>
  <si>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</si>
  <si>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</si>
  <si>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</si>
  <si>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</si>
  <si>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</si>
  <si>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</si>
  <si>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</si>
  <si>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</si>
  <si>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</si>
  <si>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</si>
  <si>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</si>
  <si>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</si>
  <si>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</si>
  <si>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</si>
  <si>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</si>
  <si>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</si>
  <si>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</si>
  <si>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</si>
  <si>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</si>
  <si>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</si>
  <si>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</si>
  <si>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</si>
  <si>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</si>
  <si>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</si>
  <si>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</si>
  <si>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</si>
  <si>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</si>
  <si>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</si>
  <si>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</si>
  <si>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</si>
  <si>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</si>
  <si>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</si>
  <si>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</si>
  <si>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</si>
  <si>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</si>
  <si>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</si>
  <si>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</si>
  <si>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</si>
  <si>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</si>
  <si>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</si>
  <si>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</si>
  <si>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</si>
  <si>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</si>
  <si>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</si>
  <si>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</si>
  <si>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</si>
  <si>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</si>
  <si>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</si>
  <si>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</si>
  <si>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</si>
  <si>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</si>
  <si>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</si>
  <si>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</si>
  <si>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</si>
  <si>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</si>
  <si>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</si>
  <si>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</si>
  <si>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</si>
  <si>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</si>
  <si>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</si>
  <si>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</si>
  <si>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</si>
  <si>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</si>
  <si>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</si>
  <si>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</si>
  <si>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</si>
  <si>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</si>
  <si>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</si>
  <si>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</si>
  <si>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</si>
  <si>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</si>
  <si>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</si>
  <si>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</si>
  <si>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</si>
  <si>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</si>
  <si>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</si>
  <si>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</si>
  <si>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</si>
  <si>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</si>
  <si>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</si>
  <si>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</si>
  <si>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</si>
  <si>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</si>
  <si>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</si>
  <si>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</si>
  <si>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</si>
  <si>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</si>
  <si>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</si>
  <si>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</si>
  <si>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</si>
  <si>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</si>
  <si>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</si>
  <si>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</si>
  <si>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</si>
  <si>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</si>
  <si>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</si>
  <si>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</si>
  <si>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</si>
  <si>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</si>
  <si>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</si>
  <si>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</si>
  <si>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</si>
  <si>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</si>
  <si>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</si>
  <si>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</si>
  <si>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</si>
  <si>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</si>
  <si>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</si>
  <si>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</si>
  <si>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</si>
  <si>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</si>
  <si>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</si>
  <si>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</si>
  <si>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</si>
  <si>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</si>
  <si>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</si>
  <si>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</si>
  <si>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</si>
  <si>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</si>
  <si>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</si>
  <si>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</si>
  <si>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</si>
  <si>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</si>
  <si>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</si>
  <si>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</si>
  <si>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神楽桜（2224263497）的CY版本</t>
  </si>
  <si>
    <t>近代版本</t>
  </si>
  <si>
    <t>史前版本</t>
  </si>
  <si>
    <t>七版规则书</t>
  </si>
  <si>
    <t>https://www.lanzous.com/i98fmti</t>
  </si>
  <si>
    <t>2020.06.08更新 版本号：CY20.06.1</t>
  </si>
  <si>
    <t>2019.11.7更新 版本号：19.11.1</t>
  </si>
  <si>
    <t>声明</t>
  </si>
  <si>
    <t>人物卡更新</t>
  </si>
  <si>
    <t>右侧报社/报纸，学校/博物馆信息补充完毕
右侧时代介绍更新至2020年
自定义子技能现在有了标注指引，并且可以给不同的子项进行自定义了
删除了“难言之隐”，这玩意早该删的</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</si>
  <si>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</si>
  <si>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</si>
  <si>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</si>
  <si>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</si>
  <si>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</si>
  <si>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</si>
  <si>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</si>
  <si>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</si>
  <si>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</si>
  <si>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</si>
  <si>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</si>
  <si>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将“本职属性”移动到“剩余点数”前
更改雷达图位置
删除其余装饰性介绍</t>
  </si>
  <si>
    <t>法术大典</t>
  </si>
  <si>
    <t>https://www.lanzous.com/i7jbble</t>
  </si>
  <si>
    <t>简化卡更新</t>
  </si>
  <si>
    <t>简化卡的顶部，可以正常的显示调查员的名称了</t>
  </si>
  <si>
    <t>coc跑团群</t>
  </si>
  <si>
    <t>https://www.lanzous.com/i76887g</t>
  </si>
  <si>
    <t>职业列表更新</t>
  </si>
  <si>
    <t>更改自定义职业点数的计算方式
允许自定义职业自定义属性倍数和计算方式
允许自定义职业选择或取消教育与幸运</t>
  </si>
  <si>
    <t>密码，密码看左边，左边的人物卡下载链接里就有密码啊（瘫）</t>
  </si>
  <si>
    <t>空白人物卡更新文件夹（密码29mb）</t>
  </si>
  <si>
    <t>https://www.lanzous.com/b00nb3n2d</t>
  </si>
  <si>
    <t>2020.05.10更新 版本号：CY20.05.1</t>
  </si>
  <si>
    <t>属性注释更新</t>
  </si>
  <si>
    <t>修复部分bug</t>
  </si>
  <si>
    <t>武器名称处加入了提示：不要忘记写武器名称
自定义经历包点数问题修复
修复戏剧演员任意特产bug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</si>
  <si>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</si>
  <si>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</si>
  <si>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</si>
  <si>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</si>
  <si>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</si>
  <si>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</si>
  <si>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</si>
  <si>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2019.8.25更新 版本号：19.8.3</t>
  </si>
  <si>
    <t>弓道和薙刀错行问题解决
相扑力士职业描述里的「体型+2D6」确认了是不存在的设定，已删除</t>
  </si>
  <si>
    <t>添加自选护甲移动力减值是否开启</t>
  </si>
  <si>
    <t>Q：本卡可以进行改造吗，改造之后可以传播吗
A：可以～</t>
  </si>
  <si>
    <t>修复武器栏bug</t>
  </si>
  <si>
    <t>修复移动力年龄减值bug</t>
  </si>
  <si>
    <t>Q：本卡可以丢到群里或者上传到网站上之类的吗
A：请你一定要这样做呜呜呜</t>
  </si>
  <si>
    <t>修复描述错误</t>
  </si>
  <si>
    <t>修复“自定义经历包”“技能增长”无法输入非数值的bug</t>
  </si>
  <si>
    <t>修复“自定义年龄补正”无效的bug</t>
  </si>
  <si>
    <t>增强“信用范围”“剩余职业点”“剩余兴趣点”存在感</t>
  </si>
  <si>
    <t>大概7月份才会更新了x，取消了人物卡和简化卡 骰娘导入的密码，其他密码请看左侧人物卡链接</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</si>
  <si>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</si>
  <si>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</si>
  <si>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</si>
  <si>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</si>
  <si>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</si>
  <si>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</si>
  <si>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2020.02.24更新 版本号：CY20.02.2</t>
  </si>
  <si>
    <t>2019.8.21更新 版本号：19.8.2</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</si>
  <si>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</si>
  <si>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</si>
  <si>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</si>
  <si>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</si>
  <si>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</si>
  <si>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神楽桜【丛雨Official】（2224263497），人物卡有任何问题或者建议请及时联系我</t>
  </si>
  <si>
    <t>修复“年龄补正：”bug
将年龄的出错“警告”改为“提示”</t>
  </si>
  <si>
    <t>我的骰娘：丛雨：QQ272594304，是设定是自设的，不是柚子社那一个哦OAO</t>
  </si>
  <si>
    <t>交换“魔法”、“幸运”与“移动力”的位置
删除“幸运”最大值
删除“大成功”“大失败”计数
删除“消耗规则”
添加“幸运困难成功率”“幸运极难成功率”
添加“移动方式”</t>
  </si>
  <si>
    <t>我的群聊：COC克苏鲁跑团咖啡厅（894927747），不是那么正经的群聊</t>
  </si>
  <si>
    <t>感谢名单（有遗漏随时联系窝）</t>
  </si>
  <si>
    <t>感谢人</t>
  </si>
  <si>
    <t>帕琪（806672431）</t>
  </si>
  <si>
    <t>第一位给我提供建议的人，谢谢你！</t>
  </si>
  <si>
    <t>添加“自定义经历包”</t>
  </si>
  <si>
    <t>分
支
技
能
更
改</t>
  </si>
  <si>
    <t>增加“技能成功等级阶段介绍”图</t>
  </si>
  <si>
    <t>梦之雨（2923502026）</t>
  </si>
  <si>
    <t>使用骰娘的时候发现了导入不对劲，谢谢你告诉我，表格才有了更准确的技能名称</t>
  </si>
  <si>
    <t>锁定自定义经历包编辑</t>
  </si>
  <si>
    <t>增加“技能可选规则”：
-“专业技能：可以转移的技能优势”
-“可选规则：给技能等级按个保险”
-“语系地图”（来自维基百科）</t>
  </si>
  <si>
    <t>浅田阳子（3065875927）</t>
  </si>
  <si>
    <t>一位强迫症man，请放心，现在已经居中啦！观感上升大成功！</t>
  </si>
  <si>
    <t>取消更新介绍保护</t>
  </si>
  <si>
    <t>哦哦君（554983922）</t>
  </si>
  <si>
    <t>煲哦哦鸽</t>
  </si>
  <si>
    <t>更新“coc跑团群”</t>
  </si>
  <si>
    <t>反智（——）</t>
  </si>
  <si>
    <t>谢谢你指出的很多意见，并利用你的电脑帮助了我许多麻烦的事情</t>
  </si>
  <si>
    <t>太多了（悲），懒得分类了</t>
  </si>
  <si>
    <t>添加FAQ（是常见问题的意思，不是花Q233333）</t>
  </si>
  <si>
    <t>本杰猫（690013210）</t>
  </si>
  <si>
    <t>谢谢你可以帮我测试和协助2020年的第一次更新！</t>
  </si>
  <si>
    <t>职
业
列
表
更
改</t>
  </si>
  <si>
    <t>增强“自定义职业”、“自定义职业本职技能”的存在感
增加“推荐关系人”列表
增加“职业介绍”列表</t>
  </si>
  <si>
    <t>Schatten（1010233005）</t>
  </si>
  <si>
    <t>如此细微的错误都能发现，谢谢你！</t>
  </si>
  <si>
    <t>2020.02.11更新 版本号：CY20.02.1（区分不重名）</t>
  </si>
  <si>
    <t>2019.8.20更新 版本号：19.8.1</t>
  </si>
  <si>
    <t>か博丽西鹿☆（1206678982）</t>
  </si>
  <si>
    <t>是西鹿鹿，谢谢西鹿鹿</t>
  </si>
  <si>
    <t>更改了弩的需求技能描述，弓→弓术，现在可以在人物卡和导入里正确显示该武器的成功率了</t>
  </si>
  <si>
    <t>更新了排版</t>
  </si>
  <si>
    <t>海可斯（1658605847）</t>
  </si>
  <si>
    <t>空间反应的问题OAO，谢谢！</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</si>
  <si>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</si>
  <si>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</si>
  <si>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</si>
  <si>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</si>
  <si>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在规则书Version2002版本中（最新版本）译名“学问”→“学识”此处同步更改</t>
  </si>
  <si>
    <t>添加“自定义身体/精神状态”
更新“体力”的“状态”下拉框
更新“理智”的“状态”下拉框</t>
  </si>
  <si>
    <t>Trotyl（495568205）</t>
  </si>
  <si>
    <t>给我了最多的建议！！！！（真的很多，快100了）谢谢！</t>
  </si>
  <si>
    <t>缘，妙不可言（1992752152）</t>
  </si>
  <si>
    <t>谢谢你这么认真使用我的卡！</t>
  </si>
  <si>
    <t>修复了了法医职业的本职技能错误</t>
  </si>
  <si>
    <t>Истина.（993032722）</t>
  </si>
  <si>
    <t>和你聊天很舒服～另外谢谢你的建议！</t>
  </si>
  <si>
    <t>移除基础属性：“体力”“理智”“幸运”“魔法”上限栏保护
移除“魔法”“每小时恢复”栏位保护
移除“伤害加值”、“体格”数值栏位保护</t>
  </si>
  <si>
    <t>西擎庄（3605330799）</t>
  </si>
  <si>
    <t>谢谢提供的建议QAQ</t>
  </si>
  <si>
    <t>修复了古典艺术家职业的技能点计算公式错误</t>
  </si>
  <si>
    <t>属
性
和
掷
骰
更
新</t>
  </si>
  <si>
    <t>增加“各个属性的数字意味着什么？”、“每个属性的骰点骰子”</t>
  </si>
  <si>
    <t>缄（920068575）</t>
  </si>
  <si>
    <t>很抱歉到现在才解决问题！！</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</si>
  <si>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</si>
  <si>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</si>
  <si>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</si>
  <si>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资产及物价参考更新</t>
  </si>
  <si>
    <t>修复了现代美元的信用评级对照表格的一个错误</t>
  </si>
  <si>
    <t>更新汇率</t>
  </si>
  <si>
    <t>初音未来zkw（3200767064）</t>
  </si>
  <si>
    <t>问题解决了！</t>
  </si>
  <si>
    <t>添加货币：
      雷亚尔（巴西）
      墨西哥元（墨西哥）
      泰铢（泰国）
      新加坡元（新加坡）
      南非兰特（南非）</t>
  </si>
  <si>
    <t>天不错（1057354813）</t>
  </si>
  <si>
    <t>感谢你的成长表！</t>
  </si>
  <si>
    <t>韩艺瑟（993032722）</t>
  </si>
  <si>
    <t>同样也是拖了好久才更新呜呜呜，对不起！</t>
  </si>
  <si>
    <t>规则书链接更新，添加本表格更新链接，可随时访问查看本表有没有更新</t>
  </si>
  <si>
    <t>グ（1115183244）</t>
  </si>
  <si>
    <t>谢谢你使用pc帮助我那么多忙OAO，麻烦惹</t>
  </si>
  <si>
    <t>更改</t>
  </si>
  <si>
    <t>对一些表格的版式和美观度进行了更新，表格名称修改，小细节修改</t>
  </si>
  <si>
    <t>更新资产单位下拉列表，更新资产算法(这个功能研究了好久。。。excel大于小于的bug真要命)</t>
  </si>
  <si>
    <t>有什么问题随时联系窝！联系方式在左边，在左边啦——</t>
  </si>
  <si>
    <t>更改雷达图位置</t>
  </si>
  <si>
    <t>删除“不算幸运：”
将“算幸运：”改为“已用点数：”
添加“年龄补正：”</t>
  </si>
  <si>
    <t>2020.01.16更新 版本号：20.1</t>
  </si>
  <si>
    <t>武
器
列
表
更
新</t>
  </si>
  <si>
    <t>为武器列表增加“类型”</t>
  </si>
  <si>
    <t>修复了【人物卡→法术一览】的锁定问题</t>
  </si>
  <si>
    <t>将特殊武器介绍改为“注释”
为“术语解释”排版</t>
  </si>
  <si>
    <t>添加
“规则书”“玩家手册”“怪物之锤”“法术大典”“跑团群”
 文件链接</t>
  </si>
  <si>
    <t>快捷输入描述微调</t>
  </si>
  <si>
    <t>增加“会造成惩罚骰的情况”
增加“特殊伤害解读”
增加受伤程度列表</t>
  </si>
  <si>
    <t>自定义职业注释去除（因为显示不出），并且修复了维多利亚年代的错误问题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</si>
  <si>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</si>
  <si>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</si>
  <si>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</si>
  <si>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更新说明大幅度改动，“感谢……”去除，更新说明更加直观，新增感谢名单，并将提供建议和帮助的你们加入其中（在本页面左边）</t>
  </si>
  <si>
    <t>将“技能表”的科学①②③的“数学”基础值改为10</t>
  </si>
  <si>
    <t>修复初始理智值不自动计算的问题</t>
  </si>
  <si>
    <t>对表格整体进行了美化处理（比如对很多单元格文字设置了居中，观感更好）</t>
  </si>
  <si>
    <t>修复“理智参考规则”与“快速参考规则”的错误</t>
  </si>
  <si>
    <t>重新保护部分单元格</t>
  </si>
  <si>
    <t>丛雨在这里祝愿大家！2020新年快乐！天天大成功！无论是跑团还是别的事情都要大成功哦！</t>
  </si>
  <si>
    <t>2019.6.22更新 版本号：19.6.1</t>
  </si>
  <si>
    <t>2019.12.20更新 版本号：19.12.3beta</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</si>
  <si>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</si>
  <si>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已修复【人物卡→护甲区块显示不完全】的问题</t>
  </si>
  <si>
    <t>现在【人物卡→技能名称】可以选定了
现在【人物卡→疯狂症状出目】（在左下部分）也可以选定了
取悦（原魅惑），导航（原领航）的注释描述已经同步更改</t>
  </si>
  <si>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</si>
  <si>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</si>
  <si>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t>现在表格所有初始缩放比例调整为100%，电脑看起来会更舒服了吧</t>
  </si>
  <si>
    <t>更改最顶端注释</t>
  </si>
  <si>
    <t>表格大小缩小！</t>
  </si>
  <si>
    <t>添加“时代介绍”</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</si>
  <si>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</si>
  <si>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重新排版</t>
  </si>
  <si>
    <t>删除“将力量与体型相加之后”、“体格的作用”</t>
  </si>
  <si>
    <t>为武器表的武器类型下拉框添加空白框格</t>
  </si>
  <si>
    <t>修复9号职业“文物学家（原作向）”没有“估价”本职标记问题</t>
  </si>
  <si>
    <t>2019.12.08更新 版本号：19.12.2beta</t>
  </si>
  <si>
    <t>将“性别”改为“性别/性取向”</t>
  </si>
  <si>
    <t>已修复【人物卡→武器表中的一些文本没有居中】的问题</t>
  </si>
  <si>
    <t>修改san初始值可能超过最大值的bug</t>
  </si>
  <si>
    <t>修复"☆ 二选一""⊙ 二选一""☯ 社交技能""※ 多选，或X选一"不显示问题（这么明显的bug都半年了居然才发现。。）</t>
  </si>
  <si>
    <t>格斗②③，射击②③，外语②③，科学③的本职技能标记在之前发生了重复和不显示的错误，现在已经可以正常的显示了</t>
  </si>
  <si>
    <t>技能注释更新</t>
  </si>
  <si>
    <t>添加新功能“技能查询”</t>
  </si>
  <si>
    <t>删除“艺术与手艺”“科学”“射击”“驾驶”“格斗”</t>
  </si>
  <si>
    <t>【射击：弓】更名为【射击：弓术】</t>
  </si>
  <si>
    <t>更改理发，酿酒，捕鱼，打字，技术制图的解释</t>
  </si>
  <si>
    <t>修复“自定义职业本职技能”技能下拉选框无法选择“格斗③”“射击③”“外语③”“自定义”技能的问题</t>
  </si>
  <si>
    <t>已修复【导入时导入的是弓的数据，而骰娘识别的是弓术导致检定弓术时失效】的问题</t>
  </si>
  <si>
    <t>为额外的职业表添加注释</t>
  </si>
  <si>
    <t>删除自动掷骰部分</t>
  </si>
  <si>
    <t>MDice骰娘（惠惠）专属导入，
加入便于电脑复制导入的本文框</t>
  </si>
  <si>
    <t>更改“将力量与体型相加之后”的色块</t>
  </si>
  <si>
    <t>修正唯二可以超过99的错误（可以超过100）</t>
  </si>
  <si>
    <t>呜噫噫呜，有错误请一定要联系我哦，欢迎扩散这份表格！你们的使用是我最大的动力！</t>
  </si>
  <si>
    <t>将“特殊伤害解读”的注释格式改为向左对其</t>
  </si>
  <si>
    <t>更改“战斗轮可选规则”的“先攻检定”“击晕”“相杀”“火力压制”“瞄准具”“支架”“在战斗中移动”“完全隐蔽”“击穿掩体”“俯卧”“毒性”“毒性示例”可选规则的注释 / 增加“抵近射击调整”</t>
  </si>
  <si>
    <t>2019.12.03更新 版本号：19.12.1beta</t>
  </si>
  <si>
    <t>添加：发明时间</t>
  </si>
  <si>
    <t>在人物表最下方加入引导内容【骰娘快捷输入见简化卡】
【调查员信息】中，原“性别/性取向”改为“性别”</t>
  </si>
  <si>
    <t>防具表 载具表更新</t>
  </si>
  <si>
    <t>删除“防护等级”</t>
  </si>
  <si>
    <t>更改“术语解释/规则”的名称与排版</t>
  </si>
  <si>
    <t>添加“MOV与速度对照值”</t>
  </si>
  <si>
    <t>shiki Exp10骰娘专属导入，
造成表格体积变大的图片引导已修改，并更加完善引导过程</t>
  </si>
  <si>
    <t>修改载具表的大量问题</t>
  </si>
  <si>
    <t>将【分支技能】改为【技能注释】</t>
  </si>
  <si>
    <t>目前快捷输入已经有三种了，具体是哪种，可以看一下简化卡的说明，我尽可能的给大家说的明白，总之，希望可以方便一下大家吧。
有什么问题请随时给我说，在左边就有我的联系方式啦。</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</si>
  <si>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</si>
  <si>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</si>
  <si>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</si>
  <si>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</si>
  <si>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</si>
  <si>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2019.11.26更新 版本号：19.11.4beta</t>
  </si>
  <si>
    <t>缩小“现时间”，“成功率 普通/困难/极难”与“成功标”字号</t>
  </si>
  <si>
    <t>已修复【人物表→其他资产表→其他栏目无法选定】的问题</t>
  </si>
  <si>
    <t>分支技能更新</t>
  </si>
  <si>
    <t>将以下板块重新排版：
可选规则：给技能等级安个保险
格斗、生存、驾驶、社交类、治疗类、维修类、科学、神话等
这是一张展示世界语系的地图（来自维基百科2018）</t>
  </si>
  <si>
    <t>已修复【人物卡→资产→消费水平、其他资产、当前现金不会随年代和信用评级的变化而变化】的问题</t>
  </si>
  <si>
    <t>调整了货币之间的汇率（按照19年11月25日当日全球汇率进行调整）</t>
  </si>
  <si>
    <t>汉化语系地图</t>
  </si>
  <si>
    <t>更新定义：
专业技能：可以转移的技能优势   语言解释
超越人体极限：多调查员协作检定</t>
  </si>
  <si>
    <t>对【人物卡→资产】内的一些本文错误（错字，没有句号逗号等）进行了修复</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</si>
  <si>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</si>
  <si>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将【资产参考】更名为【资产及物价参考】</t>
  </si>
  <si>
    <t>增加“简单易懂英制的长度单位教学~~~”</t>
  </si>
  <si>
    <t>增加“现代物价参考表”</t>
  </si>
  <si>
    <t>增加“1920年代物价参考表”</t>
  </si>
  <si>
    <t>2019.11.25更新 版本号：19.11.3beta</t>
  </si>
  <si>
    <t>纠正射程单位
更新武器名称
将“布置”改为“就地”
将武器名称和规则书同步</t>
  </si>
  <si>
    <t>现已修复【考古学家没有本职技能估价星标显示】问题</t>
  </si>
  <si>
    <t>2019.11.23更新 版本号：19.11beta</t>
  </si>
  <si>
    <t>将“术语解释”中的：
“+db注释”更改为“英制单位的简易理解方式”
更改“罕见”的注释</t>
  </si>
  <si>
    <t>“技艺”，“格斗”，“驾驶”和“成功标”等下拉框修复</t>
  </si>
  <si>
    <t>为了规范起见，也为了防止pl误操作，现在除了“自定义技能”，其余技能名称均已锁定</t>
  </si>
  <si>
    <t>在“特殊伤害解读”中增加“晕（眩）”</t>
  </si>
  <si>
    <t>在表格最下方的浅字署名更改为神楽桜（丛雨Official）2019.11.23</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</si>
  <si>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</si>
  <si>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</si>
  <si>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</si>
  <si>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</si>
  <si>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塔系骰娘专属导入，并附图给予复制教程</t>
  </si>
  <si>
    <t>更新排版</t>
  </si>
  <si>
    <t>更改以下载具乘客数值
地铁                                 缆车
空轨                                 高铁
客船                                 独木舟
木筏                                 货轮
热气球</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</si>
  <si>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</si>
  <si>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</si>
  <si>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</si>
  <si>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</si>
  <si>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</si>
  <si>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2025.3.12更新 版本号：？</t>
  </si>
  <si>
    <t>2018.4.1更新 版本号：19.4.1</t>
  </si>
  <si>
    <r>
      <rPr>
        <sz val="11"/>
        <color rgb="FF000000"/>
        <rFont val="微软雅黑"/>
        <family val="2"/>
        <charset val="134"/>
      </rPr>
      <t>兴趣使然以自己的审美更改了卡的颜色，更改了原本使用的蓝色“只是颜色相近，但十六进制不同”的奇妙问题，便于下次再进行改色时直接“查找替换”</t>
    </r>
    <r>
      <rPr>
        <sz val="11"/>
        <color rgb="FF000000"/>
        <rFont val="Arial"/>
        <family val="2"/>
      </rPr>
      <t>→</t>
    </r>
    <r>
      <rPr>
        <sz val="11"/>
        <color rgb="FF000000"/>
        <rFont val="微软雅黑"/>
        <family val="2"/>
        <charset val="134"/>
      </rPr>
      <t>“格式”的设置</t>
    </r>
  </si>
  <si>
    <t>修复“剩余经历包点数”bug</t>
  </si>
  <si>
    <t>降低“战斗流程图”的文件大小</t>
  </si>
  <si>
    <t>修复</t>
  </si>
  <si>
    <t>将附表中对于人物卡属性的引用改为对表格数据的直接引用，虽然不太美观，但是应该不会再出问题了（谁会看呢）；
修复了《您的角色可能》表下的公式问题；
修复了技能注释查询、自定义职业及自定义技能的下拉栏；
锁定了原表含有公式的位置，启用了工作表保护。</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</si>
  <si>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</si>
  <si>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</si>
  <si>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</si>
  <si>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</si>
  <si>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总感觉这份表被什么刁民破坏过了啊…总之斗胆写下了今晚的所作所为，放在最后了。因为没能找到更新的表，所以就用了这版。无论是原作者还是这份卡的作者都是非常厉害的人，请支持。</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</si>
  <si>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</si>
  <si>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</si>
  <si>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</si>
  <si>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</si>
  <si>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</si>
  <si>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</si>
  <si>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</si>
  <si>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</si>
  <si>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</si>
  <si>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</si>
  <si>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</si>
  <si>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</si>
  <si>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</si>
  <si>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</si>
  <si>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</si>
  <si>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</si>
  <si>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</si>
  <si>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</si>
  <si>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</si>
  <si>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</si>
  <si>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</si>
  <si>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</si>
  <si>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</si>
  <si>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</si>
  <si>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</si>
  <si>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</si>
  <si>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</si>
  <si>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</si>
  <si>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</si>
  <si>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</si>
  <si>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</si>
  <si>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</si>
  <si>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</si>
  <si>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</si>
  <si>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</si>
  <si>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</si>
  <si>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</si>
  <si>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</si>
  <si>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</si>
  <si>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</si>
  <si>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</si>
  <si>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</si>
  <si>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</si>
  <si>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</si>
  <si>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</si>
  <si>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</si>
  <si>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</si>
  <si>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</si>
  <si>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</si>
  <si>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</si>
  <si>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</si>
  <si>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</si>
  <si>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</si>
  <si>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</si>
  <si>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</si>
  <si>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</si>
  <si>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</si>
  <si>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</si>
  <si>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</si>
  <si>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</si>
  <si>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</si>
  <si>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</si>
  <si>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</si>
  <si>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</si>
  <si>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</si>
  <si>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</si>
  <si>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</si>
  <si>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</si>
  <si>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</si>
  <si>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</si>
  <si>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</si>
  <si>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</si>
  <si>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</si>
  <si>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</si>
  <si>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</si>
  <si>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</si>
  <si>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</si>
  <si>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</si>
  <si>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</si>
  <si>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</si>
  <si>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</si>
  <si>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</si>
  <si>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</si>
  <si>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</si>
  <si>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</si>
  <si>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</si>
  <si>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</si>
  <si>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</si>
  <si>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</si>
  <si>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</si>
  <si>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</si>
  <si>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</si>
  <si>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</si>
  <si>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</si>
  <si>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</si>
  <si>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</si>
  <si>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</si>
  <si>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</si>
  <si>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</si>
  <si>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</si>
  <si>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</si>
  <si>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</si>
  <si>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</si>
  <si>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</si>
  <si>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</si>
  <si>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</si>
  <si>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</si>
  <si>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</si>
  <si>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</si>
  <si>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</si>
  <si>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</si>
  <si>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</si>
  <si>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</si>
  <si>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</si>
  <si>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</si>
  <si>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</si>
  <si>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</si>
  <si>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</si>
  <si>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</si>
  <si>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</si>
  <si>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</si>
  <si>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</si>
  <si>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</si>
  <si>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</si>
  <si>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</si>
  <si>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</si>
  <si>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</si>
  <si>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</si>
  <si>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</si>
  <si>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</si>
  <si>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</si>
  <si>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</si>
  <si>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</si>
  <si>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</si>
  <si>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</si>
  <si>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</si>
  <si>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</si>
  <si>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</si>
  <si>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</si>
  <si>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</si>
  <si>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</si>
  <si>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</si>
  <si>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</si>
  <si>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</si>
  <si>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</si>
  <si>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</si>
  <si>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</si>
  <si>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</si>
  <si>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</si>
  <si>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</si>
  <si>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</si>
  <si>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Kanra</t>
  </si>
  <si>
    <t>男</t>
  </si>
  <si>
    <t>艾迪安·多雷</t>
  </si>
  <si>
    <t>法国 格勒诺布尔</t>
  </si>
  <si>
    <t>法国 里昂</t>
  </si>
  <si>
    <t>好用的刀</t>
  </si>
  <si>
    <t>好用的枪</t>
  </si>
  <si>
    <t>手表</t>
  </si>
  <si>
    <t>存款</t>
  </si>
  <si>
    <t>里昂的住处</t>
  </si>
  <si>
    <t>租车</t>
  </si>
  <si>
    <t>未知并不可怖——无知才是。</t>
  </si>
  <si>
    <t>肩背宽阔的青年，体格健壮，深棕色头发，灰绿色眼睛，以相貌而言，乍一看，人们会认为他应当是流连于酒场的生意人，碰巧有些运动爱好。然而，他的手积满了厚茧</t>
  </si>
  <si>
    <t>父母。一对体面的中产家庭夫妇，对儿子常年探险这件事既骄傲又头疼。尽管他们支持他的旅行，仍然一直希望他“能找份真正的工作”。</t>
  </si>
  <si>
    <t>韦科尔山地，少年时代第一次独自探险的地方</t>
  </si>
  <si>
    <t>一枚老式机械腕表，父母的礼物，从不跑慢</t>
  </si>
  <si>
    <t>好奇心胜过了自保意识</t>
  </si>
  <si>
    <t>左侧肋骨附近有一道不规则旧疤，一次攀岩事故留下的</t>
  </si>
  <si>
    <t>极其不喜欢被困在无法自主离开的地方，却没有发展成幽闭恐惧。他可以进入极狭窄的洞穴，因为他确信自己知道出口在哪里。</t>
  </si>
  <si>
    <t xml:space="preserve">十四岁那年，艾迪安与朋友在韦科尔山徒步时失足滚下山崖。幸运的是，他最后只摔断了一根肋骨，外加满身擦伤。  
获救后，父亲问他当时是不是吓坏了。艾迪安想了一会儿，发现自己并没怎么害怕。坠落时，他甚至还有心思判断该用哪里着地，停下来后的第一件事也是检查自己还能不能动。第二件事——噢，他那时候在想：这里的云真好看。  
这让十四岁的艾迪安第一次意识到，自己似乎没什么恐惧心。后来，他开始主动寻找那些别人避之不及的地方：废弃矿洞、地下河、无人山区，以及地图上只有一片空白的角落。  
成年后，艾迪安成为了一名探险家。家里对此颇有微词，他则认为这比坐办公室适合自己。  
如今，他的探索版图从欧洲一路扩展到了另一块大陆。美国的阿巴拉契亚山脉是个不错的开始。  </t>
  </si>
  <si>
    <t>大衣</t>
  </si>
  <si>
    <t>银质项链</t>
  </si>
  <si>
    <t>打火机</t>
  </si>
  <si>
    <t>车钥匙</t>
  </si>
  <si>
    <t>烟盒</t>
  </si>
  <si>
    <t>护照、钱包</t>
  </si>
  <si>
    <t>公路地图</t>
  </si>
  <si>
    <t>小型手电筒</t>
  </si>
  <si>
    <t>零钱</t>
  </si>
  <si>
    <t>防水笔记本与水笔</t>
  </si>
  <si>
    <t>指南针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</si>
</sst>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6" formatCode="&quot;$&quot;#,##0_);[Red]\(&quot;$&quot;#,##0\)"/>
    <numFmt numFmtId="164" formatCode="m&quot;月&quot;d&quot;日&quot;"/>
    <numFmt numFmtId="165" formatCode="&quot;$&quot;0"/>
    <numFmt numFmtId="166" formatCode="[=0]&quot;&quot;;General"/>
    <numFmt numFmtId="167" formatCode="&quot;[&quot;0&quot;]&quot;"/>
    <numFmt numFmtId="168" formatCode="0_);[Red]\(0\)"/>
    <numFmt numFmtId="169" formatCode="0.00_);[Red]\(0.00\)"/>
    <numFmt numFmtId="170" formatCode="&quot;/&quot;0"/>
    <numFmt numFmtId="171" formatCode="[=0]&quot;&quot;;&quot;/&quot;0"/>
    <numFmt numFmtId="172" formatCode="[=32767]&quot;&quot;;General"/>
    <numFmt numFmtId="173" formatCode="h:mm"/>
    <numFmt numFmtId="174" formatCode="0&quot;年&quot;"/>
    <numFmt numFmtId="175" formatCode="\/0_ "/>
    <numFmt numFmtId="176" formatCode="[=1]&quot;☆ 二选一&quot;;[=0]&quot;&quot;"/>
    <numFmt numFmtId="177" formatCode="[=1]&quot;⊙ 二选一&quot;;[=0]&quot;&quot;"/>
    <numFmt numFmtId="178" formatCode="0_ "/>
    <numFmt numFmtId="179" formatCode="[=0]&quot;&quot;;&quot;☯ 社交技能（&quot;0&quot;项）&quot;"/>
    <numFmt numFmtId="180" formatCode="\+0;\-0;&quot;±&quot;0"/>
    <numFmt numFmtId="181" formatCode="[=1]&quot;※ 多选，或X选一&quot;;[=0]&quot;&quot;"/>
    <numFmt numFmtId="182" formatCode="0.0_ "/>
  </numFmts>
  <fonts count="193">
    <font>
      <sz val="11"/>
      <name val="宋体"/>
      <charset val="134"/>
    </font>
    <font>
      <sz val="11"/>
      <color rgb="FF000000"/>
      <name val="微软雅黑"/>
      <family val="2"/>
      <charset val="134"/>
    </font>
    <font>
      <sz val="20"/>
      <color rgb="FF000000"/>
      <name val="微软雅黑"/>
      <family val="2"/>
      <charset val="134"/>
    </font>
    <font>
      <sz val="12"/>
      <color rgb="FF000000"/>
      <name val="微软雅黑"/>
      <family val="2"/>
      <charset val="134"/>
    </font>
    <font>
      <sz val="11"/>
      <color rgb="FFFFFFFF"/>
      <name val="微软雅黑"/>
      <family val="2"/>
      <charset val="134"/>
    </font>
    <font>
      <sz val="11"/>
      <color rgb="FFBF0000"/>
      <name val="微软雅黑"/>
      <family val="2"/>
      <charset val="134"/>
    </font>
    <font>
      <u/>
      <sz val="14"/>
      <color indexed="20"/>
      <name val="宋体"/>
      <charset val="134"/>
    </font>
    <font>
      <u/>
      <sz val="14"/>
      <color rgb="FF0000FF"/>
      <name val="微软雅黑"/>
      <family val="2"/>
      <charset val="134"/>
    </font>
    <font>
      <sz val="14"/>
      <name val="微软雅黑"/>
      <family val="2"/>
      <charset val="134"/>
    </font>
    <font>
      <sz val="11"/>
      <color rgb="FF36363D"/>
      <name val="微软雅黑"/>
      <family val="2"/>
      <charset val="134"/>
    </font>
    <font>
      <sz val="11"/>
      <name val="微软雅黑"/>
      <family val="2"/>
      <charset val="134"/>
    </font>
    <font>
      <sz val="8"/>
      <name val="微软雅黑"/>
      <family val="2"/>
      <charset val="134"/>
    </font>
    <font>
      <sz val="10"/>
      <name val="微软雅黑"/>
      <family val="2"/>
      <charset val="134"/>
    </font>
    <font>
      <sz val="11"/>
      <color rgb="FFFF0000"/>
      <name val="微软雅黑"/>
      <family val="2"/>
      <charset val="134"/>
    </font>
    <font>
      <sz val="14"/>
      <color rgb="FFFF0000"/>
      <name val="微软雅黑"/>
      <family val="2"/>
      <charset val="134"/>
    </font>
    <font>
      <sz val="12"/>
      <name val="微软雅黑"/>
      <family val="2"/>
      <charset val="134"/>
    </font>
    <font>
      <sz val="9"/>
      <name val="微软雅黑"/>
      <family val="2"/>
      <charset val="134"/>
    </font>
    <font>
      <sz val="10"/>
      <color rgb="FF000000"/>
      <name val="微软雅黑"/>
      <family val="2"/>
      <charset val="134"/>
    </font>
    <font>
      <strike/>
      <sz val="11"/>
      <color rgb="FF000000"/>
      <name val="微软雅黑"/>
      <family val="2"/>
      <charset val="134"/>
    </font>
    <font>
      <sz val="8"/>
      <color rgb="FF000000"/>
      <name val="微软雅黑"/>
      <family val="2"/>
      <charset val="134"/>
    </font>
    <font>
      <sz val="7"/>
      <name val="微软雅黑"/>
      <family val="2"/>
      <charset val="134"/>
    </font>
    <font>
      <sz val="14"/>
      <color rgb="FF000000"/>
      <name val="微软雅黑"/>
      <family val="2"/>
      <charset val="134"/>
    </font>
    <font>
      <b/>
      <sz val="12"/>
      <color rgb="FF000000"/>
      <name val="微软雅黑"/>
      <family val="2"/>
      <charset val="134"/>
    </font>
    <font>
      <sz val="28"/>
      <color rgb="FF000000"/>
      <name val="微软雅黑"/>
      <family val="2"/>
      <charset val="134"/>
    </font>
    <font>
      <sz val="22"/>
      <color rgb="FF000000"/>
      <name val="微软雅黑"/>
      <family val="2"/>
      <charset val="134"/>
    </font>
    <font>
      <b/>
      <sz val="11"/>
      <color rgb="FF000000"/>
      <name val="微软雅黑"/>
      <family val="2"/>
      <charset val="134"/>
    </font>
    <font>
      <sz val="6"/>
      <color rgb="FF000000"/>
      <name val="微软雅黑"/>
      <family val="2"/>
      <charset val="134"/>
    </font>
    <font>
      <sz val="10"/>
      <name val="等线"/>
      <family val="4"/>
      <charset val="134"/>
    </font>
    <font>
      <sz val="11"/>
      <name val="等线"/>
      <family val="4"/>
      <charset val="134"/>
    </font>
    <font>
      <b/>
      <sz val="10"/>
      <color rgb="FFFFFFFF"/>
      <name val="微软雅黑"/>
      <family val="2"/>
      <charset val="134"/>
    </font>
    <font>
      <b/>
      <sz val="8"/>
      <color rgb="FFFFFFFF"/>
      <name val="微软雅黑"/>
      <family val="2"/>
      <charset val="134"/>
    </font>
    <font>
      <sz val="10"/>
      <color rgb="FF000000"/>
      <name val="等线"/>
      <family val="4"/>
      <charset val="134"/>
    </font>
    <font>
      <b/>
      <sz val="12"/>
      <name val="微软雅黑"/>
      <family val="2"/>
      <charset val="134"/>
    </font>
    <font>
      <sz val="9"/>
      <color rgb="FF1F3964"/>
      <name val="微软雅黑"/>
      <family val="2"/>
      <charset val="134"/>
    </font>
    <font>
      <sz val="36"/>
      <name val="等线"/>
      <family val="4"/>
      <charset val="134"/>
    </font>
    <font>
      <sz val="12"/>
      <color rgb="FFFF0000"/>
      <name val="等线"/>
      <family val="4"/>
      <charset val="134"/>
    </font>
    <font>
      <sz val="14"/>
      <color rgb="FFFF0000"/>
      <name val="等线"/>
      <family val="4"/>
      <charset val="134"/>
    </font>
    <font>
      <sz val="24"/>
      <name val="等线"/>
      <family val="4"/>
      <charset val="134"/>
    </font>
    <font>
      <b/>
      <sz val="11"/>
      <color rgb="FFFFFFFF"/>
      <name val="宋体"/>
      <charset val="134"/>
    </font>
    <font>
      <sz val="9"/>
      <name val="等线"/>
      <family val="4"/>
      <charset val="134"/>
    </font>
    <font>
      <sz val="8"/>
      <color rgb="FF000000"/>
      <name val="等线"/>
      <family val="4"/>
      <charset val="134"/>
    </font>
    <font>
      <sz val="28"/>
      <name val="微软雅黑"/>
      <family val="2"/>
      <charset val="134"/>
    </font>
    <font>
      <sz val="24"/>
      <name val="微软雅黑"/>
      <family val="2"/>
      <charset val="134"/>
    </font>
    <font>
      <sz val="11"/>
      <color rgb="FF5D91A7"/>
      <name val="微软雅黑"/>
      <family val="2"/>
      <charset val="134"/>
    </font>
    <font>
      <sz val="16"/>
      <name val="微软雅黑"/>
      <family val="2"/>
      <charset val="134"/>
    </font>
    <font>
      <sz val="11"/>
      <color rgb="FF1F3964"/>
      <name val="微软雅黑"/>
      <family val="2"/>
      <charset val="134"/>
    </font>
    <font>
      <sz val="28"/>
      <name val="等线"/>
      <family val="4"/>
      <charset val="134"/>
    </font>
    <font>
      <sz val="18"/>
      <name val="等线"/>
      <family val="4"/>
      <charset val="134"/>
    </font>
    <font>
      <sz val="11"/>
      <color rgb="FFFFFFFF"/>
      <name val="等线"/>
      <family val="4"/>
      <charset val="134"/>
    </font>
    <font>
      <sz val="10"/>
      <color rgb="FFFFFFFF"/>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4"/>
      <charset val="134"/>
    </font>
    <font>
      <sz val="10"/>
      <color rgb="FF000000"/>
      <name val="宋体"/>
      <charset val="134"/>
    </font>
    <font>
      <sz val="10"/>
      <name val="宋体"/>
      <charset val="134"/>
    </font>
    <font>
      <sz val="20"/>
      <name val="微软雅黑"/>
      <family val="2"/>
      <charset val="134"/>
    </font>
    <font>
      <sz val="16"/>
      <name val="宋体"/>
      <charset val="134"/>
    </font>
    <font>
      <b/>
      <sz val="15"/>
      <name val="微软雅黑"/>
      <family val="2"/>
      <charset val="134"/>
    </font>
    <font>
      <b/>
      <sz val="18"/>
      <name val="微软雅黑"/>
      <family val="2"/>
      <charset val="134"/>
    </font>
    <font>
      <b/>
      <sz val="12"/>
      <name val="等线"/>
      <family val="4"/>
      <charset val="134"/>
    </font>
    <font>
      <i/>
      <sz val="9"/>
      <name val="微软雅黑"/>
      <family val="2"/>
      <charset val="134"/>
    </font>
    <font>
      <b/>
      <sz val="9"/>
      <color rgb="FFFFFFFF"/>
      <name val="宋体"/>
      <charset val="134"/>
    </font>
    <font>
      <sz val="11"/>
      <color rgb="FF000000"/>
      <name val="宋体"/>
      <charset val="134"/>
    </font>
    <font>
      <b/>
      <sz val="11"/>
      <name val="宋体"/>
      <charset val="134"/>
    </font>
    <font>
      <sz val="22"/>
      <name val="等线"/>
      <family val="4"/>
      <charset val="134"/>
    </font>
    <font>
      <sz val="36"/>
      <color rgb="FF000000"/>
      <name val="等线"/>
      <family val="4"/>
      <charset val="134"/>
    </font>
    <font>
      <sz val="11"/>
      <color rgb="FF000000"/>
      <name val="等线"/>
      <family val="4"/>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9"/>
      <color rgb="FF000000"/>
      <name val="微软雅黑"/>
      <family val="2"/>
      <charset val="134"/>
    </font>
    <font>
      <b/>
      <strike/>
      <sz val="15"/>
      <name val="微软雅黑"/>
      <family val="2"/>
      <charset val="134"/>
    </font>
    <font>
      <sz val="11"/>
      <color rgb="FF385623"/>
      <name val="微软雅黑"/>
      <family val="2"/>
      <charset val="134"/>
    </font>
    <font>
      <b/>
      <sz val="16"/>
      <name val="微软雅黑"/>
      <family val="2"/>
      <charset val="134"/>
    </font>
    <font>
      <sz val="18"/>
      <name val="微软雅黑"/>
      <family val="2"/>
      <charset val="134"/>
    </font>
    <font>
      <b/>
      <sz val="14"/>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4"/>
      <charset val="134"/>
    </font>
    <font>
      <sz val="11"/>
      <color rgb="FFFF0000"/>
      <name val="等线"/>
      <family val="4"/>
      <charset val="134"/>
    </font>
    <font>
      <sz val="12"/>
      <color rgb="FFFFFFFF"/>
      <name val="等线"/>
      <family val="4"/>
      <charset val="134"/>
    </font>
    <font>
      <sz val="12"/>
      <color rgb="FF000000"/>
      <name val="等线"/>
      <family val="4"/>
      <charset val="134"/>
    </font>
    <font>
      <sz val="9"/>
      <color rgb="FF000000"/>
      <name val="等线"/>
      <family val="4"/>
      <charset val="134"/>
    </font>
    <font>
      <sz val="12"/>
      <name val="等线"/>
      <family val="4"/>
      <charset val="134"/>
    </font>
    <font>
      <sz val="8"/>
      <name val="等线"/>
      <family val="4"/>
      <charset val="134"/>
    </font>
    <font>
      <sz val="7"/>
      <color rgb="FF000000"/>
      <name val="等线"/>
      <family val="4"/>
      <charset val="134"/>
    </font>
    <font>
      <sz val="12"/>
      <color rgb="FF000000"/>
      <name val="微软雅黑 Light"/>
      <family val="2"/>
      <charset val="134"/>
    </font>
    <font>
      <sz val="12"/>
      <color rgb="FFFFFFFF"/>
      <name val="微软雅黑 Light"/>
      <family val="2"/>
      <charset val="134"/>
    </font>
    <font>
      <sz val="11"/>
      <color rgb="FF000000"/>
      <name val="微软雅黑 Light"/>
      <family val="2"/>
      <charset val="134"/>
    </font>
    <font>
      <sz val="10"/>
      <color rgb="FF000000"/>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b/>
      <sz val="18"/>
      <name val="微软雅黑 Light"/>
      <family val="2"/>
      <charset val="134"/>
    </font>
    <font>
      <sz val="12"/>
      <color rgb="FFFFFFFF"/>
      <name val="微软雅黑"/>
      <family val="2"/>
      <charset val="134"/>
    </font>
    <font>
      <sz val="9"/>
      <color rgb="FF000000"/>
      <name val="微软雅黑 Light"/>
      <family val="2"/>
      <charset val="134"/>
    </font>
    <font>
      <sz val="9"/>
      <color rgb="FF000000"/>
      <name val="宋体"/>
      <charset val="134"/>
    </font>
    <font>
      <b/>
      <sz val="9"/>
      <color rgb="FF000000"/>
      <name val="宋体"/>
      <charset val="134"/>
    </font>
    <font>
      <i/>
      <sz val="9"/>
      <color rgb="FF000000"/>
      <name val="微软雅黑"/>
      <family val="2"/>
      <charset val="134"/>
    </font>
    <font>
      <b/>
      <sz val="12"/>
      <color rgb="FFD58B43"/>
      <name val="微软雅黑 Light"/>
      <family val="2"/>
      <charset val="134"/>
    </font>
    <font>
      <sz val="12"/>
      <color rgb="FFD58B43"/>
      <name val="微软雅黑 Light"/>
      <family val="2"/>
      <charset val="134"/>
    </font>
    <font>
      <sz val="12"/>
      <color rgb="FF2F75B6"/>
      <name val="微软雅黑 Light"/>
      <family val="2"/>
      <charset val="134"/>
    </font>
    <font>
      <sz val="20"/>
      <color rgb="FF000000"/>
      <name val="等线"/>
      <family val="4"/>
      <charset val="134"/>
    </font>
    <font>
      <sz val="18"/>
      <color rgb="FF000000"/>
      <name val="等线"/>
      <family val="4"/>
      <charset val="134"/>
    </font>
    <font>
      <sz val="11"/>
      <color rgb="FFFF0000"/>
      <name val="宋体"/>
      <charset val="134"/>
    </font>
    <font>
      <sz val="10"/>
      <color rgb="FFFF0000"/>
      <name val="微软雅黑"/>
      <family val="2"/>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charset val="134"/>
    </font>
    <font>
      <sz val="9"/>
      <color rgb="FFFFFFFF"/>
      <name val="微软雅黑"/>
      <family val="2"/>
      <charset val="134"/>
    </font>
    <font>
      <sz val="10"/>
      <color rgb="FF7F7F7F"/>
      <name val="等线"/>
      <family val="4"/>
      <charset val="134"/>
    </font>
    <font>
      <b/>
      <sz val="16"/>
      <color rgb="FFFFFFFF"/>
      <name val="微软雅黑"/>
      <family val="2"/>
      <charset val="134"/>
    </font>
    <font>
      <sz val="11"/>
      <name val="微软雅黑 Light"/>
      <family val="2"/>
      <charset val="134"/>
    </font>
    <font>
      <b/>
      <sz val="11"/>
      <color rgb="FF000000"/>
      <name val="微软雅黑 Light"/>
      <family val="2"/>
      <charset val="134"/>
    </font>
    <font>
      <sz val="11"/>
      <color rgb="FFFFFFFF"/>
      <name val="宋体"/>
      <charset val="134"/>
    </font>
    <font>
      <sz val="10"/>
      <color rgb="FF222222"/>
      <name val="宋体"/>
      <charset val="134"/>
    </font>
    <font>
      <b/>
      <sz val="12"/>
      <color rgb="FFFFFFFF"/>
      <name val="微软雅黑 Light"/>
      <family val="2"/>
      <charset val="134"/>
    </font>
    <font>
      <b/>
      <sz val="12"/>
      <color rgb="FF000000"/>
      <name val="微软雅黑 Light"/>
      <family val="2"/>
      <charset val="134"/>
    </font>
    <font>
      <sz val="10"/>
      <color rgb="FF333333"/>
      <name val="微软雅黑"/>
      <family val="2"/>
      <charset val="134"/>
    </font>
    <font>
      <sz val="10"/>
      <color rgb="FF000000"/>
      <name val="FZBIAOYSK--GBK1-0"/>
      <charset val="134"/>
    </font>
    <font>
      <sz val="14"/>
      <name val="等线"/>
      <family val="4"/>
      <charset val="134"/>
    </font>
    <font>
      <sz val="14"/>
      <color rgb="FF000000"/>
      <name val="等线"/>
      <family val="4"/>
      <charset val="134"/>
    </font>
    <font>
      <sz val="14"/>
      <color indexed="8"/>
      <name val="等线"/>
      <family val="4"/>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20"/>
      <name val="宋体"/>
      <charset val="134"/>
    </font>
    <font>
      <sz val="11"/>
      <color rgb="FFFFFFFF"/>
      <name val="微软雅黑 Light"/>
      <family val="2"/>
      <charset val="134"/>
    </font>
    <font>
      <sz val="11"/>
      <color rgb="FF5D91A7"/>
      <name val="微软雅黑 Light"/>
      <family val="2"/>
      <charset val="134"/>
    </font>
    <font>
      <sz val="11"/>
      <color rgb="FFC00000"/>
      <name val="微软雅黑 Light"/>
      <family val="2"/>
      <charset val="134"/>
    </font>
    <font>
      <sz val="10"/>
      <name val="微软雅黑 Light"/>
      <family val="2"/>
      <charset val="134"/>
    </font>
    <font>
      <sz val="14"/>
      <color rgb="FF000000"/>
      <name val="微软雅黑 Light"/>
      <family val="2"/>
      <charset val="134"/>
    </font>
    <font>
      <sz val="11"/>
      <color rgb="FFFF0000"/>
      <name val="微软雅黑 Light"/>
      <family val="2"/>
      <charset val="134"/>
    </font>
    <font>
      <sz val="10"/>
      <color rgb="FFBF0000"/>
      <name val="微软雅黑"/>
      <family val="2"/>
      <charset val="134"/>
    </font>
    <font>
      <sz val="32"/>
      <color rgb="FF000000"/>
      <name val="宋体"/>
      <charset val="134"/>
    </font>
    <font>
      <sz val="11"/>
      <color rgb="FF36363D"/>
      <name val="宋体"/>
      <charset val="134"/>
    </font>
    <font>
      <sz val="11"/>
      <color rgb="FF5D91A7"/>
      <name val="宋体"/>
      <charset val="134"/>
    </font>
    <font>
      <sz val="11"/>
      <color rgb="FFC00000"/>
      <name val="宋体"/>
      <charset val="134"/>
    </font>
    <font>
      <sz val="10"/>
      <color rgb="FF5D91A7"/>
      <name val="微软雅黑"/>
      <family val="2"/>
      <charset val="134"/>
    </font>
    <font>
      <sz val="10"/>
      <color rgb="FFC00000"/>
      <name val="微软雅黑"/>
      <family val="2"/>
      <charset val="134"/>
    </font>
    <font>
      <sz val="10"/>
      <color rgb="FFFFFFFF"/>
      <name val="微软雅黑 Light"/>
      <family val="2"/>
      <charset val="134"/>
    </font>
    <font>
      <sz val="10"/>
      <color rgb="FF65A3D7"/>
      <name val="微软雅黑"/>
      <family val="2"/>
      <charset val="134"/>
    </font>
    <font>
      <sz val="10"/>
      <color rgb="FF595959"/>
      <name val="微软雅黑"/>
      <family val="2"/>
      <charset val="134"/>
    </font>
    <font>
      <b/>
      <sz val="10"/>
      <color rgb="FF5D91A7"/>
      <name val="微软雅黑"/>
      <family val="2"/>
      <charset val="134"/>
    </font>
    <font>
      <b/>
      <sz val="10"/>
      <color rgb="FFBA88A3"/>
      <name val="微软雅黑"/>
      <family val="2"/>
      <charset val="134"/>
    </font>
    <font>
      <sz val="10"/>
      <color rgb="FFFF0000"/>
      <name val="宋体"/>
      <charset val="134"/>
    </font>
    <font>
      <sz val="8"/>
      <color rgb="FF5D91A7"/>
      <name val="微软雅黑"/>
      <family val="2"/>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8"/>
      <color rgb="FF3F3F3F"/>
      <name val="微软雅黑"/>
      <family val="2"/>
      <charset val="134"/>
    </font>
    <font>
      <sz val="10"/>
      <color rgb="FF3F3F3F"/>
      <name val="微软雅黑"/>
      <family val="2"/>
      <charset val="134"/>
    </font>
    <font>
      <sz val="10"/>
      <color rgb="FF2F75B6"/>
      <name val="微软雅黑"/>
      <family val="2"/>
      <charset val="134"/>
    </font>
    <font>
      <sz val="9"/>
      <color rgb="FF595959"/>
      <name val="微软雅黑"/>
      <family val="2"/>
      <charset val="134"/>
    </font>
    <font>
      <sz val="10"/>
      <color rgb="FF1F3964"/>
      <name val="微软雅黑"/>
      <family val="2"/>
      <charset val="134"/>
    </font>
    <font>
      <sz val="10"/>
      <color rgb="FF02A5E3"/>
      <name val="微软雅黑"/>
      <family val="2"/>
      <charset val="134"/>
    </font>
    <font>
      <sz val="12"/>
      <color rgb="FF000000"/>
      <name val="宋体"/>
      <charset val="134"/>
    </font>
    <font>
      <sz val="24"/>
      <color rgb="FF0C0C0C"/>
      <name val="微软雅黑"/>
      <family val="2"/>
      <charset val="134"/>
    </font>
    <font>
      <sz val="10"/>
      <color rgb="FFBA88A3"/>
      <name val="微软雅黑"/>
      <family val="2"/>
      <charset val="134"/>
    </font>
    <font>
      <sz val="16"/>
      <color rgb="FF000000"/>
      <name val="微软雅黑"/>
      <family val="2"/>
      <charset val="134"/>
    </font>
    <font>
      <sz val="9"/>
      <color rgb="FF2F5597"/>
      <name val="微软雅黑"/>
      <family val="2"/>
      <charset val="134"/>
    </font>
    <font>
      <sz val="14"/>
      <color rgb="FFBFBFBF"/>
      <name val="等线"/>
      <family val="4"/>
      <charset val="134"/>
    </font>
    <font>
      <sz val="14"/>
      <color rgb="FFFFCC99"/>
      <name val="等线"/>
      <family val="4"/>
      <charset val="134"/>
    </font>
    <font>
      <sz val="11"/>
      <color rgb="FFECCCE1"/>
      <name val="微软雅黑"/>
      <family val="2"/>
      <charset val="134"/>
    </font>
    <font>
      <sz val="14"/>
      <color rgb="FFC00000"/>
      <name val="微软雅黑"/>
      <family val="2"/>
      <charset val="134"/>
    </font>
    <font>
      <sz val="9"/>
      <color rgb="FFBFBFBF"/>
      <name val="微软雅黑"/>
      <family val="2"/>
      <charset val="134"/>
    </font>
    <font>
      <sz val="8"/>
      <color rgb="FFFF0000"/>
      <name val="微软雅黑"/>
      <family val="2"/>
      <charset val="134"/>
    </font>
    <font>
      <u/>
      <sz val="11"/>
      <color rgb="FF0000FF"/>
      <name val="宋体"/>
      <charset val="134"/>
    </font>
    <font>
      <sz val="11"/>
      <color rgb="FF000000"/>
      <name val="Arial"/>
      <family val="2"/>
    </font>
    <font>
      <b/>
      <sz val="14"/>
      <color rgb="FF000000"/>
      <name val="微软雅黑"/>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rgb="FF000000"/>
      <name val="微软雅黑"/>
      <family val="2"/>
      <charset val="134"/>
    </font>
    <font>
      <sz val="9"/>
      <color rgb="FF000000"/>
      <name val="微软雅黑"/>
      <family val="2"/>
      <charset val="134"/>
    </font>
    <font>
      <sz val="8.5"/>
      <color rgb="FF000000"/>
      <name val="微软雅黑"/>
      <family val="2"/>
      <charset val="134"/>
    </font>
    <font>
      <sz val="12"/>
      <color theme="1"/>
      <name val="微软雅黑"/>
      <family val="2"/>
      <charset val="134"/>
    </font>
  </fonts>
  <fills count="109">
    <fill>
      <patternFill patternType="none"/>
    </fill>
    <fill>
      <patternFill patternType="gray125"/>
    </fill>
    <fill>
      <patternFill patternType="solid">
        <fgColor rgb="FF262626"/>
        <bgColor indexed="64"/>
      </patternFill>
    </fill>
    <fill>
      <patternFill patternType="solid">
        <fgColor rgb="FF2F75B6"/>
        <bgColor indexed="64"/>
      </patternFill>
    </fill>
    <fill>
      <patternFill patternType="solid">
        <fgColor rgb="FFF2F2F2"/>
        <bgColor indexed="64"/>
      </patternFill>
    </fill>
    <fill>
      <patternFill patternType="solid">
        <fgColor rgb="FFACC8D5"/>
        <bgColor indexed="64"/>
      </patternFill>
    </fill>
    <fill>
      <patternFill patternType="solid">
        <fgColor rgb="FFBED7EE"/>
        <bgColor indexed="64"/>
      </patternFill>
    </fill>
    <fill>
      <patternFill patternType="solid">
        <fgColor rgb="FFECD6DF"/>
        <bgColor indexed="64"/>
      </patternFill>
    </fill>
    <fill>
      <patternFill patternType="solid">
        <fgColor rgb="FF6DA9DB"/>
        <bgColor indexed="64"/>
      </patternFill>
    </fill>
    <fill>
      <patternFill patternType="solid">
        <fgColor rgb="FF7BA5B7"/>
        <bgColor indexed="64"/>
      </patternFill>
    </fill>
    <fill>
      <patternFill patternType="solid">
        <fgColor rgb="FFD1E1E9"/>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DEEBF6"/>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DEEAF6"/>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E2B6D3"/>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C5CAE9"/>
        <bgColor indexed="64"/>
      </patternFill>
    </fill>
    <fill>
      <patternFill patternType="solid">
        <fgColor rgb="FFE2EFD9"/>
        <bgColor indexed="64"/>
      </patternFill>
    </fill>
    <fill>
      <patternFill patternType="solid">
        <fgColor rgb="FF9DC3E5"/>
        <bgColor indexed="64"/>
      </patternFill>
    </fill>
    <fill>
      <patternFill patternType="solid">
        <fgColor rgb="FF0066FF"/>
        <bgColor indexed="64"/>
      </patternFill>
    </fill>
    <fill>
      <patternFill patternType="solid">
        <fgColor rgb="FF7986CB"/>
        <bgColor indexed="64"/>
      </patternFill>
    </fill>
    <fill>
      <patternFill patternType="solid">
        <fgColor rgb="FFC5E0B3"/>
        <bgColor indexed="64"/>
      </patternFill>
    </fill>
    <fill>
      <patternFill patternType="solid">
        <fgColor rgb="FFA8D08E"/>
        <bgColor indexed="64"/>
      </patternFill>
    </fill>
    <fill>
      <patternFill patternType="solid">
        <fgColor rgb="FFF5F9F1"/>
        <bgColor indexed="64"/>
      </patternFill>
    </fill>
    <fill>
      <patternFill patternType="solid">
        <fgColor rgb="FF5C9BD5"/>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E5FD99"/>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D8ECD9"/>
        <bgColor indexed="64"/>
      </patternFill>
    </fill>
    <fill>
      <patternFill patternType="solid">
        <fgColor rgb="FFBD81FF"/>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4A148C"/>
        <bgColor indexed="64"/>
      </patternFill>
    </fill>
    <fill>
      <patternFill patternType="solid">
        <fgColor rgb="FFE1BEE7"/>
        <bgColor indexed="64"/>
      </patternFill>
    </fill>
    <fill>
      <patternFill patternType="solid">
        <fgColor rgb="FF5C9BD5"/>
        <bgColor rgb="FF5C9BD5"/>
      </patternFill>
    </fill>
    <fill>
      <patternFill patternType="solid">
        <fgColor rgb="FFFFEFF6"/>
        <bgColor indexed="64"/>
      </patternFill>
    </fill>
    <fill>
      <patternFill patternType="solid">
        <fgColor rgb="FF7CB1DE"/>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CC99"/>
        <bgColor indexed="64"/>
      </patternFill>
    </fill>
    <fill>
      <patternFill patternType="solid">
        <fgColor rgb="FF99CCFF"/>
        <bgColor indexed="64"/>
      </patternFill>
    </fill>
    <fill>
      <patternFill patternType="solid">
        <fgColor rgb="FFFFE5E5"/>
        <bgColor indexed="64"/>
      </patternFill>
    </fill>
    <fill>
      <patternFill patternType="solid">
        <fgColor rgb="FF84B9BC"/>
        <bgColor indexed="64"/>
      </patternFill>
    </fill>
    <fill>
      <patternFill patternType="solid">
        <fgColor rgb="FFA6CCCD"/>
        <bgColor indexed="64"/>
      </patternFill>
    </fill>
    <fill>
      <patternFill patternType="solid">
        <fgColor rgb="FFD1E4E6"/>
        <bgColor indexed="64"/>
      </patternFill>
    </fill>
    <fill>
      <patternFill patternType="solid">
        <fgColor rgb="FFDEEAF6"/>
        <bgColor rgb="FFDEEAF6"/>
      </patternFill>
    </fill>
    <fill>
      <patternFill patternType="solid">
        <fgColor rgb="FFD5BDCD"/>
        <bgColor indexed="64"/>
      </patternFill>
    </fill>
    <fill>
      <patternFill patternType="solid">
        <fgColor rgb="FFDDEBF7"/>
        <bgColor indexed="64"/>
      </patternFill>
    </fill>
    <fill>
      <patternFill patternType="solid">
        <fgColor rgb="FFBDD7EE"/>
        <bgColor indexed="64"/>
      </patternFill>
    </fill>
    <fill>
      <patternFill patternType="solid">
        <fgColor rgb="FF9BC2E6"/>
        <bgColor indexed="64"/>
      </patternFill>
    </fill>
    <fill>
      <patternFill patternType="solid">
        <fgColor rgb="FFCF8FBA"/>
        <bgColor indexed="64"/>
      </patternFill>
    </fill>
    <fill>
      <patternFill patternType="solid">
        <fgColor rgb="FF63973D"/>
        <bgColor indexed="64"/>
      </patternFill>
    </fill>
    <fill>
      <patternFill patternType="solid">
        <fgColor rgb="FFB598D2"/>
        <bgColor indexed="64"/>
      </patternFill>
    </fill>
    <fill>
      <patternFill patternType="solid">
        <fgColor rgb="FF499EA1"/>
        <bgColor indexed="64"/>
      </patternFill>
    </fill>
    <fill>
      <patternFill patternType="solid">
        <fgColor rgb="FFCCB8E0"/>
        <bgColor indexed="64"/>
      </patternFill>
    </fill>
    <fill>
      <patternFill patternType="solid">
        <fgColor rgb="FFBCEDEF"/>
        <bgColor indexed="64"/>
      </patternFill>
    </fill>
    <fill>
      <patternFill patternType="solid">
        <fgColor rgb="FFB16682"/>
        <bgColor indexed="64"/>
      </patternFill>
    </fill>
    <fill>
      <patternFill patternType="solid">
        <fgColor rgb="FF23AF6B"/>
        <bgColor indexed="64"/>
      </patternFill>
    </fill>
    <fill>
      <patternFill patternType="solid">
        <fgColor rgb="FFC38DA2"/>
        <bgColor indexed="64"/>
      </patternFill>
    </fill>
    <fill>
      <patternFill patternType="solid">
        <fgColor rgb="FFAEF1D2"/>
        <bgColor indexed="64"/>
      </patternFill>
    </fill>
    <fill>
      <patternFill patternType="solid">
        <fgColor theme="4" tint="0.79998168889431442"/>
        <bgColor indexed="64"/>
      </patternFill>
    </fill>
  </fills>
  <borders count="2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BFBFBF"/>
      </left>
      <right style="medium">
        <color auto="1"/>
      </right>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bottom style="medium">
        <color auto="1"/>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top/>
      <bottom style="thick">
        <color rgb="FFA3FF71"/>
      </bottom>
      <diagonal/>
    </border>
    <border>
      <left style="thick">
        <color rgb="FFA3FF71"/>
      </left>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diagonal/>
    </border>
    <border>
      <left/>
      <right/>
      <top style="thick">
        <color rgb="FFA3FF71"/>
      </top>
      <bottom/>
      <diagonal/>
    </border>
    <border>
      <left/>
      <right style="thick">
        <color rgb="FF81E9FF"/>
      </right>
      <top/>
      <bottom style="thick">
        <color rgb="FF81E9FF"/>
      </bottom>
      <diagonal/>
    </border>
    <border>
      <left/>
      <right style="thick">
        <color rgb="FFA3FF71"/>
      </right>
      <top/>
      <bottom style="thick">
        <color rgb="FFA3FF71"/>
      </bottom>
      <diagonal/>
    </border>
    <border>
      <left style="thick">
        <color rgb="FF81E9FF"/>
      </left>
      <right/>
      <top/>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top/>
      <bottom style="thick">
        <color rgb="FFB6B6B6"/>
      </bottom>
      <diagonal/>
    </border>
    <border>
      <left/>
      <right style="double">
        <color auto="1"/>
      </right>
      <top style="double">
        <color auto="1"/>
      </top>
      <bottom/>
      <diagonal/>
    </border>
    <border>
      <left/>
      <right style="thick">
        <color rgb="FFC0C0C0"/>
      </right>
      <top/>
      <bottom/>
      <diagonal/>
    </border>
    <border>
      <left/>
      <right style="mediumDashed">
        <color rgb="FFC0C0C0"/>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ck">
        <color rgb="FFFFF1C5"/>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BFBFBF"/>
      </left>
      <right/>
      <top style="thin">
        <color rgb="FFBFBFBF"/>
      </top>
      <bottom style="medium">
        <color auto="1"/>
      </bottom>
      <diagonal/>
    </border>
    <border>
      <left/>
      <right style="medium">
        <color auto="1"/>
      </right>
      <top style="medium">
        <color auto="1"/>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rgb="FFBFBFBF"/>
      </left>
      <right style="thin">
        <color rgb="FFBFBFBF"/>
      </right>
      <top/>
      <bottom style="thin">
        <color rgb="FFBFBFBF"/>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right style="double">
        <color auto="1"/>
      </right>
      <top style="thin">
        <color rgb="FFBFBFBF"/>
      </top>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s>
  <cellStyleXfs count="7">
    <xf numFmtId="0" fontId="0" fillId="0" borderId="0">
      <alignment vertical="center"/>
    </xf>
    <xf numFmtId="0" fontId="63" fillId="32" borderId="0">
      <protection locked="0"/>
    </xf>
    <xf numFmtId="0" fontId="63" fillId="6" borderId="0">
      <protection locked="0"/>
    </xf>
    <xf numFmtId="0" fontId="119" fillId="52" borderId="0">
      <protection locked="0"/>
    </xf>
    <xf numFmtId="0" fontId="28" fillId="0" borderId="0">
      <protection locked="0"/>
    </xf>
    <xf numFmtId="0" fontId="119" fillId="58" borderId="0">
      <protection locked="0"/>
    </xf>
    <xf numFmtId="0" fontId="177" fillId="0" borderId="0">
      <protection locked="0"/>
    </xf>
  </cellStyleXfs>
  <cellXfs count="3346">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1" fillId="4" borderId="0" xfId="0" applyFont="1" applyFill="1">
      <alignment vertical="center"/>
    </xf>
    <xf numFmtId="0" fontId="11" fillId="5" borderId="1" xfId="0" applyFont="1" applyFill="1" applyBorder="1" applyAlignment="1">
      <alignment vertical="center" wrapText="1"/>
    </xf>
    <xf numFmtId="0" fontId="11"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2" fillId="5"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16" fillId="5" borderId="1" xfId="0" applyFont="1" applyFill="1" applyBorder="1" applyAlignment="1">
      <alignment vertical="center" wrapText="1"/>
    </xf>
    <xf numFmtId="0" fontId="12" fillId="5" borderId="1" xfId="0" applyFont="1" applyFill="1" applyBorder="1" applyAlignment="1">
      <alignment vertical="center" wrapText="1"/>
    </xf>
    <xf numFmtId="0" fontId="19" fillId="5" borderId="1" xfId="0" applyFont="1" applyFill="1" applyBorder="1" applyAlignment="1">
      <alignment vertical="center" wrapText="1"/>
    </xf>
    <xf numFmtId="0" fontId="20" fillId="5" borderId="1" xfId="0" applyFont="1" applyFill="1" applyBorder="1" applyAlignment="1">
      <alignment vertical="center" wrapText="1"/>
    </xf>
    <xf numFmtId="0" fontId="10" fillId="5" borderId="1" xfId="0" applyFont="1" applyFill="1" applyBorder="1" applyAlignment="1">
      <alignment vertical="center" wrapText="1"/>
    </xf>
    <xf numFmtId="0" fontId="16" fillId="5" borderId="1" xfId="0" applyFont="1" applyFill="1" applyBorder="1" applyAlignment="1">
      <alignment horizontal="left" vertical="center" wrapText="1"/>
    </xf>
    <xf numFmtId="0" fontId="1" fillId="0" borderId="0" xfId="0" applyFont="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21" fillId="0" borderId="9" xfId="0" applyFont="1" applyBorder="1" applyAlignment="1">
      <alignment horizontal="center" vertical="center"/>
    </xf>
    <xf numFmtId="0" fontId="22" fillId="0" borderId="10" xfId="0" applyFont="1" applyBorder="1" applyAlignment="1">
      <alignment horizontal="left" vertical="center" wrapText="1"/>
    </xf>
    <xf numFmtId="0" fontId="21" fillId="10" borderId="9" xfId="0" applyFont="1" applyFill="1" applyBorder="1" applyAlignment="1">
      <alignment horizontal="center" vertical="center"/>
    </xf>
    <xf numFmtId="0" fontId="22" fillId="10" borderId="10" xfId="0" applyFont="1" applyFill="1" applyBorder="1" applyAlignment="1">
      <alignment horizontal="left" vertical="center" wrapText="1"/>
    </xf>
    <xf numFmtId="0" fontId="21" fillId="10" borderId="11" xfId="0" applyFont="1" applyFill="1" applyBorder="1" applyAlignment="1">
      <alignment horizontal="center" vertical="center"/>
    </xf>
    <xf numFmtId="0" fontId="22" fillId="10" borderId="12" xfId="0" applyFont="1" applyFill="1" applyBorder="1" applyAlignment="1">
      <alignment horizontal="left" vertical="center" wrapText="1"/>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21" fillId="0" borderId="0" xfId="0" applyFont="1" applyAlignment="1">
      <alignment vertical="center" wrapText="1"/>
    </xf>
    <xf numFmtId="0" fontId="1" fillId="0" borderId="0" xfId="0" applyFont="1" applyAlignment="1">
      <alignment horizontal="left" vertical="center"/>
    </xf>
    <xf numFmtId="0" fontId="25" fillId="10" borderId="12" xfId="0" applyFont="1" applyFill="1" applyBorder="1" applyAlignment="1">
      <alignment horizontal="left" vertical="center" wrapText="1"/>
    </xf>
    <xf numFmtId="0" fontId="26" fillId="0" borderId="0" xfId="0" applyFont="1" applyAlignment="1">
      <alignment horizontal="left"/>
    </xf>
    <xf numFmtId="0" fontId="27" fillId="0" borderId="0" xfId="4" applyFont="1">
      <protection locked="0"/>
    </xf>
    <xf numFmtId="0" fontId="28" fillId="0" borderId="0" xfId="4">
      <protection locked="0"/>
    </xf>
    <xf numFmtId="49" fontId="29" fillId="2" borderId="7" xfId="0" applyNumberFormat="1" applyFont="1" applyFill="1" applyBorder="1" applyAlignment="1">
      <alignment horizontal="center" vertical="center"/>
    </xf>
    <xf numFmtId="49" fontId="29" fillId="2" borderId="13" xfId="0" applyNumberFormat="1" applyFont="1" applyFill="1" applyBorder="1" applyAlignment="1">
      <alignment horizontal="center" vertical="center"/>
    </xf>
    <xf numFmtId="49" fontId="30" fillId="2" borderId="13" xfId="0" applyNumberFormat="1" applyFont="1" applyFill="1" applyBorder="1" applyAlignment="1">
      <alignment horizontal="center" vertical="center" wrapText="1"/>
    </xf>
    <xf numFmtId="0" fontId="12" fillId="0" borderId="9" xfId="0" applyFont="1" applyBorder="1" applyAlignment="1">
      <alignment horizontal="left" vertical="center"/>
    </xf>
    <xf numFmtId="0" fontId="12" fillId="0" borderId="0" xfId="0" applyFont="1" applyAlignment="1">
      <alignment horizontal="center" vertical="center"/>
    </xf>
    <xf numFmtId="0" fontId="12" fillId="0" borderId="28" xfId="0" applyFont="1" applyBorder="1" applyAlignment="1">
      <alignment horizontal="left" vertical="center"/>
    </xf>
    <xf numFmtId="0" fontId="12" fillId="0" borderId="29" xfId="0" applyFont="1" applyBorder="1" applyAlignment="1">
      <alignment horizontal="center" vertical="center"/>
    </xf>
    <xf numFmtId="0" fontId="12" fillId="0" borderId="30" xfId="0" applyFont="1" applyBorder="1" applyAlignment="1">
      <alignment horizontal="left" vertical="center"/>
    </xf>
    <xf numFmtId="0" fontId="12" fillId="0" borderId="31" xfId="0" applyFont="1" applyBorder="1" applyAlignment="1">
      <alignment horizontal="center" vertical="center"/>
    </xf>
    <xf numFmtId="0" fontId="12" fillId="11" borderId="28" xfId="0" applyFont="1" applyFill="1" applyBorder="1" applyAlignment="1">
      <alignment horizontal="left" vertical="center"/>
    </xf>
    <xf numFmtId="0" fontId="12" fillId="11" borderId="29" xfId="0" applyFont="1" applyFill="1" applyBorder="1" applyAlignment="1">
      <alignment horizontal="center" vertical="center"/>
    </xf>
    <xf numFmtId="0" fontId="31" fillId="12" borderId="9" xfId="0" applyFont="1" applyFill="1" applyBorder="1" applyAlignment="1">
      <alignment horizontal="left" vertical="center"/>
    </xf>
    <xf numFmtId="0" fontId="31" fillId="13" borderId="0" xfId="0" applyFont="1" applyFill="1" applyAlignment="1">
      <alignment horizontal="center" vertical="center"/>
    </xf>
    <xf numFmtId="0" fontId="31" fillId="0" borderId="0" xfId="0" applyFont="1" applyAlignment="1">
      <alignment horizontal="center" vertical="center"/>
    </xf>
    <xf numFmtId="0" fontId="27" fillId="0" borderId="9" xfId="4" applyFont="1" applyBorder="1" applyAlignment="1">
      <alignment horizontal="left" vertical="center"/>
      <protection locked="0"/>
    </xf>
    <xf numFmtId="0" fontId="27" fillId="0" borderId="0" xfId="4" applyFont="1" applyAlignment="1">
      <alignment horizontal="center" vertical="center"/>
      <protection locked="0"/>
    </xf>
    <xf numFmtId="0" fontId="31" fillId="13" borderId="9" xfId="0" applyFont="1" applyFill="1" applyBorder="1" applyAlignment="1">
      <alignment horizontal="left" vertical="center"/>
    </xf>
    <xf numFmtId="0" fontId="31" fillId="0" borderId="9" xfId="0" applyFont="1" applyBorder="1" applyAlignment="1">
      <alignment horizontal="left" vertical="center"/>
    </xf>
    <xf numFmtId="0" fontId="31" fillId="14" borderId="9" xfId="0" applyFont="1" applyFill="1" applyBorder="1" applyAlignment="1">
      <alignment horizontal="left" vertical="center"/>
    </xf>
    <xf numFmtId="0" fontId="31" fillId="14" borderId="0" xfId="0" applyFont="1" applyFill="1" applyAlignment="1">
      <alignment horizontal="center" vertical="center"/>
    </xf>
    <xf numFmtId="0" fontId="31" fillId="15" borderId="9" xfId="0" applyFont="1" applyFill="1" applyBorder="1" applyAlignment="1">
      <alignment horizontal="left" vertical="center"/>
    </xf>
    <xf numFmtId="0" fontId="31" fillId="15" borderId="0" xfId="0" applyFont="1" applyFill="1" applyAlignment="1">
      <alignment horizontal="center" vertical="center"/>
    </xf>
    <xf numFmtId="0" fontId="31" fillId="16" borderId="9" xfId="0" applyFont="1" applyFill="1" applyBorder="1" applyAlignment="1">
      <alignment horizontal="left" vertical="center"/>
    </xf>
    <xf numFmtId="0" fontId="31" fillId="16" borderId="0" xfId="0" applyFont="1" applyFill="1" applyAlignment="1">
      <alignment horizontal="center" vertical="center"/>
    </xf>
    <xf numFmtId="0" fontId="31" fillId="17" borderId="9" xfId="0" applyFont="1" applyFill="1" applyBorder="1" applyAlignment="1">
      <alignment horizontal="left" vertical="center"/>
    </xf>
    <xf numFmtId="0" fontId="31" fillId="17" borderId="0" xfId="0" applyFont="1" applyFill="1" applyAlignment="1">
      <alignment horizontal="center" vertical="center"/>
    </xf>
    <xf numFmtId="0" fontId="27" fillId="15" borderId="0" xfId="4" applyFont="1" applyFill="1" applyAlignment="1">
      <alignment horizontal="center" vertical="center"/>
      <protection locked="0"/>
    </xf>
    <xf numFmtId="0" fontId="31" fillId="18" borderId="9" xfId="0" applyFont="1" applyFill="1" applyBorder="1" applyAlignment="1">
      <alignment horizontal="left" vertical="center"/>
    </xf>
    <xf numFmtId="0" fontId="27" fillId="18" borderId="0" xfId="4" applyFont="1" applyFill="1" applyAlignment="1">
      <alignment horizontal="center" vertical="center"/>
      <protection locked="0"/>
    </xf>
    <xf numFmtId="0" fontId="31" fillId="18" borderId="0" xfId="0" applyFont="1" applyFill="1" applyAlignment="1">
      <alignment horizontal="center" vertical="center"/>
    </xf>
    <xf numFmtId="0" fontId="27" fillId="0" borderId="9" xfId="4" applyFont="1" applyBorder="1">
      <protection locked="0"/>
    </xf>
    <xf numFmtId="0" fontId="27" fillId="10" borderId="9" xfId="0" applyFont="1" applyFill="1" applyBorder="1" applyAlignment="1">
      <alignment horizontal="left" vertical="center"/>
    </xf>
    <xf numFmtId="0" fontId="27" fillId="10" borderId="0" xfId="4" applyFont="1" applyFill="1" applyAlignment="1">
      <alignment horizontal="center" vertical="center"/>
      <protection locked="0"/>
    </xf>
    <xf numFmtId="0" fontId="27" fillId="10" borderId="0" xfId="0" applyFont="1" applyFill="1" applyAlignment="1">
      <alignment horizontal="center" vertical="center"/>
    </xf>
    <xf numFmtId="0" fontId="31" fillId="10" borderId="9" xfId="0" applyFont="1" applyFill="1" applyBorder="1" applyAlignment="1">
      <alignment horizontal="left" vertical="center"/>
    </xf>
    <xf numFmtId="0" fontId="31" fillId="10" borderId="0" xfId="0" applyFont="1" applyFill="1" applyAlignment="1">
      <alignment horizontal="center" vertical="center"/>
    </xf>
    <xf numFmtId="0" fontId="27" fillId="17" borderId="0" xfId="4" applyFont="1" applyFill="1" applyAlignment="1">
      <alignment horizontal="center" vertical="center"/>
      <protection locked="0"/>
    </xf>
    <xf numFmtId="49" fontId="29" fillId="2" borderId="8" xfId="0" applyNumberFormat="1" applyFont="1" applyFill="1" applyBorder="1" applyAlignment="1">
      <alignment horizontal="center" vertical="center"/>
    </xf>
    <xf numFmtId="0" fontId="12" fillId="0" borderId="10" xfId="0" applyFont="1" applyBorder="1" applyAlignment="1">
      <alignment horizontal="center" vertical="center"/>
    </xf>
    <xf numFmtId="0" fontId="12" fillId="0" borderId="32" xfId="0" applyFont="1" applyBorder="1" applyAlignment="1">
      <alignment horizontal="center" vertical="center"/>
    </xf>
    <xf numFmtId="0" fontId="12" fillId="0" borderId="33" xfId="0" applyFont="1" applyBorder="1" applyAlignment="1">
      <alignment horizontal="center" vertical="center"/>
    </xf>
    <xf numFmtId="0" fontId="12" fillId="11" borderId="32" xfId="0" applyFont="1" applyFill="1" applyBorder="1" applyAlignment="1">
      <alignment horizontal="center" vertical="center"/>
    </xf>
    <xf numFmtId="0" fontId="31" fillId="13" borderId="10" xfId="0" applyFont="1" applyFill="1" applyBorder="1" applyAlignment="1">
      <alignment horizontal="center" vertical="center"/>
    </xf>
    <xf numFmtId="0" fontId="27" fillId="0" borderId="10" xfId="4" applyFont="1" applyBorder="1" applyAlignment="1">
      <alignment horizontal="center" vertical="center"/>
      <protection locked="0"/>
    </xf>
    <xf numFmtId="0" fontId="28" fillId="0" borderId="0" xfId="4" applyAlignment="1">
      <alignment vertical="center" wrapText="1"/>
      <protection locked="0"/>
    </xf>
    <xf numFmtId="0" fontId="31" fillId="0" borderId="10" xfId="0" applyFont="1" applyBorder="1" applyAlignment="1">
      <alignment horizontal="center" vertical="center"/>
    </xf>
    <xf numFmtId="0" fontId="31" fillId="14" borderId="10" xfId="0" applyFont="1" applyFill="1" applyBorder="1" applyAlignment="1">
      <alignment horizontal="center" vertical="center"/>
    </xf>
    <xf numFmtId="0" fontId="31" fillId="15" borderId="10" xfId="0" applyFont="1" applyFill="1" applyBorder="1" applyAlignment="1">
      <alignment horizontal="center" vertical="center"/>
    </xf>
    <xf numFmtId="0" fontId="31" fillId="16" borderId="10" xfId="0" applyFont="1" applyFill="1" applyBorder="1" applyAlignment="1">
      <alignment horizontal="center" vertical="center"/>
    </xf>
    <xf numFmtId="0" fontId="31" fillId="17" borderId="10" xfId="0" applyFont="1" applyFill="1" applyBorder="1" applyAlignment="1">
      <alignment horizontal="center" vertical="center"/>
    </xf>
    <xf numFmtId="0" fontId="31" fillId="18" borderId="10" xfId="0" applyFont="1" applyFill="1" applyBorder="1" applyAlignment="1">
      <alignment horizontal="center" vertical="center"/>
    </xf>
    <xf numFmtId="164" fontId="31" fillId="18" borderId="10" xfId="0" applyNumberFormat="1" applyFont="1" applyFill="1" applyBorder="1" applyAlignment="1">
      <alignment horizontal="center" vertical="center"/>
    </xf>
    <xf numFmtId="0" fontId="36" fillId="0" borderId="0" xfId="4" applyFont="1" applyAlignment="1">
      <alignment vertical="center" wrapText="1"/>
      <protection locked="0"/>
    </xf>
    <xf numFmtId="0" fontId="28" fillId="0" borderId="10" xfId="4" applyBorder="1" applyAlignment="1">
      <alignment horizontal="center" vertical="center"/>
      <protection locked="0"/>
    </xf>
    <xf numFmtId="0" fontId="27" fillId="10" borderId="10" xfId="0" applyFont="1" applyFill="1" applyBorder="1" applyAlignment="1">
      <alignment horizontal="center" vertical="center"/>
    </xf>
    <xf numFmtId="164" fontId="31" fillId="10" borderId="10" xfId="0" applyNumberFormat="1" applyFont="1" applyFill="1" applyBorder="1" applyAlignment="1">
      <alignment horizontal="center" vertical="center"/>
    </xf>
    <xf numFmtId="49" fontId="38" fillId="2" borderId="7" xfId="0" applyNumberFormat="1" applyFont="1" applyFill="1" applyBorder="1" applyAlignment="1">
      <alignment horizontal="center" vertical="center"/>
    </xf>
    <xf numFmtId="49" fontId="38" fillId="2" borderId="13" xfId="0" applyNumberFormat="1" applyFont="1" applyFill="1" applyBorder="1" applyAlignment="1">
      <alignment horizontal="center" vertical="center"/>
    </xf>
    <xf numFmtId="49" fontId="38" fillId="2" borderId="13" xfId="0" applyNumberFormat="1" applyFont="1" applyFill="1" applyBorder="1" applyAlignment="1">
      <alignment horizontal="center" vertical="center" wrapText="1"/>
    </xf>
    <xf numFmtId="0" fontId="12" fillId="0" borderId="34" xfId="0" applyFont="1" applyBorder="1" applyAlignment="1">
      <alignment horizontal="center" vertical="center"/>
    </xf>
    <xf numFmtId="0" fontId="12" fillId="11" borderId="9" xfId="0" applyFont="1" applyFill="1" applyBorder="1" applyAlignment="1">
      <alignment horizontal="left" vertical="center"/>
    </xf>
    <xf numFmtId="0" fontId="12" fillId="11" borderId="0" xfId="0" applyFont="1" applyFill="1" applyAlignment="1">
      <alignment horizontal="center" vertical="center"/>
    </xf>
    <xf numFmtId="0" fontId="12" fillId="13" borderId="9" xfId="0" applyFont="1" applyFill="1" applyBorder="1" applyAlignment="1">
      <alignment horizontal="left" vertical="center"/>
    </xf>
    <xf numFmtId="0" fontId="12" fillId="13" borderId="0" xfId="0" applyFont="1" applyFill="1" applyAlignment="1">
      <alignment horizontal="center" vertical="center"/>
    </xf>
    <xf numFmtId="0" fontId="12" fillId="20" borderId="9" xfId="0" applyFont="1" applyFill="1" applyBorder="1" applyAlignment="1">
      <alignment horizontal="left" vertical="center"/>
    </xf>
    <xf numFmtId="0" fontId="12" fillId="20" borderId="0" xfId="0" applyFont="1" applyFill="1" applyAlignment="1">
      <alignment horizontal="center" vertical="center"/>
    </xf>
    <xf numFmtId="0" fontId="12" fillId="21" borderId="9" xfId="0" applyFont="1" applyFill="1" applyBorder="1" applyAlignment="1">
      <alignment horizontal="left" vertical="center"/>
    </xf>
    <xf numFmtId="0" fontId="31" fillId="22" borderId="9" xfId="0" applyFont="1" applyFill="1" applyBorder="1" applyAlignment="1">
      <alignment horizontal="left" vertical="center"/>
    </xf>
    <xf numFmtId="0" fontId="31" fillId="22" borderId="0" xfId="0" applyFont="1" applyFill="1" applyAlignment="1">
      <alignment horizontal="center" vertical="center"/>
    </xf>
    <xf numFmtId="0" fontId="31" fillId="23" borderId="9" xfId="0" applyFont="1" applyFill="1" applyBorder="1" applyAlignment="1">
      <alignment horizontal="left" vertical="center"/>
    </xf>
    <xf numFmtId="0" fontId="31" fillId="23" borderId="0" xfId="0" applyFont="1" applyFill="1" applyAlignment="1">
      <alignment horizontal="center" vertical="center"/>
    </xf>
    <xf numFmtId="0" fontId="27" fillId="24" borderId="9" xfId="4" applyFont="1" applyFill="1" applyBorder="1">
      <protection locked="0"/>
    </xf>
    <xf numFmtId="0" fontId="39" fillId="24" borderId="0" xfId="4" applyFont="1" applyFill="1" applyAlignment="1">
      <alignment horizontal="center" vertical="center"/>
      <protection locked="0"/>
    </xf>
    <xf numFmtId="0" fontId="27" fillId="24" borderId="0" xfId="4" applyFont="1" applyFill="1" applyAlignment="1">
      <alignment horizontal="center" vertical="center"/>
      <protection locked="0"/>
    </xf>
    <xf numFmtId="0" fontId="31" fillId="24" borderId="0" xfId="0" applyFont="1" applyFill="1" applyAlignment="1">
      <alignment horizontal="center" vertical="center"/>
    </xf>
    <xf numFmtId="0" fontId="31" fillId="25" borderId="9" xfId="0" applyFont="1" applyFill="1" applyBorder="1" applyAlignment="1">
      <alignment horizontal="left" vertical="center"/>
    </xf>
    <xf numFmtId="0" fontId="31" fillId="25" borderId="0" xfId="0" applyFont="1" applyFill="1" applyAlignment="1">
      <alignment horizontal="center" vertical="center"/>
    </xf>
    <xf numFmtId="0" fontId="40" fillId="0" borderId="0" xfId="0" applyFont="1" applyAlignment="1">
      <alignment horizontal="center" vertical="center"/>
    </xf>
    <xf numFmtId="0" fontId="31" fillId="26" borderId="9" xfId="0" applyFont="1" applyFill="1" applyBorder="1" applyAlignment="1">
      <alignment horizontal="left" vertical="center"/>
    </xf>
    <xf numFmtId="0" fontId="31" fillId="26" borderId="0" xfId="0" applyFont="1" applyFill="1" applyAlignment="1">
      <alignment horizontal="center" vertical="center"/>
    </xf>
    <xf numFmtId="49" fontId="31" fillId="0" borderId="0" xfId="0" applyNumberFormat="1" applyFont="1" applyAlignment="1">
      <alignment horizontal="center" vertical="center"/>
    </xf>
    <xf numFmtId="49" fontId="31" fillId="26" borderId="0" xfId="0" applyNumberFormat="1" applyFont="1" applyFill="1" applyAlignment="1">
      <alignment horizontal="center" vertical="center"/>
    </xf>
    <xf numFmtId="0" fontId="12" fillId="0" borderId="0" xfId="4" applyFont="1" applyAlignment="1">
      <alignment horizontal="center" vertical="center"/>
      <protection locked="0"/>
    </xf>
    <xf numFmtId="0" fontId="12" fillId="0" borderId="31" xfId="4" applyFont="1" applyBorder="1" applyAlignment="1">
      <alignment horizontal="center" vertical="center"/>
      <protection locked="0"/>
    </xf>
    <xf numFmtId="0" fontId="12" fillId="11" borderId="0" xfId="4" applyFont="1" applyFill="1" applyAlignment="1">
      <alignment horizontal="center" vertical="center"/>
      <protection locked="0"/>
    </xf>
    <xf numFmtId="0" fontId="12" fillId="20" borderId="0" xfId="4" applyFont="1" applyFill="1" applyAlignment="1">
      <alignment horizontal="center" vertical="center"/>
      <protection locked="0"/>
    </xf>
    <xf numFmtId="0" fontId="27" fillId="22" borderId="0" xfId="4" applyFont="1" applyFill="1" applyAlignment="1">
      <alignment horizontal="center" vertical="center"/>
      <protection locked="0"/>
    </xf>
    <xf numFmtId="0" fontId="27" fillId="23" borderId="0" xfId="4" applyFont="1" applyFill="1" applyAlignment="1">
      <alignment horizontal="center" vertical="center"/>
      <protection locked="0"/>
    </xf>
    <xf numFmtId="0" fontId="27" fillId="13" borderId="0" xfId="4" applyFont="1" applyFill="1" applyAlignment="1">
      <alignment horizontal="center" vertical="center"/>
      <protection locked="0"/>
    </xf>
    <xf numFmtId="0" fontId="27" fillId="25" borderId="0" xfId="4" applyFont="1" applyFill="1" applyAlignment="1">
      <alignment horizontal="center" vertical="center"/>
      <protection locked="0"/>
    </xf>
    <xf numFmtId="0" fontId="27" fillId="26" borderId="0" xfId="4" applyFont="1" applyFill="1" applyAlignment="1">
      <alignment horizontal="center" vertical="center"/>
      <protection locked="0"/>
    </xf>
    <xf numFmtId="49" fontId="38" fillId="2" borderId="8" xfId="0" applyNumberFormat="1" applyFont="1" applyFill="1" applyBorder="1" applyAlignment="1">
      <alignment horizontal="center" vertical="center"/>
    </xf>
    <xf numFmtId="0" fontId="43" fillId="0" borderId="0" xfId="4" applyFont="1" applyAlignment="1">
      <alignment vertical="center" wrapText="1"/>
      <protection locked="0"/>
    </xf>
    <xf numFmtId="0" fontId="12" fillId="0" borderId="37" xfId="0" applyFont="1" applyBorder="1" applyAlignment="1">
      <alignment horizontal="center" vertical="center"/>
    </xf>
    <xf numFmtId="0" fontId="12" fillId="11" borderId="10" xfId="0" applyFont="1" applyFill="1" applyBorder="1" applyAlignment="1">
      <alignment horizontal="center" vertical="center"/>
    </xf>
    <xf numFmtId="0" fontId="12" fillId="13" borderId="10" xfId="0" applyFont="1" applyFill="1" applyBorder="1" applyAlignment="1">
      <alignment horizontal="center" vertical="center"/>
    </xf>
    <xf numFmtId="0" fontId="12" fillId="20" borderId="10" xfId="0" applyFont="1" applyFill="1" applyBorder="1" applyAlignment="1">
      <alignment horizontal="center" vertical="center"/>
    </xf>
    <xf numFmtId="0" fontId="43" fillId="0" borderId="0" xfId="4" applyFont="1">
      <protection locked="0"/>
    </xf>
    <xf numFmtId="0" fontId="31" fillId="22" borderId="10" xfId="0" applyFont="1" applyFill="1" applyBorder="1" applyAlignment="1">
      <alignment horizontal="center" vertical="center"/>
    </xf>
    <xf numFmtId="0" fontId="0" fillId="0" borderId="0" xfId="4" applyFont="1" applyAlignment="1">
      <alignment vertical="center" wrapText="1"/>
      <protection locked="0"/>
    </xf>
    <xf numFmtId="0" fontId="0" fillId="0" borderId="0" xfId="4" applyFont="1">
      <protection locked="0"/>
    </xf>
    <xf numFmtId="0" fontId="31" fillId="23" borderId="10" xfId="0" applyFont="1" applyFill="1" applyBorder="1" applyAlignment="1">
      <alignment horizontal="center" vertical="center"/>
    </xf>
    <xf numFmtId="0" fontId="31" fillId="24" borderId="10" xfId="0" applyFont="1" applyFill="1" applyBorder="1" applyAlignment="1">
      <alignment horizontal="center" vertical="center"/>
    </xf>
    <xf numFmtId="0" fontId="0" fillId="0" borderId="39" xfId="4" applyFont="1" applyBorder="1">
      <protection locked="0"/>
    </xf>
    <xf numFmtId="0" fontId="31" fillId="25" borderId="10" xfId="0" applyFont="1" applyFill="1" applyBorder="1" applyAlignment="1">
      <alignment horizontal="center" vertical="center"/>
    </xf>
    <xf numFmtId="0" fontId="31" fillId="26" borderId="10" xfId="0" applyFont="1" applyFill="1" applyBorder="1" applyAlignment="1">
      <alignment horizontal="center" vertical="center"/>
    </xf>
    <xf numFmtId="0" fontId="28" fillId="10" borderId="30" xfId="4" applyFill="1" applyBorder="1" applyAlignment="1">
      <alignment horizontal="center" vertical="center"/>
      <protection locked="0"/>
    </xf>
    <xf numFmtId="0" fontId="28" fillId="10" borderId="31" xfId="4" applyFill="1" applyBorder="1" applyAlignment="1">
      <alignment horizontal="center" vertical="center"/>
      <protection locked="0"/>
    </xf>
    <xf numFmtId="0" fontId="28" fillId="0" borderId="9" xfId="4" applyBorder="1" applyAlignment="1">
      <alignment horizontal="center" vertical="center"/>
      <protection locked="0"/>
    </xf>
    <xf numFmtId="0" fontId="28" fillId="0" borderId="0" xfId="4" applyAlignment="1">
      <alignment horizontal="center" vertical="center"/>
      <protection locked="0"/>
    </xf>
    <xf numFmtId="0" fontId="28" fillId="10" borderId="33" xfId="4" applyFill="1" applyBorder="1" applyAlignment="1">
      <alignment horizontal="center" vertical="center"/>
      <protection locked="0"/>
    </xf>
    <xf numFmtId="0" fontId="31" fillId="28" borderId="9" xfId="0" applyFont="1" applyFill="1" applyBorder="1" applyAlignment="1">
      <alignment horizontal="left" vertical="center"/>
    </xf>
    <xf numFmtId="0" fontId="27" fillId="28" borderId="0" xfId="4" applyFont="1" applyFill="1" applyAlignment="1">
      <alignment horizontal="center" vertical="center"/>
      <protection locked="0"/>
    </xf>
    <xf numFmtId="0" fontId="31" fillId="28" borderId="0" xfId="0" applyFont="1" applyFill="1" applyAlignment="1">
      <alignment horizontal="center" vertical="center"/>
    </xf>
    <xf numFmtId="0" fontId="27" fillId="0" borderId="9" xfId="0" applyFont="1" applyBorder="1" applyAlignment="1">
      <alignment horizontal="left" vertical="center"/>
    </xf>
    <xf numFmtId="0" fontId="27" fillId="0" borderId="0" xfId="0" applyFont="1" applyAlignment="1">
      <alignment horizontal="center" vertical="center"/>
    </xf>
    <xf numFmtId="0" fontId="31" fillId="29" borderId="9" xfId="0" applyFont="1" applyFill="1" applyBorder="1" applyAlignment="1">
      <alignment horizontal="left" vertical="center"/>
    </xf>
    <xf numFmtId="0" fontId="27" fillId="29" borderId="0" xfId="4" applyFont="1" applyFill="1" applyAlignment="1">
      <alignment horizontal="center" vertical="center"/>
      <protection locked="0"/>
    </xf>
    <xf numFmtId="0" fontId="31" fillId="29" borderId="0" xfId="0" applyFont="1" applyFill="1" applyAlignment="1">
      <alignment horizontal="center" vertical="center"/>
    </xf>
    <xf numFmtId="0" fontId="27" fillId="30" borderId="9" xfId="4" applyFont="1" applyFill="1" applyBorder="1">
      <protection locked="0"/>
    </xf>
    <xf numFmtId="0" fontId="27" fillId="30" borderId="0" xfId="4" applyFont="1" applyFill="1" applyAlignment="1">
      <alignment horizontal="center" vertical="center"/>
      <protection locked="0"/>
    </xf>
    <xf numFmtId="0" fontId="31" fillId="0" borderId="41" xfId="0" applyFont="1" applyBorder="1" applyAlignment="1">
      <alignment horizontal="left" vertical="center"/>
    </xf>
    <xf numFmtId="0" fontId="27" fillId="0" borderId="41" xfId="4" applyFont="1" applyBorder="1" applyAlignment="1">
      <alignment horizontal="center" vertical="center"/>
      <protection locked="0"/>
    </xf>
    <xf numFmtId="0" fontId="31" fillId="0" borderId="41" xfId="0" applyFont="1" applyBorder="1" applyAlignment="1">
      <alignment horizontal="center" vertical="center"/>
    </xf>
    <xf numFmtId="0" fontId="52" fillId="0" borderId="0" xfId="4" applyFont="1">
      <protection locked="0"/>
    </xf>
    <xf numFmtId="49" fontId="27" fillId="0" borderId="0" xfId="4" applyNumberFormat="1" applyFont="1">
      <protection locked="0"/>
    </xf>
    <xf numFmtId="0" fontId="12" fillId="0" borderId="0" xfId="4" applyFont="1">
      <protection locked="0"/>
    </xf>
    <xf numFmtId="0" fontId="12" fillId="0" borderId="0" xfId="4" applyFont="1" applyAlignment="1">
      <alignment vertical="center" wrapText="1"/>
      <protection locked="0"/>
    </xf>
    <xf numFmtId="0" fontId="10" fillId="0" borderId="0" xfId="4" applyFont="1" applyAlignment="1">
      <alignment vertical="center" wrapText="1"/>
      <protection locked="0"/>
    </xf>
    <xf numFmtId="0" fontId="31" fillId="10" borderId="10" xfId="0" applyFont="1" applyFill="1" applyBorder="1" applyAlignment="1">
      <alignment horizontal="center" vertical="center"/>
    </xf>
    <xf numFmtId="164" fontId="27" fillId="10" borderId="10" xfId="0" applyNumberFormat="1" applyFont="1" applyFill="1" applyBorder="1" applyAlignment="1">
      <alignment horizontal="center" vertical="center"/>
    </xf>
    <xf numFmtId="0" fontId="31" fillId="28" borderId="10" xfId="0" applyFont="1" applyFill="1" applyBorder="1" applyAlignment="1">
      <alignment horizontal="center" vertical="center"/>
    </xf>
    <xf numFmtId="0" fontId="27" fillId="0" borderId="10" xfId="0" applyFont="1" applyBorder="1" applyAlignment="1">
      <alignment horizontal="center" vertical="center"/>
    </xf>
    <xf numFmtId="0" fontId="31" fillId="29" borderId="10" xfId="0" applyFont="1" applyFill="1" applyBorder="1" applyAlignment="1">
      <alignment horizontal="center" vertical="center"/>
    </xf>
    <xf numFmtId="0" fontId="27" fillId="30" borderId="10" xfId="4" applyFont="1" applyFill="1" applyBorder="1" applyAlignment="1">
      <alignment horizontal="center" vertical="center"/>
      <protection locked="0"/>
    </xf>
    <xf numFmtId="0" fontId="10" fillId="0" borderId="0" xfId="4" applyFont="1" applyAlignment="1">
      <alignment horizontal="center" vertical="center"/>
      <protection locked="0"/>
    </xf>
    <xf numFmtId="0" fontId="10" fillId="0" borderId="0" xfId="4" applyFont="1">
      <protection locked="0"/>
    </xf>
    <xf numFmtId="0" fontId="53" fillId="0" borderId="0" xfId="4" applyFont="1" applyAlignment="1">
      <alignment vertical="center" wrapText="1"/>
      <protection locked="0"/>
    </xf>
    <xf numFmtId="0" fontId="54" fillId="0" borderId="30" xfId="0" applyFont="1" applyBorder="1" applyAlignment="1">
      <alignment horizontal="left" vertical="center"/>
    </xf>
    <xf numFmtId="0" fontId="54" fillId="0" borderId="31" xfId="0" applyFont="1" applyBorder="1" applyAlignment="1">
      <alignment horizontal="center" vertical="center"/>
    </xf>
    <xf numFmtId="0" fontId="54" fillId="0" borderId="9" xfId="0" applyFont="1" applyBorder="1" applyAlignment="1">
      <alignment horizontal="left" vertical="center"/>
    </xf>
    <xf numFmtId="0" fontId="54" fillId="0" borderId="0" xfId="0" applyFont="1" applyAlignment="1">
      <alignment horizontal="center" vertical="center"/>
    </xf>
    <xf numFmtId="0" fontId="54" fillId="0" borderId="11" xfId="0" applyFont="1" applyBorder="1" applyAlignment="1">
      <alignment horizontal="left" vertical="center"/>
    </xf>
    <xf numFmtId="0" fontId="54" fillId="0" borderId="14" xfId="0" applyFont="1" applyBorder="1" applyAlignment="1">
      <alignment horizontal="center" vertical="center"/>
    </xf>
    <xf numFmtId="49" fontId="55" fillId="0" borderId="0" xfId="4" applyNumberFormat="1" applyFont="1">
      <protection locked="0"/>
    </xf>
    <xf numFmtId="0" fontId="55" fillId="0" borderId="0" xfId="4" applyFont="1">
      <protection locked="0"/>
    </xf>
    <xf numFmtId="0" fontId="3" fillId="0" borderId="0" xfId="0" applyFont="1" applyAlignment="1">
      <alignment horizontal="center" vertical="center"/>
    </xf>
    <xf numFmtId="0" fontId="3" fillId="0" borderId="0" xfId="0" applyFont="1" applyAlignment="1">
      <alignment vertical="center" wrapText="1"/>
    </xf>
    <xf numFmtId="0" fontId="55" fillId="0" borderId="31" xfId="4" applyFont="1" applyBorder="1">
      <protection locked="0"/>
    </xf>
    <xf numFmtId="0" fontId="55" fillId="0" borderId="14" xfId="4" applyFont="1" applyBorder="1">
      <protection locked="0"/>
    </xf>
    <xf numFmtId="0" fontId="56" fillId="0" borderId="0" xfId="0" applyFont="1">
      <alignment vertical="center"/>
    </xf>
    <xf numFmtId="0" fontId="15" fillId="0" borderId="0" xfId="0" applyFont="1" applyAlignment="1">
      <alignment vertical="center" wrapText="1"/>
    </xf>
    <xf numFmtId="0" fontId="56" fillId="0" borderId="0" xfId="0" applyFont="1" applyAlignment="1">
      <alignment vertical="center" wrapText="1"/>
    </xf>
    <xf numFmtId="0" fontId="15" fillId="0" borderId="0" xfId="0" applyFont="1">
      <alignment vertical="center"/>
    </xf>
    <xf numFmtId="0" fontId="15" fillId="0" borderId="0" xfId="0" applyFont="1" applyAlignment="1">
      <alignment horizontal="center" vertical="center"/>
    </xf>
    <xf numFmtId="0" fontId="10" fillId="0" borderId="0" xfId="4" applyFont="1" applyAlignment="1">
      <alignment horizontal="center" vertical="center" wrapText="1"/>
      <protection locked="0"/>
    </xf>
    <xf numFmtId="0" fontId="54" fillId="0" borderId="33" xfId="0" applyFont="1" applyBorder="1" applyAlignment="1">
      <alignment horizontal="center" vertical="center"/>
    </xf>
    <xf numFmtId="0" fontId="54" fillId="0" borderId="10" xfId="0" applyFont="1" applyBorder="1" applyAlignment="1">
      <alignment horizontal="center" vertical="center"/>
    </xf>
    <xf numFmtId="0" fontId="0" fillId="0" borderId="33" xfId="4" applyFont="1" applyBorder="1" applyAlignment="1">
      <alignment vertical="center" wrapText="1"/>
      <protection locked="0"/>
    </xf>
    <xf numFmtId="0" fontId="0" fillId="0" borderId="12" xfId="4" applyFont="1" applyBorder="1" applyAlignment="1">
      <alignment vertical="center" wrapText="1"/>
      <protection locked="0"/>
    </xf>
    <xf numFmtId="0" fontId="28" fillId="0" borderId="11" xfId="4" applyBorder="1" applyAlignment="1">
      <alignment horizontal="center" vertical="center"/>
      <protection locked="0"/>
    </xf>
    <xf numFmtId="0" fontId="28" fillId="0" borderId="14" xfId="4" applyBorder="1" applyAlignment="1">
      <alignment horizontal="center" vertical="center"/>
      <protection locked="0"/>
    </xf>
    <xf numFmtId="0" fontId="57" fillId="0" borderId="0" xfId="4" applyFont="1" applyAlignment="1">
      <alignment vertical="center" wrapText="1"/>
      <protection locked="0"/>
    </xf>
    <xf numFmtId="0" fontId="15" fillId="0" borderId="53" xfId="0" applyFont="1" applyBorder="1" applyAlignment="1">
      <alignment horizontal="center" vertical="center" wrapText="1"/>
    </xf>
    <xf numFmtId="0" fontId="15" fillId="0" borderId="54" xfId="0" applyFont="1" applyBorder="1" applyAlignment="1">
      <alignment horizontal="center" vertical="center" wrapText="1"/>
    </xf>
    <xf numFmtId="0" fontId="28" fillId="0" borderId="12" xfId="4" applyBorder="1" applyAlignment="1">
      <alignment horizontal="center" vertical="center"/>
      <protection locked="0"/>
    </xf>
    <xf numFmtId="0" fontId="15" fillId="0" borderId="55" xfId="0" applyFont="1" applyBorder="1" applyAlignment="1">
      <alignment horizontal="center" vertical="center" wrapText="1"/>
    </xf>
    <xf numFmtId="49" fontId="41" fillId="0" borderId="0" xfId="4" applyNumberFormat="1" applyFont="1">
      <protection locked="0"/>
    </xf>
    <xf numFmtId="49" fontId="12" fillId="0" borderId="0" xfId="4" applyNumberFormat="1" applyFont="1">
      <protection locked="0"/>
    </xf>
    <xf numFmtId="49" fontId="58" fillId="0" borderId="0" xfId="4" applyNumberFormat="1" applyFont="1" applyAlignment="1">
      <alignment horizontal="center" vertical="center"/>
      <protection locked="0"/>
    </xf>
    <xf numFmtId="49" fontId="10" fillId="0" borderId="0" xfId="4" applyNumberFormat="1" applyFont="1" applyAlignment="1">
      <alignment horizontal="center" vertical="center" wrapText="1"/>
      <protection locked="0"/>
    </xf>
    <xf numFmtId="0" fontId="10" fillId="0" borderId="0" xfId="0" applyFont="1" applyAlignment="1">
      <alignment horizontal="center" vertical="center"/>
    </xf>
    <xf numFmtId="0" fontId="10" fillId="0" borderId="0" xfId="0" applyFont="1">
      <alignment vertical="center"/>
    </xf>
    <xf numFmtId="0" fontId="23" fillId="0" borderId="0" xfId="0" applyFont="1">
      <alignment vertical="center"/>
    </xf>
    <xf numFmtId="0" fontId="54" fillId="35" borderId="9" xfId="0" applyFont="1" applyFill="1" applyBorder="1" applyAlignment="1">
      <alignment horizontal="left" vertical="center"/>
    </xf>
    <xf numFmtId="49" fontId="54" fillId="35" borderId="0" xfId="0" applyNumberFormat="1" applyFont="1" applyFill="1" applyAlignment="1">
      <alignment horizontal="center" vertical="center"/>
    </xf>
    <xf numFmtId="0" fontId="54" fillId="35" borderId="0" xfId="0" applyFont="1" applyFill="1" applyAlignment="1">
      <alignment horizontal="center" vertical="center"/>
    </xf>
    <xf numFmtId="0" fontId="54" fillId="35" borderId="30" xfId="0" applyFont="1" applyFill="1" applyBorder="1" applyAlignment="1">
      <alignment horizontal="left" vertical="center"/>
    </xf>
    <xf numFmtId="49" fontId="54" fillId="35" borderId="31" xfId="0" applyNumberFormat="1" applyFont="1" applyFill="1" applyBorder="1" applyAlignment="1">
      <alignment horizontal="center" vertical="center"/>
    </xf>
    <xf numFmtId="0" fontId="54" fillId="35" borderId="31" xfId="0" applyFont="1" applyFill="1" applyBorder="1" applyAlignment="1">
      <alignment horizontal="center" vertical="center"/>
    </xf>
    <xf numFmtId="0" fontId="54" fillId="36" borderId="9" xfId="0" applyFont="1" applyFill="1" applyBorder="1" applyAlignment="1">
      <alignment horizontal="left" vertical="center"/>
    </xf>
    <xf numFmtId="49" fontId="54" fillId="36" borderId="0" xfId="0" applyNumberFormat="1" applyFont="1" applyFill="1" applyAlignment="1">
      <alignment horizontal="center" vertical="center"/>
    </xf>
    <xf numFmtId="0" fontId="54" fillId="36" borderId="0" xfId="0" applyFont="1" applyFill="1" applyAlignment="1">
      <alignment horizontal="center" vertical="center"/>
    </xf>
    <xf numFmtId="0" fontId="54" fillId="35" borderId="30" xfId="0" applyFont="1" applyFill="1" applyBorder="1" applyAlignment="1">
      <alignment horizontal="left" vertical="center" wrapText="1"/>
    </xf>
    <xf numFmtId="0" fontId="54" fillId="37" borderId="30" xfId="0" applyFont="1" applyFill="1" applyBorder="1" applyAlignment="1">
      <alignment horizontal="left" vertical="center"/>
    </xf>
    <xf numFmtId="49" fontId="54" fillId="37" borderId="31" xfId="0" applyNumberFormat="1" applyFont="1" applyFill="1" applyBorder="1" applyAlignment="1">
      <alignment horizontal="center" vertical="center"/>
    </xf>
    <xf numFmtId="0" fontId="54" fillId="37" borderId="31" xfId="0" applyFont="1" applyFill="1" applyBorder="1" applyAlignment="1">
      <alignment horizontal="center" vertical="center"/>
    </xf>
    <xf numFmtId="0" fontId="54" fillId="35" borderId="45" xfId="0" applyFont="1" applyFill="1" applyBorder="1" applyAlignment="1">
      <alignment horizontal="left" vertical="center"/>
    </xf>
    <xf numFmtId="49" fontId="54" fillId="35" borderId="34" xfId="0" applyNumberFormat="1" applyFont="1" applyFill="1" applyBorder="1" applyAlignment="1">
      <alignment horizontal="center" vertical="center"/>
    </xf>
    <xf numFmtId="0" fontId="54" fillId="35" borderId="34" xfId="0" applyFont="1" applyFill="1" applyBorder="1" applyAlignment="1">
      <alignment horizontal="center" vertical="center"/>
    </xf>
    <xf numFmtId="0" fontId="54" fillId="38" borderId="9" xfId="0" applyFont="1" applyFill="1" applyBorder="1" applyAlignment="1">
      <alignment horizontal="left" vertical="center"/>
    </xf>
    <xf numFmtId="49" fontId="54" fillId="38" borderId="0" xfId="0" applyNumberFormat="1" applyFont="1" applyFill="1" applyAlignment="1">
      <alignment horizontal="center" vertical="center"/>
    </xf>
    <xf numFmtId="0" fontId="54" fillId="38" borderId="0" xfId="0" applyFont="1" applyFill="1" applyAlignment="1">
      <alignment horizontal="center" vertical="center"/>
    </xf>
    <xf numFmtId="0" fontId="54" fillId="39" borderId="45" xfId="0" applyFont="1" applyFill="1" applyBorder="1" applyAlignment="1">
      <alignment horizontal="left" vertical="center"/>
    </xf>
    <xf numFmtId="49" fontId="54" fillId="39" borderId="34" xfId="0" applyNumberFormat="1" applyFont="1" applyFill="1" applyBorder="1" applyAlignment="1">
      <alignment horizontal="center" vertical="center"/>
    </xf>
    <xf numFmtId="0" fontId="54" fillId="39" borderId="34" xfId="0" applyFont="1" applyFill="1" applyBorder="1" applyAlignment="1">
      <alignment horizontal="center" vertical="center"/>
    </xf>
    <xf numFmtId="0" fontId="54" fillId="39" borderId="9" xfId="0" applyFont="1" applyFill="1" applyBorder="1" applyAlignment="1">
      <alignment horizontal="left" vertical="center"/>
    </xf>
    <xf numFmtId="49" fontId="54" fillId="39" borderId="0" xfId="0" applyNumberFormat="1" applyFont="1" applyFill="1" applyAlignment="1">
      <alignment horizontal="center" vertical="center"/>
    </xf>
    <xf numFmtId="0" fontId="54" fillId="39" borderId="0" xfId="0" applyFont="1" applyFill="1" applyAlignment="1">
      <alignment horizontal="center" vertical="center"/>
    </xf>
    <xf numFmtId="0" fontId="54" fillId="40" borderId="9" xfId="0" applyFont="1" applyFill="1" applyBorder="1" applyAlignment="1">
      <alignment horizontal="left" vertical="center"/>
    </xf>
    <xf numFmtId="49" fontId="54" fillId="40" borderId="0" xfId="0" applyNumberFormat="1" applyFont="1" applyFill="1" applyAlignment="1">
      <alignment horizontal="center" vertical="center"/>
    </xf>
    <xf numFmtId="0" fontId="54" fillId="40" borderId="0" xfId="0" applyFont="1" applyFill="1" applyAlignment="1">
      <alignment horizontal="center" vertical="center"/>
    </xf>
    <xf numFmtId="0" fontId="54" fillId="10" borderId="9" xfId="0" applyFont="1" applyFill="1" applyBorder="1" applyAlignment="1">
      <alignment horizontal="left" vertical="center"/>
    </xf>
    <xf numFmtId="49" fontId="54" fillId="10" borderId="0" xfId="0" applyNumberFormat="1" applyFont="1" applyFill="1" applyAlignment="1">
      <alignment horizontal="center" vertical="center"/>
    </xf>
    <xf numFmtId="0" fontId="54" fillId="10" borderId="0" xfId="0" applyFont="1" applyFill="1" applyAlignment="1">
      <alignment horizontal="center" vertical="center"/>
    </xf>
    <xf numFmtId="0" fontId="54" fillId="5" borderId="9" xfId="0" applyFont="1" applyFill="1" applyBorder="1" applyAlignment="1">
      <alignment horizontal="left" vertical="center"/>
    </xf>
    <xf numFmtId="49" fontId="54" fillId="5" borderId="0" xfId="0" applyNumberFormat="1" applyFont="1" applyFill="1" applyAlignment="1">
      <alignment horizontal="center" vertical="center"/>
    </xf>
    <xf numFmtId="0" fontId="54" fillId="5" borderId="0" xfId="0" applyFont="1" applyFill="1" applyAlignment="1">
      <alignment horizontal="center" vertical="center"/>
    </xf>
    <xf numFmtId="49" fontId="54" fillId="0" borderId="0" xfId="0" applyNumberFormat="1" applyFont="1" applyAlignment="1">
      <alignment horizontal="center" vertical="center"/>
    </xf>
    <xf numFmtId="0" fontId="54" fillId="10" borderId="45" xfId="0" applyFont="1" applyFill="1" applyBorder="1" applyAlignment="1">
      <alignment horizontal="left" vertical="center"/>
    </xf>
    <xf numFmtId="49" fontId="54" fillId="10" borderId="34" xfId="0" applyNumberFormat="1" applyFont="1" applyFill="1" applyBorder="1" applyAlignment="1">
      <alignment horizontal="center" vertical="center"/>
    </xf>
    <xf numFmtId="0" fontId="54" fillId="10" borderId="34" xfId="0" applyFont="1" applyFill="1" applyBorder="1" applyAlignment="1">
      <alignment horizontal="center" vertical="center"/>
    </xf>
    <xf numFmtId="49" fontId="62" fillId="2" borderId="13" xfId="0" applyNumberFormat="1" applyFont="1" applyFill="1" applyBorder="1" applyAlignment="1">
      <alignment horizontal="center" vertical="center"/>
    </xf>
    <xf numFmtId="49" fontId="62" fillId="2" borderId="8" xfId="0" applyNumberFormat="1" applyFont="1" applyFill="1" applyBorder="1" applyAlignment="1">
      <alignment horizontal="center" vertical="center"/>
    </xf>
    <xf numFmtId="0" fontId="54" fillId="35" borderId="10" xfId="0" applyFont="1" applyFill="1" applyBorder="1" applyAlignment="1">
      <alignment horizontal="center" vertical="center"/>
    </xf>
    <xf numFmtId="0" fontId="54" fillId="35" borderId="33" xfId="0" applyFont="1" applyFill="1" applyBorder="1" applyAlignment="1">
      <alignment horizontal="center" vertical="center"/>
    </xf>
    <xf numFmtId="0" fontId="54" fillId="36" borderId="10" xfId="0" applyFont="1" applyFill="1" applyBorder="1" applyAlignment="1">
      <alignment horizontal="center" vertical="center"/>
    </xf>
    <xf numFmtId="0" fontId="54" fillId="37" borderId="33" xfId="0" applyFont="1" applyFill="1" applyBorder="1" applyAlignment="1">
      <alignment horizontal="center" vertical="center"/>
    </xf>
    <xf numFmtId="0" fontId="54" fillId="35" borderId="37" xfId="0" applyFont="1" applyFill="1" applyBorder="1" applyAlignment="1">
      <alignment horizontal="center" vertical="center"/>
    </xf>
    <xf numFmtId="0" fontId="54" fillId="38" borderId="10" xfId="0" applyFont="1" applyFill="1" applyBorder="1" applyAlignment="1">
      <alignment horizontal="center" vertical="center"/>
    </xf>
    <xf numFmtId="0" fontId="54" fillId="39" borderId="37" xfId="0" applyFont="1" applyFill="1" applyBorder="1" applyAlignment="1">
      <alignment horizontal="center" vertical="center"/>
    </xf>
    <xf numFmtId="0" fontId="54" fillId="39" borderId="10" xfId="0" applyFont="1" applyFill="1" applyBorder="1" applyAlignment="1">
      <alignment horizontal="center" vertical="center"/>
    </xf>
    <xf numFmtId="0" fontId="54" fillId="40" borderId="10" xfId="0" applyFont="1" applyFill="1" applyBorder="1" applyAlignment="1">
      <alignment horizontal="center" vertical="center"/>
    </xf>
    <xf numFmtId="0" fontId="54" fillId="10" borderId="10" xfId="0" applyFont="1" applyFill="1" applyBorder="1" applyAlignment="1">
      <alignment horizontal="center" vertical="center"/>
    </xf>
    <xf numFmtId="0" fontId="54" fillId="5" borderId="10" xfId="0" applyFont="1" applyFill="1" applyBorder="1" applyAlignment="1">
      <alignment horizontal="center" vertical="center"/>
    </xf>
    <xf numFmtId="0" fontId="54" fillId="10" borderId="37" xfId="0" applyFont="1" applyFill="1" applyBorder="1" applyAlignment="1">
      <alignment horizontal="center" vertical="center"/>
    </xf>
    <xf numFmtId="0" fontId="27" fillId="0" borderId="0" xfId="4" applyFont="1" applyAlignment="1">
      <alignment horizontal="center" vertical="top" wrapText="1"/>
      <protection locked="0"/>
    </xf>
    <xf numFmtId="0" fontId="48" fillId="0" borderId="0" xfId="0" applyFont="1">
      <alignment vertical="center"/>
    </xf>
    <xf numFmtId="49" fontId="64" fillId="0" borderId="0" xfId="0" applyNumberFormat="1" applyFont="1">
      <alignment vertical="center"/>
    </xf>
    <xf numFmtId="0" fontId="55" fillId="0" borderId="0" xfId="0" applyFont="1">
      <alignment vertical="center"/>
    </xf>
    <xf numFmtId="49" fontId="55" fillId="0" borderId="0" xfId="0" applyNumberFormat="1" applyFont="1">
      <alignment vertical="center"/>
    </xf>
    <xf numFmtId="0" fontId="54" fillId="42" borderId="9" xfId="0" applyFont="1" applyFill="1" applyBorder="1" applyAlignment="1">
      <alignment horizontal="left" vertical="center"/>
    </xf>
    <xf numFmtId="49" fontId="54" fillId="42" borderId="0" xfId="0" applyNumberFormat="1" applyFont="1" applyFill="1" applyAlignment="1">
      <alignment horizontal="center" vertical="center"/>
    </xf>
    <xf numFmtId="0" fontId="54" fillId="42" borderId="0" xfId="0" applyFont="1" applyFill="1" applyAlignment="1">
      <alignment horizontal="center" vertical="center"/>
    </xf>
    <xf numFmtId="0" fontId="54" fillId="37" borderId="9" xfId="0" applyFont="1" applyFill="1" applyBorder="1" applyAlignment="1">
      <alignment horizontal="left" vertical="center"/>
    </xf>
    <xf numFmtId="49" fontId="54" fillId="37" borderId="0" xfId="0" applyNumberFormat="1" applyFont="1" applyFill="1" applyAlignment="1">
      <alignment horizontal="center" vertical="center"/>
    </xf>
    <xf numFmtId="0" fontId="54" fillId="37" borderId="0" xfId="0" applyFont="1" applyFill="1" applyAlignment="1">
      <alignment horizontal="center" vertical="center"/>
    </xf>
    <xf numFmtId="0" fontId="54" fillId="43" borderId="9" xfId="0" applyFont="1" applyFill="1" applyBorder="1" applyAlignment="1">
      <alignment horizontal="left" vertical="center"/>
    </xf>
    <xf numFmtId="49" fontId="54" fillId="43" borderId="0" xfId="0" applyNumberFormat="1" applyFont="1" applyFill="1" applyAlignment="1">
      <alignment horizontal="center" vertical="center"/>
    </xf>
    <xf numFmtId="0" fontId="54" fillId="43" borderId="0" xfId="0" applyFont="1" applyFill="1" applyAlignment="1">
      <alignment horizontal="center" vertical="center"/>
    </xf>
    <xf numFmtId="0" fontId="54" fillId="44" borderId="9" xfId="0" applyFont="1" applyFill="1" applyBorder="1" applyAlignment="1">
      <alignment horizontal="left" vertical="center"/>
    </xf>
    <xf numFmtId="49" fontId="54" fillId="44" borderId="0" xfId="0" applyNumberFormat="1" applyFont="1" applyFill="1" applyAlignment="1">
      <alignment horizontal="center" vertical="center"/>
    </xf>
    <xf numFmtId="0" fontId="54" fillId="44" borderId="0" xfId="0" applyFont="1" applyFill="1" applyAlignment="1">
      <alignment horizontal="center" vertical="center"/>
    </xf>
    <xf numFmtId="0" fontId="54" fillId="45" borderId="9" xfId="0" applyFont="1" applyFill="1" applyBorder="1" applyAlignment="1">
      <alignment horizontal="left" vertical="center"/>
    </xf>
    <xf numFmtId="0" fontId="54" fillId="46" borderId="30" xfId="0" applyFont="1" applyFill="1" applyBorder="1" applyAlignment="1">
      <alignment horizontal="left" vertical="center"/>
    </xf>
    <xf numFmtId="49" fontId="54" fillId="46" borderId="31" xfId="0" applyNumberFormat="1" applyFont="1" applyFill="1" applyBorder="1" applyAlignment="1">
      <alignment horizontal="center" vertical="center"/>
    </xf>
    <xf numFmtId="0" fontId="54" fillId="46" borderId="31" xfId="0" applyFont="1" applyFill="1" applyBorder="1" applyAlignment="1">
      <alignment horizontal="center" vertical="center"/>
    </xf>
    <xf numFmtId="0" fontId="54" fillId="45" borderId="30" xfId="0" applyFont="1" applyFill="1" applyBorder="1" applyAlignment="1">
      <alignment horizontal="left" vertical="center"/>
    </xf>
    <xf numFmtId="0" fontId="54" fillId="45" borderId="45" xfId="0" applyFont="1" applyFill="1" applyBorder="1" applyAlignment="1">
      <alignment horizontal="left" vertical="center"/>
    </xf>
    <xf numFmtId="49" fontId="54" fillId="5" borderId="34" xfId="0" applyNumberFormat="1" applyFont="1" applyFill="1" applyBorder="1" applyAlignment="1">
      <alignment horizontal="center" vertical="center"/>
    </xf>
    <xf numFmtId="0" fontId="54" fillId="5" borderId="34" xfId="0" applyFont="1" applyFill="1" applyBorder="1" applyAlignment="1">
      <alignment horizontal="center" vertical="center"/>
    </xf>
    <xf numFmtId="0" fontId="54" fillId="45" borderId="11" xfId="0" applyFont="1" applyFill="1" applyBorder="1" applyAlignment="1">
      <alignment horizontal="left" vertical="center"/>
    </xf>
    <xf numFmtId="49" fontId="54" fillId="35" borderId="14" xfId="0" applyNumberFormat="1" applyFont="1" applyFill="1" applyBorder="1" applyAlignment="1">
      <alignment horizontal="center" vertical="center"/>
    </xf>
    <xf numFmtId="0" fontId="54" fillId="35" borderId="14" xfId="0" applyFont="1" applyFill="1" applyBorder="1" applyAlignment="1">
      <alignment horizontal="center" vertical="center"/>
    </xf>
    <xf numFmtId="49" fontId="10" fillId="0" borderId="9" xfId="4" applyNumberFormat="1" applyFont="1" applyBorder="1" applyAlignment="1">
      <alignment horizontal="center" vertical="center" wrapText="1"/>
      <protection locked="0"/>
    </xf>
    <xf numFmtId="0" fontId="54" fillId="42" borderId="10" xfId="0" applyFont="1" applyFill="1" applyBorder="1" applyAlignment="1">
      <alignment horizontal="center" vertical="center"/>
    </xf>
    <xf numFmtId="0" fontId="54" fillId="37" borderId="10" xfId="0" applyFont="1" applyFill="1" applyBorder="1" applyAlignment="1">
      <alignment horizontal="center" vertical="center"/>
    </xf>
    <xf numFmtId="0" fontId="54" fillId="43" borderId="10" xfId="0" applyFont="1" applyFill="1" applyBorder="1" applyAlignment="1">
      <alignment horizontal="center" vertical="center"/>
    </xf>
    <xf numFmtId="0" fontId="54" fillId="44" borderId="10" xfId="0" applyFont="1" applyFill="1" applyBorder="1" applyAlignment="1">
      <alignment horizontal="center" vertical="center"/>
    </xf>
    <xf numFmtId="0" fontId="54" fillId="46" borderId="10" xfId="0" applyFont="1" applyFill="1" applyBorder="1" applyAlignment="1">
      <alignment horizontal="center" vertical="center"/>
    </xf>
    <xf numFmtId="0" fontId="54" fillId="5" borderId="37" xfId="0" applyFont="1" applyFill="1" applyBorder="1" applyAlignment="1">
      <alignment horizontal="center" vertical="center"/>
    </xf>
    <xf numFmtId="0" fontId="54" fillId="35" borderId="12" xfId="0" applyFont="1" applyFill="1" applyBorder="1" applyAlignment="1">
      <alignment horizontal="center" vertical="center"/>
    </xf>
    <xf numFmtId="49" fontId="10" fillId="0" borderId="10" xfId="4" applyNumberFormat="1" applyFont="1" applyBorder="1" applyAlignment="1">
      <alignment horizontal="center" vertical="center" wrapText="1"/>
      <protection locked="0"/>
    </xf>
    <xf numFmtId="0" fontId="28" fillId="0" borderId="34" xfId="4" applyBorder="1" applyAlignment="1">
      <alignment vertical="center" wrapText="1"/>
      <protection locked="0"/>
    </xf>
    <xf numFmtId="0" fontId="28" fillId="45" borderId="5" xfId="4" applyFill="1" applyBorder="1">
      <protection locked="0"/>
    </xf>
    <xf numFmtId="0" fontId="1" fillId="9" borderId="0" xfId="4" applyFont="1" applyFill="1">
      <protection locked="0"/>
    </xf>
    <xf numFmtId="0" fontId="10" fillId="23" borderId="2" xfId="4" applyFont="1" applyFill="1" applyBorder="1" applyAlignment="1">
      <alignment horizontal="center" vertical="center"/>
      <protection locked="0"/>
    </xf>
    <xf numFmtId="0" fontId="10" fillId="23" borderId="61" xfId="4" applyFont="1" applyFill="1" applyBorder="1" applyAlignment="1">
      <alignment horizontal="center" vertical="center"/>
      <protection locked="0"/>
    </xf>
    <xf numFmtId="0" fontId="28" fillId="0" borderId="9" xfId="4" applyBorder="1">
      <protection locked="0"/>
    </xf>
    <xf numFmtId="0" fontId="10" fillId="0" borderId="9" xfId="4" applyFont="1" applyBorder="1">
      <protection locked="0"/>
    </xf>
    <xf numFmtId="0" fontId="10" fillId="23" borderId="61" xfId="4" applyFont="1" applyFill="1" applyBorder="1">
      <protection locked="0"/>
    </xf>
    <xf numFmtId="0" fontId="10" fillId="23" borderId="62" xfId="4" applyFont="1" applyFill="1" applyBorder="1">
      <protection locked="0"/>
    </xf>
    <xf numFmtId="49" fontId="58" fillId="10" borderId="75" xfId="4" applyNumberFormat="1" applyFont="1" applyFill="1" applyBorder="1" applyAlignment="1">
      <alignment horizontal="center" vertical="center"/>
      <protection locked="0"/>
    </xf>
    <xf numFmtId="49" fontId="12" fillId="0" borderId="0" xfId="4" applyNumberFormat="1" applyFont="1" applyAlignment="1">
      <alignment horizontal="left" vertical="center"/>
      <protection locked="0"/>
    </xf>
    <xf numFmtId="49" fontId="10" fillId="0" borderId="7" xfId="4" applyNumberFormat="1" applyFont="1" applyBorder="1" applyAlignment="1">
      <alignment horizontal="center" vertical="center" wrapText="1"/>
      <protection locked="0"/>
    </xf>
    <xf numFmtId="49" fontId="10" fillId="0" borderId="8" xfId="4" applyNumberFormat="1" applyFont="1" applyBorder="1" applyAlignment="1">
      <alignment horizontal="center" vertical="center" wrapText="1"/>
      <protection locked="0"/>
    </xf>
    <xf numFmtId="0" fontId="10" fillId="0" borderId="11" xfId="4" applyFont="1" applyBorder="1" applyAlignment="1">
      <alignment horizontal="center" vertical="center"/>
      <protection locked="0"/>
    </xf>
    <xf numFmtId="49" fontId="10" fillId="0" borderId="12" xfId="4" applyNumberFormat="1" applyFont="1" applyBorder="1" applyAlignment="1">
      <alignment horizontal="center" vertical="center" wrapText="1"/>
      <protection locked="0"/>
    </xf>
    <xf numFmtId="0" fontId="3" fillId="50" borderId="9" xfId="4" applyFont="1" applyFill="1" applyBorder="1" applyAlignment="1">
      <alignment horizontal="center" vertical="center"/>
      <protection locked="0"/>
    </xf>
    <xf numFmtId="0" fontId="15" fillId="0" borderId="9" xfId="4" applyFont="1" applyBorder="1" applyAlignment="1">
      <alignment horizontal="center" vertical="center"/>
      <protection locked="0"/>
    </xf>
    <xf numFmtId="0" fontId="28" fillId="0" borderId="13" xfId="4" applyBorder="1">
      <protection locked="0"/>
    </xf>
    <xf numFmtId="0" fontId="10" fillId="0" borderId="0" xfId="4" applyFont="1" applyAlignment="1">
      <alignment horizontal="left" vertical="center"/>
      <protection locked="0"/>
    </xf>
    <xf numFmtId="0" fontId="59" fillId="0" borderId="0" xfId="4" applyFont="1">
      <protection locked="0"/>
    </xf>
    <xf numFmtId="0" fontId="15" fillId="0" borderId="0" xfId="4" applyFont="1">
      <protection locked="0"/>
    </xf>
    <xf numFmtId="0" fontId="44" fillId="0" borderId="0" xfId="4" applyFont="1" applyAlignment="1">
      <alignment horizontal="center" vertical="center"/>
      <protection locked="0"/>
    </xf>
    <xf numFmtId="0" fontId="44" fillId="0" borderId="0" xfId="4" applyFont="1">
      <protection locked="0"/>
    </xf>
    <xf numFmtId="0" fontId="44" fillId="0" borderId="0" xfId="4" applyFont="1" applyAlignment="1">
      <alignment horizontal="right" vertical="center"/>
      <protection locked="0"/>
    </xf>
    <xf numFmtId="0" fontId="12" fillId="0" borderId="9" xfId="4" applyFont="1" applyBorder="1">
      <protection locked="0"/>
    </xf>
    <xf numFmtId="0" fontId="79" fillId="0" borderId="0" xfId="4" applyFont="1" applyAlignment="1">
      <alignment horizontal="right" vertical="center"/>
      <protection locked="0"/>
    </xf>
    <xf numFmtId="0" fontId="10" fillId="0" borderId="13" xfId="4" applyFont="1" applyBorder="1">
      <protection locked="0"/>
    </xf>
    <xf numFmtId="0" fontId="8" fillId="0" borderId="0" xfId="4" applyFont="1" applyAlignment="1">
      <alignment horizontal="center" vertical="center" wrapText="1"/>
      <protection locked="0"/>
    </xf>
    <xf numFmtId="0" fontId="21" fillId="0" borderId="0" xfId="0" applyFont="1" applyAlignment="1">
      <alignment horizontal="center" vertical="center" wrapText="1"/>
    </xf>
    <xf numFmtId="0" fontId="10" fillId="0" borderId="34" xfId="4" applyFont="1" applyBorder="1">
      <protection locked="0"/>
    </xf>
    <xf numFmtId="0" fontId="44" fillId="0" borderId="0" xfId="4" applyFont="1" applyAlignment="1">
      <alignment vertical="center" wrapText="1"/>
      <protection locked="0"/>
    </xf>
    <xf numFmtId="0" fontId="63" fillId="0" borderId="0" xfId="0" applyFont="1">
      <alignment vertical="center"/>
    </xf>
    <xf numFmtId="0" fontId="4" fillId="0" borderId="0" xfId="0" applyFont="1" applyAlignment="1">
      <alignment horizontal="center" vertical="center"/>
    </xf>
    <xf numFmtId="0" fontId="13" fillId="0" borderId="0" xfId="0" applyFont="1">
      <alignment vertical="center"/>
    </xf>
    <xf numFmtId="0" fontId="17" fillId="0" borderId="0" xfId="0" applyFont="1" applyAlignment="1">
      <alignment horizontal="left" vertical="center" wrapText="1"/>
    </xf>
    <xf numFmtId="0" fontId="17" fillId="0" borderId="0" xfId="0" applyFont="1" applyAlignment="1">
      <alignment vertical="center" wrapText="1"/>
    </xf>
    <xf numFmtId="0" fontId="14" fillId="0" borderId="0" xfId="0" applyFont="1">
      <alignment vertical="center"/>
    </xf>
    <xf numFmtId="6" fontId="1" fillId="0" borderId="0" xfId="0" applyNumberFormat="1" applyFont="1" applyAlignment="1">
      <alignment horizontal="center" vertical="center"/>
    </xf>
    <xf numFmtId="0" fontId="67" fillId="0" borderId="0" xfId="0" applyFont="1">
      <alignment vertical="center"/>
    </xf>
    <xf numFmtId="0" fontId="67" fillId="0" borderId="0" xfId="0" applyFont="1" applyAlignment="1">
      <alignment horizontal="left" vertical="center"/>
    </xf>
    <xf numFmtId="0" fontId="17" fillId="9" borderId="9" xfId="0" applyFont="1" applyFill="1" applyBorder="1" applyAlignment="1">
      <alignment horizontal="center" vertical="center"/>
    </xf>
    <xf numFmtId="0" fontId="17" fillId="9" borderId="0" xfId="0" applyFont="1" applyFill="1" applyAlignment="1">
      <alignment horizontal="center" vertical="center"/>
    </xf>
    <xf numFmtId="0" fontId="17" fillId="0" borderId="9" xfId="0" applyFont="1" applyBorder="1" applyAlignment="1">
      <alignment horizontal="center" vertical="center"/>
    </xf>
    <xf numFmtId="0" fontId="17" fillId="0" borderId="0" xfId="0" applyFont="1" applyAlignment="1">
      <alignment horizontal="center" vertical="center"/>
    </xf>
    <xf numFmtId="0" fontId="17" fillId="10" borderId="9" xfId="0" applyFont="1" applyFill="1" applyBorder="1" applyAlignment="1">
      <alignment horizontal="center" vertical="center"/>
    </xf>
    <xf numFmtId="0" fontId="17" fillId="10" borderId="0" xfId="0" applyFont="1" applyFill="1" applyAlignment="1">
      <alignment horizontal="center" vertical="center"/>
    </xf>
    <xf numFmtId="0" fontId="17" fillId="0" borderId="0" xfId="0" applyFont="1" applyAlignment="1">
      <alignment horizontal="center" vertical="center" wrapText="1"/>
    </xf>
    <xf numFmtId="0" fontId="17" fillId="10" borderId="11" xfId="0" applyFont="1" applyFill="1" applyBorder="1" applyAlignment="1">
      <alignment horizontal="center" vertical="center"/>
    </xf>
    <xf numFmtId="0" fontId="17" fillId="10" borderId="14" xfId="0" applyFont="1" applyFill="1" applyBorder="1" applyAlignment="1">
      <alignment horizontal="center" vertical="center"/>
    </xf>
    <xf numFmtId="0" fontId="67" fillId="9" borderId="10" xfId="0" applyFont="1" applyFill="1" applyBorder="1" applyAlignment="1">
      <alignment horizontal="center" vertical="center"/>
    </xf>
    <xf numFmtId="0" fontId="67" fillId="0" borderId="10" xfId="0" applyFont="1" applyBorder="1" applyAlignment="1">
      <alignment horizontal="left" vertical="center"/>
    </xf>
    <xf numFmtId="0" fontId="67" fillId="10" borderId="10" xfId="0" applyFont="1" applyFill="1" applyBorder="1" applyAlignment="1">
      <alignment horizontal="left" vertical="center"/>
    </xf>
    <xf numFmtId="0" fontId="67" fillId="10" borderId="12" xfId="0" applyFont="1" applyFill="1" applyBorder="1" applyAlignment="1">
      <alignment horizontal="left" vertical="center"/>
    </xf>
    <xf numFmtId="0" fontId="17" fillId="9" borderId="10" xfId="0" applyFont="1" applyFill="1" applyBorder="1" applyAlignment="1">
      <alignment horizontal="center" vertical="center"/>
    </xf>
    <xf numFmtId="0" fontId="17" fillId="0" borderId="10" xfId="0" applyFont="1" applyBorder="1" applyAlignment="1">
      <alignment horizontal="center" vertical="center"/>
    </xf>
    <xf numFmtId="0" fontId="17" fillId="10" borderId="10" xfId="0" applyFont="1" applyFill="1" applyBorder="1" applyAlignment="1">
      <alignment horizontal="center" vertical="center"/>
    </xf>
    <xf numFmtId="0" fontId="17" fillId="10" borderId="12" xfId="0" applyFont="1" applyFill="1" applyBorder="1" applyAlignment="1">
      <alignment horizontal="center" vertical="center"/>
    </xf>
    <xf numFmtId="0" fontId="17" fillId="0" borderId="10" xfId="0" applyFont="1" applyBorder="1" applyAlignment="1">
      <alignment horizontal="left" vertical="center" wrapText="1"/>
    </xf>
    <xf numFmtId="0" fontId="17" fillId="0" borderId="12" xfId="0" applyFont="1" applyBorder="1" applyAlignment="1">
      <alignment horizontal="left" vertical="center" wrapText="1"/>
    </xf>
    <xf numFmtId="0" fontId="67" fillId="0" borderId="12" xfId="0" applyFont="1" applyBorder="1" applyAlignment="1">
      <alignment horizontal="left" vertical="center"/>
    </xf>
    <xf numFmtId="6" fontId="17" fillId="0" borderId="0" xfId="0" applyNumberFormat="1" applyFont="1" applyAlignment="1">
      <alignment horizontal="center" vertical="center"/>
    </xf>
    <xf numFmtId="0" fontId="28" fillId="5" borderId="12" xfId="0" applyFont="1" applyFill="1" applyBorder="1" applyAlignment="1">
      <alignment horizontal="left" vertical="center"/>
    </xf>
    <xf numFmtId="0" fontId="73" fillId="0" borderId="10" xfId="0" applyFont="1" applyBorder="1" applyAlignment="1">
      <alignment horizontal="center" vertical="center"/>
    </xf>
    <xf numFmtId="0" fontId="12" fillId="0" borderId="0" xfId="0" applyFont="1">
      <alignment vertical="center"/>
    </xf>
    <xf numFmtId="0" fontId="12" fillId="0" borderId="0" xfId="0" applyFont="1" applyAlignment="1">
      <alignment vertical="center" wrapText="1"/>
    </xf>
    <xf numFmtId="0" fontId="67" fillId="0" borderId="10" xfId="0" applyFont="1" applyBorder="1" applyAlignment="1">
      <alignment horizontal="left" vertical="center" indent="1"/>
    </xf>
    <xf numFmtId="0" fontId="67" fillId="10" borderId="10" xfId="0" applyFont="1" applyFill="1" applyBorder="1" applyAlignment="1">
      <alignment horizontal="left" vertical="center" indent="1"/>
    </xf>
    <xf numFmtId="0" fontId="67" fillId="0" borderId="12" xfId="0" applyFont="1" applyBorder="1" applyAlignment="1">
      <alignment horizontal="left" vertical="center" indent="1"/>
    </xf>
    <xf numFmtId="0" fontId="67" fillId="10" borderId="12" xfId="0" applyFont="1" applyFill="1" applyBorder="1" applyAlignment="1">
      <alignment horizontal="left" vertical="center" indent="1"/>
    </xf>
    <xf numFmtId="0" fontId="41" fillId="0" borderId="0" xfId="0" applyFont="1">
      <alignment vertical="center"/>
    </xf>
    <xf numFmtId="0" fontId="67" fillId="9" borderId="0" xfId="0" applyFont="1" applyFill="1" applyAlignment="1">
      <alignment horizontal="center" vertical="center"/>
    </xf>
    <xf numFmtId="0" fontId="85" fillId="10" borderId="0" xfId="0" applyFont="1" applyFill="1" applyAlignment="1">
      <alignment horizontal="left" vertical="top"/>
    </xf>
    <xf numFmtId="0" fontId="85" fillId="0" borderId="0" xfId="0" applyFont="1" applyAlignment="1">
      <alignment horizontal="left" vertical="center" wrapText="1"/>
    </xf>
    <xf numFmtId="0" fontId="85" fillId="10" borderId="0" xfId="0" applyFont="1" applyFill="1" applyAlignment="1">
      <alignment horizontal="left" vertical="center" wrapText="1"/>
    </xf>
    <xf numFmtId="0" fontId="85" fillId="0" borderId="0" xfId="0" applyFont="1" applyAlignment="1">
      <alignment horizontal="left" vertical="center"/>
    </xf>
    <xf numFmtId="0" fontId="85" fillId="10" borderId="0" xfId="0" applyFont="1" applyFill="1" applyAlignment="1">
      <alignment horizontal="left" vertical="center"/>
    </xf>
    <xf numFmtId="0" fontId="67" fillId="10" borderId="0" xfId="0" applyFont="1" applyFill="1" applyAlignment="1">
      <alignment horizontal="left" vertical="center"/>
    </xf>
    <xf numFmtId="0" fontId="67" fillId="0" borderId="14" xfId="0" applyFont="1" applyBorder="1" applyAlignment="1">
      <alignment horizontal="left" vertical="center"/>
    </xf>
    <xf numFmtId="0" fontId="28" fillId="0" borderId="0" xfId="0" applyFont="1">
      <alignment vertical="center"/>
    </xf>
    <xf numFmtId="0" fontId="67" fillId="10" borderId="0" xfId="0" applyFont="1" applyFill="1" applyAlignment="1">
      <alignment horizontal="left" vertical="center" wrapText="1"/>
    </xf>
    <xf numFmtId="0" fontId="86" fillId="0" borderId="0" xfId="0" applyFont="1" applyAlignment="1">
      <alignment horizontal="left" vertical="center"/>
    </xf>
    <xf numFmtId="165" fontId="67" fillId="0" borderId="10" xfId="0" applyNumberFormat="1" applyFont="1" applyBorder="1" applyAlignment="1">
      <alignment horizontal="left" vertical="center"/>
    </xf>
    <xf numFmtId="165" fontId="67" fillId="10" borderId="10" xfId="0" applyNumberFormat="1" applyFont="1" applyFill="1" applyBorder="1" applyAlignment="1">
      <alignment horizontal="left" vertical="center"/>
    </xf>
    <xf numFmtId="165" fontId="67" fillId="10" borderId="12" xfId="0" applyNumberFormat="1" applyFont="1" applyFill="1" applyBorder="1" applyAlignment="1">
      <alignment horizontal="left" vertical="center"/>
    </xf>
    <xf numFmtId="49" fontId="67" fillId="10" borderId="0" xfId="0" applyNumberFormat="1" applyFont="1" applyFill="1" applyAlignment="1">
      <alignment horizontal="left" vertical="center"/>
    </xf>
    <xf numFmtId="0" fontId="67" fillId="10" borderId="14" xfId="0" applyFont="1" applyFill="1" applyBorder="1" applyAlignment="1">
      <alignment horizontal="left" vertical="center"/>
    </xf>
    <xf numFmtId="0" fontId="87" fillId="0" borderId="0" xfId="0" applyFont="1">
      <alignment vertical="center"/>
    </xf>
    <xf numFmtId="0" fontId="31" fillId="9" borderId="10" xfId="0" applyFont="1" applyFill="1" applyBorder="1" applyAlignment="1">
      <alignment horizontal="center" vertical="center"/>
    </xf>
    <xf numFmtId="0" fontId="27" fillId="0" borderId="0" xfId="0" applyFont="1">
      <alignment vertical="center"/>
    </xf>
    <xf numFmtId="0" fontId="88" fillId="0" borderId="0" xfId="0" applyFont="1">
      <alignment vertical="center"/>
    </xf>
    <xf numFmtId="0" fontId="85" fillId="0" borderId="0" xfId="0" applyFont="1">
      <alignment vertical="center"/>
    </xf>
    <xf numFmtId="0" fontId="31" fillId="10" borderId="0" xfId="0" applyFont="1" applyFill="1" applyAlignment="1">
      <alignment horizontal="left" vertical="center"/>
    </xf>
    <xf numFmtId="0" fontId="31" fillId="10" borderId="10" xfId="0" applyFont="1" applyFill="1" applyBorder="1" applyAlignment="1">
      <alignment horizontal="left" vertical="center"/>
    </xf>
    <xf numFmtId="49" fontId="67" fillId="0" borderId="0" xfId="0" applyNumberFormat="1" applyFont="1" applyAlignment="1">
      <alignment horizontal="left" vertical="center"/>
    </xf>
    <xf numFmtId="0" fontId="31" fillId="0" borderId="0" xfId="0" applyFont="1" applyAlignment="1">
      <alignment horizontal="left" vertical="center"/>
    </xf>
    <xf numFmtId="0" fontId="86" fillId="10" borderId="0" xfId="0" applyFont="1" applyFill="1" applyAlignment="1">
      <alignment horizontal="left" vertical="center"/>
    </xf>
    <xf numFmtId="0" fontId="86" fillId="10" borderId="10" xfId="0" applyFont="1" applyFill="1" applyBorder="1" applyAlignment="1">
      <alignment horizontal="left" vertical="center"/>
    </xf>
    <xf numFmtId="0" fontId="86" fillId="9" borderId="10" xfId="0" applyFont="1" applyFill="1" applyBorder="1" applyAlignment="1">
      <alignment horizontal="center" vertical="center"/>
    </xf>
    <xf numFmtId="0" fontId="67" fillId="0" borderId="9" xfId="0" applyFont="1" applyBorder="1" applyAlignment="1">
      <alignment horizontal="center" vertical="center" wrapText="1"/>
    </xf>
    <xf numFmtId="0" fontId="63" fillId="0" borderId="0" xfId="0" applyFont="1" applyAlignment="1">
      <alignment vertical="center" wrapText="1"/>
    </xf>
    <xf numFmtId="0" fontId="89" fillId="10" borderId="10" xfId="0" applyFont="1" applyFill="1" applyBorder="1" applyAlignment="1">
      <alignment horizontal="left" vertical="center"/>
    </xf>
    <xf numFmtId="0" fontId="89" fillId="0" borderId="10" xfId="0" applyFont="1" applyBorder="1" applyAlignment="1">
      <alignment horizontal="left" vertical="center"/>
    </xf>
    <xf numFmtId="0" fontId="31" fillId="0" borderId="10" xfId="0" applyFont="1" applyBorder="1" applyAlignment="1">
      <alignment horizontal="left" vertical="center"/>
    </xf>
    <xf numFmtId="0" fontId="40" fillId="10" borderId="0" xfId="0" applyFont="1" applyFill="1" applyAlignment="1">
      <alignment horizontal="left" vertical="center" wrapText="1"/>
    </xf>
    <xf numFmtId="0" fontId="90" fillId="0" borderId="0" xfId="0" applyFont="1" applyAlignment="1">
      <alignment horizontal="center" vertical="center"/>
    </xf>
    <xf numFmtId="0" fontId="91" fillId="0" borderId="0" xfId="0" applyFont="1" applyAlignment="1">
      <alignment horizontal="center" vertical="center"/>
    </xf>
    <xf numFmtId="0" fontId="93" fillId="10" borderId="9" xfId="0" applyFont="1" applyFill="1" applyBorder="1" applyAlignment="1">
      <alignment horizontal="center" vertical="center"/>
    </xf>
    <xf numFmtId="0" fontId="93" fillId="10" borderId="0" xfId="0" applyFont="1" applyFill="1" applyAlignment="1">
      <alignment horizontal="center" vertical="center"/>
    </xf>
    <xf numFmtId="0" fontId="94" fillId="0" borderId="0" xfId="0" applyFont="1">
      <alignment vertical="center"/>
    </xf>
    <xf numFmtId="0" fontId="94" fillId="0" borderId="0" xfId="0" applyFont="1" applyAlignment="1">
      <alignment vertical="center" wrapText="1"/>
    </xf>
    <xf numFmtId="0" fontId="90" fillId="0" borderId="99" xfId="0" applyFont="1" applyBorder="1" applyAlignment="1">
      <alignment horizontal="center" vertical="center"/>
    </xf>
    <xf numFmtId="0" fontId="94" fillId="0" borderId="99" xfId="0" applyFont="1" applyBorder="1">
      <alignment vertical="center"/>
    </xf>
    <xf numFmtId="0" fontId="94" fillId="0" borderId="100" xfId="0" applyFont="1" applyBorder="1">
      <alignment vertical="center"/>
    </xf>
    <xf numFmtId="0" fontId="94" fillId="0" borderId="101" xfId="0" applyFont="1" applyBorder="1">
      <alignment vertical="center"/>
    </xf>
    <xf numFmtId="0" fontId="94" fillId="0" borderId="99" xfId="0" applyFont="1" applyBorder="1" applyAlignment="1">
      <alignment vertical="center" wrapText="1"/>
    </xf>
    <xf numFmtId="0" fontId="94" fillId="0" borderId="102" xfId="0" applyFont="1" applyBorder="1" applyAlignment="1">
      <alignment vertical="center" wrapText="1"/>
    </xf>
    <xf numFmtId="0" fontId="94" fillId="0" borderId="103" xfId="0" applyFont="1" applyBorder="1" applyAlignment="1">
      <alignment vertical="center" wrapText="1"/>
    </xf>
    <xf numFmtId="0" fontId="96" fillId="0" borderId="0" xfId="0" applyFont="1" applyAlignment="1">
      <alignment vertical="center" wrapText="1"/>
    </xf>
    <xf numFmtId="0" fontId="90" fillId="0" borderId="104" xfId="0" applyFont="1" applyBorder="1" applyAlignment="1">
      <alignment horizontal="center" vertical="center"/>
    </xf>
    <xf numFmtId="0" fontId="96" fillId="0" borderId="105" xfId="0" applyFont="1" applyBorder="1" applyAlignment="1">
      <alignment vertical="center" wrapText="1"/>
    </xf>
    <xf numFmtId="0" fontId="96" fillId="0" borderId="106" xfId="0" applyFont="1" applyBorder="1" applyAlignment="1">
      <alignment vertical="center" wrapText="1"/>
    </xf>
    <xf numFmtId="0" fontId="90" fillId="0" borderId="107" xfId="0" applyFont="1" applyBorder="1" applyAlignment="1">
      <alignment horizontal="center" vertical="center"/>
    </xf>
    <xf numFmtId="0" fontId="90" fillId="0" borderId="108" xfId="0" applyFont="1" applyBorder="1" applyAlignment="1">
      <alignment horizontal="center" vertical="center"/>
    </xf>
    <xf numFmtId="0" fontId="90" fillId="0" borderId="109" xfId="0" applyFont="1" applyBorder="1" applyAlignment="1">
      <alignment horizontal="center" vertical="center"/>
    </xf>
    <xf numFmtId="0" fontId="90" fillId="0" borderId="110" xfId="0" applyFont="1" applyBorder="1" applyAlignment="1">
      <alignment horizontal="center" vertical="center"/>
    </xf>
    <xf numFmtId="0" fontId="90" fillId="0" borderId="0" xfId="0" applyFont="1">
      <alignment vertical="center"/>
    </xf>
    <xf numFmtId="0" fontId="90" fillId="0" borderId="111" xfId="0" applyFont="1" applyBorder="1" applyAlignment="1">
      <alignment horizontal="center" vertical="center"/>
    </xf>
    <xf numFmtId="0" fontId="94" fillId="0" borderId="112" xfId="0" applyFont="1" applyBorder="1">
      <alignment vertical="center"/>
    </xf>
    <xf numFmtId="0" fontId="94" fillId="0" borderId="113" xfId="0" applyFont="1" applyBorder="1">
      <alignment vertical="center"/>
    </xf>
    <xf numFmtId="0" fontId="94" fillId="0" borderId="114" xfId="0" applyFont="1" applyBorder="1">
      <alignment vertical="center"/>
    </xf>
    <xf numFmtId="0" fontId="94" fillId="0" borderId="110" xfId="0" applyFont="1" applyBorder="1">
      <alignment vertical="center"/>
    </xf>
    <xf numFmtId="0" fontId="94" fillId="0" borderId="115" xfId="0" applyFont="1" applyBorder="1">
      <alignment vertical="center"/>
    </xf>
    <xf numFmtId="0" fontId="94" fillId="0" borderId="116" xfId="0" applyFont="1" applyBorder="1">
      <alignment vertical="center"/>
    </xf>
    <xf numFmtId="0" fontId="96" fillId="0" borderId="117" xfId="0" applyFont="1" applyBorder="1" applyAlignment="1">
      <alignment vertical="center" wrapText="1"/>
    </xf>
    <xf numFmtId="0" fontId="90" fillId="0" borderId="118" xfId="0" applyFont="1" applyBorder="1" applyAlignment="1">
      <alignment horizontal="center" vertical="center"/>
    </xf>
    <xf numFmtId="0" fontId="90" fillId="0" borderId="114" xfId="0" applyFont="1" applyBorder="1">
      <alignment vertical="center"/>
    </xf>
    <xf numFmtId="0" fontId="90" fillId="0" borderId="114" xfId="0" applyFont="1" applyBorder="1" applyAlignment="1">
      <alignment horizontal="center" vertical="center"/>
    </xf>
    <xf numFmtId="0" fontId="90" fillId="0" borderId="115" xfId="0" applyFont="1" applyBorder="1" applyAlignment="1">
      <alignment horizontal="center" vertical="center"/>
    </xf>
    <xf numFmtId="0" fontId="90" fillId="0" borderId="123" xfId="0" applyFont="1" applyBorder="1" applyAlignment="1">
      <alignment horizontal="center" vertical="center"/>
    </xf>
    <xf numFmtId="0" fontId="90" fillId="0" borderId="124" xfId="0" applyFont="1" applyBorder="1" applyAlignment="1">
      <alignment horizontal="center" vertical="center"/>
    </xf>
    <xf numFmtId="0" fontId="90" fillId="0" borderId="126" xfId="0" applyFont="1" applyBorder="1" applyAlignment="1">
      <alignment horizontal="center" vertical="center"/>
    </xf>
    <xf numFmtId="0" fontId="90" fillId="0" borderId="0" xfId="0" applyFont="1" applyAlignment="1">
      <alignment vertical="center" wrapText="1"/>
    </xf>
    <xf numFmtId="0" fontId="90" fillId="0" borderId="126" xfId="0" applyFont="1" applyBorder="1" applyAlignment="1">
      <alignment vertical="center" wrapText="1"/>
    </xf>
    <xf numFmtId="0" fontId="90" fillId="0" borderId="127" xfId="0" applyFont="1" applyBorder="1" applyAlignment="1">
      <alignment horizontal="center" vertical="center"/>
    </xf>
    <xf numFmtId="0" fontId="91" fillId="0" borderId="0" xfId="0" applyFont="1" applyAlignment="1">
      <alignment vertical="center" wrapText="1"/>
    </xf>
    <xf numFmtId="0" fontId="90" fillId="0" borderId="128" xfId="0" applyFont="1" applyBorder="1" applyAlignment="1">
      <alignment horizontal="center" vertical="center"/>
    </xf>
    <xf numFmtId="0" fontId="90" fillId="0" borderId="129" xfId="0" applyFont="1" applyBorder="1" applyAlignment="1">
      <alignment vertical="center" wrapText="1"/>
    </xf>
    <xf numFmtId="0" fontId="90" fillId="0" borderId="130" xfId="0" applyFont="1" applyBorder="1" applyAlignment="1">
      <alignment horizontal="center" vertical="center"/>
    </xf>
    <xf numFmtId="0" fontId="90" fillId="0" borderId="131" xfId="0" applyFont="1" applyBorder="1" applyAlignment="1">
      <alignment horizontal="center" vertical="center"/>
    </xf>
    <xf numFmtId="0" fontId="90" fillId="0" borderId="132" xfId="0" applyFont="1" applyBorder="1" applyAlignment="1">
      <alignment horizontal="center" vertical="center"/>
    </xf>
    <xf numFmtId="0" fontId="94" fillId="0" borderId="0" xfId="0" applyFont="1" applyAlignment="1">
      <alignment horizontal="center" vertical="center"/>
    </xf>
    <xf numFmtId="0" fontId="97" fillId="0" borderId="0" xfId="0" applyFont="1" applyAlignment="1">
      <alignment vertical="center" wrapText="1"/>
    </xf>
    <xf numFmtId="0" fontId="98" fillId="0" borderId="0" xfId="0" applyFont="1" applyAlignment="1">
      <alignment horizontal="center" vertical="center"/>
    </xf>
    <xf numFmtId="0" fontId="54" fillId="0" borderId="12" xfId="0" applyFont="1" applyBorder="1" applyAlignment="1">
      <alignment horizontal="center" vertical="center"/>
    </xf>
    <xf numFmtId="0" fontId="3" fillId="0" borderId="0" xfId="0" applyFont="1">
      <alignment vertical="center"/>
    </xf>
    <xf numFmtId="0" fontId="2" fillId="0" borderId="0" xfId="0" applyFont="1">
      <alignment vertical="center"/>
    </xf>
    <xf numFmtId="0" fontId="102" fillId="0" borderId="0" xfId="0" applyFont="1" applyAlignment="1">
      <alignment vertical="center" wrapText="1"/>
    </xf>
    <xf numFmtId="0" fontId="105" fillId="0" borderId="0" xfId="0" applyFont="1" applyAlignment="1">
      <alignment vertical="center" wrapText="1"/>
    </xf>
    <xf numFmtId="0" fontId="85" fillId="0" borderId="0" xfId="0" applyFont="1" applyAlignment="1">
      <alignment vertical="top" wrapText="1"/>
    </xf>
    <xf numFmtId="0" fontId="108" fillId="0" borderId="0" xfId="0" applyFont="1" applyAlignment="1">
      <alignment vertical="center" wrapText="1"/>
    </xf>
    <xf numFmtId="0" fontId="1" fillId="9" borderId="0" xfId="0" applyFont="1" applyFill="1" applyAlignment="1">
      <alignment horizontal="center" vertical="center"/>
    </xf>
    <xf numFmtId="49" fontId="1" fillId="0" borderId="9" xfId="0" applyNumberFormat="1" applyFont="1" applyBorder="1" applyAlignment="1">
      <alignment vertical="top" wrapText="1"/>
    </xf>
    <xf numFmtId="49" fontId="1" fillId="0" borderId="9" xfId="0" applyNumberFormat="1" applyFont="1" applyBorder="1">
      <alignment vertical="center"/>
    </xf>
    <xf numFmtId="49" fontId="1" fillId="0" borderId="0" xfId="0" applyNumberFormat="1" applyFont="1" applyAlignment="1">
      <alignment horizontal="left" vertical="center"/>
    </xf>
    <xf numFmtId="49" fontId="1" fillId="0" borderId="9"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9" xfId="0" applyNumberFormat="1" applyFont="1" applyBorder="1" applyAlignment="1">
      <alignment horizontal="left" vertical="center" wrapText="1"/>
    </xf>
    <xf numFmtId="49" fontId="1" fillId="0" borderId="0" xfId="0" applyNumberFormat="1" applyFont="1" applyAlignment="1">
      <alignment vertical="center" wrapText="1"/>
    </xf>
    <xf numFmtId="49" fontId="1" fillId="0" borderId="11" xfId="0" applyNumberFormat="1" applyFont="1" applyBorder="1" applyAlignment="1">
      <alignment vertical="center" wrapText="1"/>
    </xf>
    <xf numFmtId="49" fontId="1" fillId="0" borderId="10" xfId="0" applyNumberFormat="1" applyFont="1" applyBorder="1" applyAlignment="1">
      <alignment horizontal="left" vertical="center"/>
    </xf>
    <xf numFmtId="49" fontId="1" fillId="0" borderId="10" xfId="0" applyNumberFormat="1" applyFont="1" applyBorder="1" applyAlignment="1">
      <alignment horizontal="left" vertical="center" wrapText="1"/>
    </xf>
    <xf numFmtId="49" fontId="1" fillId="0" borderId="10" xfId="0" applyNumberFormat="1" applyFont="1" applyBorder="1" applyAlignment="1">
      <alignment vertical="center" wrapText="1"/>
    </xf>
    <xf numFmtId="0" fontId="1" fillId="0" borderId="10" xfId="0" applyFont="1" applyBorder="1" applyAlignment="1">
      <alignment horizontal="center" vertical="center"/>
    </xf>
    <xf numFmtId="0" fontId="110" fillId="0" borderId="0" xfId="0" applyFont="1">
      <alignment vertical="center"/>
    </xf>
    <xf numFmtId="0" fontId="44" fillId="0" borderId="0" xfId="0" applyFont="1" applyAlignment="1">
      <alignment vertical="center" wrapText="1"/>
    </xf>
    <xf numFmtId="0" fontId="112" fillId="0" borderId="0" xfId="0" applyFont="1">
      <alignment vertical="center"/>
    </xf>
    <xf numFmtId="0" fontId="24" fillId="0" borderId="0" xfId="0" applyFont="1">
      <alignment vertical="center"/>
    </xf>
    <xf numFmtId="0" fontId="113" fillId="0" borderId="0" xfId="0" applyFont="1">
      <alignment vertical="center"/>
    </xf>
    <xf numFmtId="0" fontId="10" fillId="0" borderId="0" xfId="0" applyFont="1" applyAlignment="1">
      <alignment vertical="center" wrapText="1"/>
    </xf>
    <xf numFmtId="0" fontId="15" fillId="0" borderId="30" xfId="0" applyFont="1" applyBorder="1">
      <alignment vertical="center"/>
    </xf>
    <xf numFmtId="0" fontId="15" fillId="0" borderId="9" xfId="0" applyFont="1" applyBorder="1">
      <alignment vertical="center"/>
    </xf>
    <xf numFmtId="0" fontId="15" fillId="0" borderId="45" xfId="0" applyFont="1" applyBorder="1">
      <alignment vertical="center"/>
    </xf>
    <xf numFmtId="0" fontId="15" fillId="0" borderId="11" xfId="0" applyFont="1" applyBorder="1">
      <alignment vertical="center"/>
    </xf>
    <xf numFmtId="0" fontId="11" fillId="0" borderId="0" xfId="0" applyFont="1" applyAlignment="1">
      <alignment horizontal="left"/>
    </xf>
    <xf numFmtId="0" fontId="17" fillId="0" borderId="0" xfId="0" applyFont="1">
      <alignment vertical="center"/>
    </xf>
    <xf numFmtId="0" fontId="17" fillId="0" borderId="149" xfId="0" applyFont="1" applyBorder="1" applyAlignment="1">
      <alignment horizontal="center" vertical="center"/>
    </xf>
    <xf numFmtId="0" fontId="17" fillId="0" borderId="9" xfId="0" applyFont="1" applyBorder="1" applyAlignment="1">
      <alignment horizontal="center" vertical="center" wrapText="1"/>
    </xf>
    <xf numFmtId="0" fontId="17" fillId="0" borderId="39" xfId="0" applyFont="1" applyBorder="1" applyAlignment="1">
      <alignment horizontal="center" vertical="center"/>
    </xf>
    <xf numFmtId="0" fontId="17" fillId="0" borderId="77" xfId="0" applyFont="1" applyBorder="1">
      <alignment vertical="center"/>
    </xf>
    <xf numFmtId="0" fontId="17" fillId="0" borderId="76" xfId="0" applyFont="1" applyBorder="1">
      <alignment vertical="center"/>
    </xf>
    <xf numFmtId="0" fontId="17" fillId="10" borderId="39" xfId="0" applyFont="1" applyFill="1" applyBorder="1" applyAlignment="1">
      <alignment horizontal="center" vertical="center" wrapText="1"/>
    </xf>
    <xf numFmtId="0" fontId="17" fillId="10" borderId="40" xfId="0" applyFont="1" applyFill="1" applyBorder="1" applyAlignment="1">
      <alignment horizontal="center" vertical="center"/>
    </xf>
    <xf numFmtId="0" fontId="17" fillId="10" borderId="9" xfId="0" applyFont="1" applyFill="1" applyBorder="1" applyAlignment="1">
      <alignment horizontal="center" vertical="center" wrapText="1"/>
    </xf>
    <xf numFmtId="0" fontId="17" fillId="10" borderId="39" xfId="0" applyFont="1" applyFill="1" applyBorder="1" applyAlignment="1">
      <alignment horizontal="center" vertical="center"/>
    </xf>
    <xf numFmtId="0" fontId="17" fillId="0" borderId="150" xfId="0" applyFont="1" applyBorder="1" applyAlignment="1">
      <alignment horizontal="center" vertical="center"/>
    </xf>
    <xf numFmtId="0" fontId="17" fillId="0" borderId="9" xfId="0" applyFont="1" applyBorder="1">
      <alignment vertical="center"/>
    </xf>
    <xf numFmtId="0" fontId="17" fillId="10" borderId="88" xfId="0" applyFont="1" applyFill="1" applyBorder="1" applyAlignment="1">
      <alignment horizontal="center" vertical="center"/>
    </xf>
    <xf numFmtId="0" fontId="12" fillId="0" borderId="88" xfId="0" applyFont="1" applyBorder="1" applyAlignment="1">
      <alignment horizontal="center" vertical="center"/>
    </xf>
    <xf numFmtId="0" fontId="17" fillId="0" borderId="11" xfId="0" applyFont="1" applyBorder="1">
      <alignment vertical="center"/>
    </xf>
    <xf numFmtId="0" fontId="17" fillId="10" borderId="152" xfId="0" applyFont="1" applyFill="1" applyBorder="1" applyAlignment="1">
      <alignment horizontal="center" vertical="center"/>
    </xf>
    <xf numFmtId="0" fontId="17" fillId="0" borderId="14" xfId="0" applyFont="1" applyBorder="1">
      <alignment vertical="center"/>
    </xf>
    <xf numFmtId="0" fontId="17" fillId="0" borderId="75" xfId="0" applyFont="1" applyBorder="1">
      <alignment vertical="center"/>
    </xf>
    <xf numFmtId="0" fontId="17" fillId="0" borderId="7" xfId="0" applyFont="1" applyBorder="1">
      <alignment vertical="center"/>
    </xf>
    <xf numFmtId="0" fontId="17" fillId="0" borderId="13" xfId="0" applyFont="1" applyBorder="1">
      <alignment vertical="center"/>
    </xf>
    <xf numFmtId="0" fontId="12" fillId="0" borderId="7" xfId="0" applyFont="1" applyBorder="1">
      <alignment vertical="center"/>
    </xf>
    <xf numFmtId="0" fontId="12" fillId="0" borderId="13" xfId="0" applyFont="1" applyBorder="1">
      <alignment vertical="center"/>
    </xf>
    <xf numFmtId="0" fontId="12" fillId="0" borderId="9" xfId="0" applyFont="1" applyBorder="1">
      <alignment vertical="center"/>
    </xf>
    <xf numFmtId="0" fontId="17" fillId="9" borderId="7" xfId="0" applyFont="1" applyFill="1" applyBorder="1">
      <alignment vertical="center"/>
    </xf>
    <xf numFmtId="0" fontId="17" fillId="9" borderId="13" xfId="0" applyFont="1" applyFill="1" applyBorder="1">
      <alignment vertical="center"/>
    </xf>
    <xf numFmtId="0" fontId="17" fillId="9" borderId="0" xfId="0" applyFont="1" applyFill="1">
      <alignment vertical="center"/>
    </xf>
    <xf numFmtId="0" fontId="12" fillId="0" borderId="11" xfId="0" applyFont="1" applyBorder="1">
      <alignment vertical="center"/>
    </xf>
    <xf numFmtId="0" fontId="12" fillId="0" borderId="14" xfId="0" applyFont="1" applyBorder="1">
      <alignment vertical="center"/>
    </xf>
    <xf numFmtId="0" fontId="17" fillId="0" borderId="8" xfId="0" applyFont="1" applyBorder="1" applyAlignment="1">
      <alignment horizontal="center" vertical="center"/>
    </xf>
    <xf numFmtId="0" fontId="49" fillId="2" borderId="7" xfId="0" applyFont="1" applyFill="1" applyBorder="1">
      <alignment vertical="center"/>
    </xf>
    <xf numFmtId="0" fontId="17" fillId="10" borderId="24" xfId="0" applyFont="1" applyFill="1" applyBorder="1" applyAlignment="1">
      <alignment horizontal="center" vertical="center"/>
    </xf>
    <xf numFmtId="0" fontId="12" fillId="0" borderId="24" xfId="0" applyFont="1" applyBorder="1" applyAlignment="1">
      <alignment horizontal="center" vertical="center"/>
    </xf>
    <xf numFmtId="0" fontId="49" fillId="2" borderId="13" xfId="0" applyFont="1" applyFill="1" applyBorder="1">
      <alignment vertical="center"/>
    </xf>
    <xf numFmtId="0" fontId="17" fillId="10" borderId="154" xfId="0" applyFont="1" applyFill="1" applyBorder="1" applyAlignment="1">
      <alignment horizontal="center" vertical="center"/>
    </xf>
    <xf numFmtId="0" fontId="17" fillId="10" borderId="155" xfId="0" applyFont="1" applyFill="1" applyBorder="1" applyAlignment="1">
      <alignment horizontal="center" vertical="center" wrapText="1"/>
    </xf>
    <xf numFmtId="0" fontId="17" fillId="0" borderId="156" xfId="0" applyFont="1" applyBorder="1" applyAlignment="1">
      <alignment horizontal="center" vertical="center" wrapText="1"/>
    </xf>
    <xf numFmtId="0" fontId="17" fillId="10" borderId="157" xfId="0" applyFont="1" applyFill="1" applyBorder="1" applyAlignment="1">
      <alignment horizontal="center" vertical="center" wrapText="1"/>
    </xf>
    <xf numFmtId="0" fontId="17" fillId="0" borderId="71" xfId="0" applyFont="1" applyBorder="1" applyAlignment="1">
      <alignment horizontal="center" vertical="center" wrapText="1"/>
    </xf>
    <xf numFmtId="0" fontId="17" fillId="0" borderId="14" xfId="0" applyFont="1" applyBorder="1" applyAlignment="1">
      <alignment horizontal="center" vertical="center"/>
    </xf>
    <xf numFmtId="0" fontId="12" fillId="0" borderId="8" xfId="0" applyFont="1" applyBorder="1">
      <alignment vertical="center"/>
    </xf>
    <xf numFmtId="0" fontId="12" fillId="0" borderId="10" xfId="0" applyFont="1" applyBorder="1">
      <alignment vertical="center"/>
    </xf>
    <xf numFmtId="0" fontId="17" fillId="9" borderId="8" xfId="0" applyFont="1" applyFill="1" applyBorder="1">
      <alignment vertical="center"/>
    </xf>
    <xf numFmtId="0" fontId="17" fillId="9" borderId="10" xfId="0" applyFont="1" applyFill="1" applyBorder="1">
      <alignment vertical="center"/>
    </xf>
    <xf numFmtId="0" fontId="12" fillId="0" borderId="12" xfId="0" applyFont="1" applyBorder="1">
      <alignment vertical="center"/>
    </xf>
    <xf numFmtId="0" fontId="17" fillId="0" borderId="8" xfId="0" applyFont="1" applyBorder="1">
      <alignment vertical="center"/>
    </xf>
    <xf numFmtId="0" fontId="17" fillId="0" borderId="10" xfId="0" applyFont="1" applyBorder="1">
      <alignment vertical="center"/>
    </xf>
    <xf numFmtId="0" fontId="17" fillId="0" borderId="12" xfId="0" applyFont="1" applyBorder="1">
      <alignment vertical="center"/>
    </xf>
    <xf numFmtId="0" fontId="17" fillId="10" borderId="156" xfId="0" applyFont="1" applyFill="1" applyBorder="1" applyAlignment="1">
      <alignment horizontal="center" vertical="center" wrapText="1"/>
    </xf>
    <xf numFmtId="0" fontId="17" fillId="10" borderId="71" xfId="0" applyFont="1" applyFill="1" applyBorder="1" applyAlignment="1">
      <alignment horizontal="center" vertical="center" wrapText="1"/>
    </xf>
    <xf numFmtId="0" fontId="98" fillId="2" borderId="7" xfId="4" applyFont="1" applyFill="1" applyBorder="1">
      <protection locked="0"/>
    </xf>
    <xf numFmtId="0" fontId="17" fillId="9" borderId="9" xfId="0" applyFont="1" applyFill="1" applyBorder="1">
      <alignment vertical="center"/>
    </xf>
    <xf numFmtId="0" fontId="1" fillId="10" borderId="9" xfId="4" applyFont="1" applyFill="1" applyBorder="1">
      <protection locked="0"/>
    </xf>
    <xf numFmtId="0" fontId="1" fillId="9" borderId="9" xfId="4" applyFont="1" applyFill="1" applyBorder="1">
      <protection locked="0"/>
    </xf>
    <xf numFmtId="0" fontId="17" fillId="10" borderId="9" xfId="4" applyFont="1" applyFill="1" applyBorder="1">
      <protection locked="0"/>
    </xf>
    <xf numFmtId="0" fontId="10" fillId="0" borderId="11" xfId="4" applyFont="1" applyBorder="1">
      <protection locked="0"/>
    </xf>
    <xf numFmtId="0" fontId="17" fillId="0" borderId="12" xfId="0" applyFont="1" applyBorder="1" applyAlignment="1">
      <alignment horizontal="center" vertical="center"/>
    </xf>
    <xf numFmtId="0" fontId="15" fillId="79" borderId="0" xfId="4" applyFont="1" applyFill="1" applyAlignment="1">
      <alignment horizontal="center" vertical="center"/>
      <protection locked="0"/>
    </xf>
    <xf numFmtId="0" fontId="15" fillId="79" borderId="0" xfId="4" applyFont="1" applyFill="1">
      <protection locked="0"/>
    </xf>
    <xf numFmtId="0" fontId="12" fillId="79" borderId="0" xfId="4" applyFont="1" applyFill="1">
      <protection locked="0"/>
    </xf>
    <xf numFmtId="0" fontId="10" fillId="79" borderId="0" xfId="4" applyFont="1" applyFill="1">
      <protection locked="0"/>
    </xf>
    <xf numFmtId="0" fontId="12" fillId="79" borderId="0" xfId="0" applyFont="1" applyFill="1">
      <alignment vertical="center"/>
    </xf>
    <xf numFmtId="0" fontId="17" fillId="10" borderId="10" xfId="0" applyFont="1" applyFill="1" applyBorder="1" applyAlignment="1">
      <alignment horizontal="center" vertical="center" wrapText="1"/>
    </xf>
    <xf numFmtId="0" fontId="17" fillId="0" borderId="164" xfId="0" applyFont="1" applyBorder="1" applyAlignment="1">
      <alignment horizontal="center" vertical="center" wrapText="1"/>
    </xf>
    <xf numFmtId="0" fontId="17" fillId="0" borderId="165" xfId="0" applyFont="1" applyBorder="1" applyAlignment="1">
      <alignment horizontal="center" vertical="center" wrapText="1"/>
    </xf>
    <xf numFmtId="0" fontId="49" fillId="2" borderId="8" xfId="0" applyFont="1" applyFill="1" applyBorder="1">
      <alignment vertical="center"/>
    </xf>
    <xf numFmtId="0" fontId="1" fillId="10" borderId="10" xfId="4" applyFont="1" applyFill="1" applyBorder="1">
      <protection locked="0"/>
    </xf>
    <xf numFmtId="0" fontId="10" fillId="0" borderId="10" xfId="4" applyFont="1" applyBorder="1">
      <protection locked="0"/>
    </xf>
    <xf numFmtId="0" fontId="12" fillId="0" borderId="10" xfId="4" applyFont="1" applyBorder="1">
      <protection locked="0"/>
    </xf>
    <xf numFmtId="0" fontId="10" fillId="0" borderId="12" xfId="4" applyFont="1" applyBorder="1">
      <protection locked="0"/>
    </xf>
    <xf numFmtId="0" fontId="10" fillId="0" borderId="0" xfId="4" applyFont="1" applyAlignment="1">
      <alignment horizontal="right" vertical="center"/>
      <protection locked="0"/>
    </xf>
    <xf numFmtId="0" fontId="12" fillId="79" borderId="0" xfId="4" applyFont="1" applyFill="1" applyAlignment="1">
      <alignment horizontal="right" vertical="center"/>
      <protection locked="0"/>
    </xf>
    <xf numFmtId="0" fontId="10" fillId="79" borderId="0" xfId="4" applyFont="1" applyFill="1" applyAlignment="1">
      <alignment horizontal="right" vertical="center"/>
      <protection locked="0"/>
    </xf>
    <xf numFmtId="0" fontId="12" fillId="0" borderId="0" xfId="4" applyFont="1" applyAlignment="1">
      <alignment horizontal="right" vertical="center"/>
      <protection locked="0"/>
    </xf>
    <xf numFmtId="0" fontId="117" fillId="54" borderId="155" xfId="0" applyFont="1" applyFill="1" applyBorder="1" applyAlignment="1">
      <alignment horizontal="center" vertical="center" wrapText="1" readingOrder="1"/>
    </xf>
    <xf numFmtId="0" fontId="12" fillId="54" borderId="156" xfId="0" applyFont="1" applyFill="1" applyBorder="1">
      <alignment vertical="center"/>
    </xf>
    <xf numFmtId="0" fontId="92" fillId="50" borderId="148" xfId="0" applyFont="1" applyFill="1" applyBorder="1" applyAlignment="1">
      <alignment horizontal="center" vertical="center" wrapText="1"/>
    </xf>
    <xf numFmtId="0" fontId="92" fillId="0" borderId="1" xfId="0" applyFont="1" applyBorder="1" applyAlignment="1">
      <alignment horizontal="center" vertical="center"/>
    </xf>
    <xf numFmtId="49" fontId="17" fillId="0" borderId="0" xfId="0" applyNumberFormat="1" applyFont="1">
      <alignment vertical="center"/>
    </xf>
    <xf numFmtId="0" fontId="92" fillId="50" borderId="157" xfId="0" applyFont="1" applyFill="1" applyBorder="1" applyAlignment="1">
      <alignment horizontal="center" vertical="center" wrapText="1"/>
    </xf>
    <xf numFmtId="0" fontId="92" fillId="0" borderId="71" xfId="0" applyFont="1" applyBorder="1" applyAlignment="1">
      <alignment horizontal="center" vertical="center"/>
    </xf>
    <xf numFmtId="165" fontId="17" fillId="0" borderId="10" xfId="0" applyNumberFormat="1" applyFont="1" applyBorder="1">
      <alignment vertical="center"/>
    </xf>
    <xf numFmtId="0" fontId="117" fillId="54" borderId="164" xfId="0" applyFont="1" applyFill="1" applyBorder="1" applyAlignment="1">
      <alignment horizontal="center" vertical="center"/>
    </xf>
    <xf numFmtId="0" fontId="117" fillId="0" borderId="0" xfId="0" applyFont="1">
      <alignment vertical="center"/>
    </xf>
    <xf numFmtId="0" fontId="92" fillId="0" borderId="70" xfId="0" applyFont="1" applyBorder="1" applyAlignment="1">
      <alignment horizontal="center" vertical="center"/>
    </xf>
    <xf numFmtId="0" fontId="92" fillId="0" borderId="0" xfId="0" applyFont="1" applyAlignment="1">
      <alignment horizontal="center" vertical="center"/>
    </xf>
    <xf numFmtId="0" fontId="92" fillId="0" borderId="7" xfId="0" applyFont="1" applyBorder="1" applyAlignment="1">
      <alignment horizontal="center" vertical="center"/>
    </xf>
    <xf numFmtId="0" fontId="92" fillId="0" borderId="9" xfId="0" applyFont="1" applyBorder="1" applyAlignment="1">
      <alignment horizontal="center" vertical="center"/>
    </xf>
    <xf numFmtId="0" fontId="92" fillId="0" borderId="0" xfId="0" applyFont="1" applyAlignment="1">
      <alignment horizontal="center" vertical="center" wrapText="1"/>
    </xf>
    <xf numFmtId="0" fontId="92" fillId="0" borderId="72" xfId="0" applyFont="1" applyBorder="1" applyAlignment="1">
      <alignment horizontal="center" vertical="center"/>
    </xf>
    <xf numFmtId="0" fontId="92" fillId="0" borderId="14" xfId="0" applyFont="1" applyBorder="1" applyAlignment="1">
      <alignment horizontal="center" vertical="center"/>
    </xf>
    <xf numFmtId="0" fontId="92" fillId="0" borderId="11" xfId="0" applyFont="1" applyBorder="1" applyAlignment="1">
      <alignment horizontal="center" vertical="center"/>
    </xf>
    <xf numFmtId="49" fontId="49" fillId="2" borderId="7" xfId="0" applyNumberFormat="1" applyFont="1" applyFill="1" applyBorder="1">
      <alignment vertical="center"/>
    </xf>
    <xf numFmtId="49" fontId="49" fillId="2" borderId="13" xfId="0" applyNumberFormat="1" applyFont="1" applyFill="1" applyBorder="1">
      <alignment vertical="center"/>
    </xf>
    <xf numFmtId="49" fontId="49" fillId="2" borderId="8" xfId="0" applyNumberFormat="1" applyFont="1" applyFill="1" applyBorder="1">
      <alignment vertical="center"/>
    </xf>
    <xf numFmtId="0" fontId="17" fillId="0" borderId="13" xfId="0" applyFont="1" applyBorder="1" applyAlignment="1">
      <alignment horizontal="center" vertical="center" wrapText="1"/>
    </xf>
    <xf numFmtId="49" fontId="17" fillId="0" borderId="11" xfId="0" applyNumberFormat="1" applyFont="1" applyBorder="1">
      <alignment vertical="center"/>
    </xf>
    <xf numFmtId="49" fontId="12" fillId="0" borderId="7" xfId="0" applyNumberFormat="1" applyFont="1" applyBorder="1">
      <alignment vertical="center"/>
    </xf>
    <xf numFmtId="49" fontId="12" fillId="0" borderId="9" xfId="0" applyNumberFormat="1" applyFont="1" applyBorder="1">
      <alignment vertical="center"/>
    </xf>
    <xf numFmtId="49" fontId="12" fillId="0" borderId="9" xfId="0" applyNumberFormat="1" applyFont="1" applyBorder="1" applyAlignment="1">
      <alignment vertical="center" wrapText="1"/>
    </xf>
    <xf numFmtId="168" fontId="12" fillId="0" borderId="9" xfId="0" applyNumberFormat="1" applyFont="1" applyBorder="1">
      <alignment vertical="center"/>
    </xf>
    <xf numFmtId="0" fontId="92" fillId="0" borderId="10" xfId="0" applyFont="1" applyBorder="1" applyAlignment="1">
      <alignment horizontal="center" vertical="center"/>
    </xf>
    <xf numFmtId="0" fontId="92" fillId="0" borderId="0" xfId="0" applyFont="1">
      <alignment vertical="center"/>
    </xf>
    <xf numFmtId="0" fontId="92" fillId="0" borderId="150" xfId="0" applyFont="1" applyBorder="1">
      <alignment vertical="center"/>
    </xf>
    <xf numFmtId="0" fontId="17" fillId="0" borderId="151" xfId="0" applyFont="1" applyBorder="1">
      <alignment vertical="center"/>
    </xf>
    <xf numFmtId="0" fontId="118" fillId="0" borderId="7" xfId="0" applyFont="1" applyBorder="1" applyAlignment="1">
      <alignment horizontal="center" vertical="center"/>
    </xf>
    <xf numFmtId="0" fontId="92" fillId="0" borderId="13" xfId="0" applyFont="1" applyBorder="1" applyAlignment="1">
      <alignment horizontal="left" vertical="center"/>
    </xf>
    <xf numFmtId="0" fontId="92" fillId="0" borderId="0" xfId="0" applyFont="1" applyAlignment="1">
      <alignment vertical="center" wrapText="1"/>
    </xf>
    <xf numFmtId="0" fontId="92" fillId="0" borderId="0" xfId="0" applyFont="1" applyAlignment="1">
      <alignment horizontal="left" vertical="center"/>
    </xf>
    <xf numFmtId="0" fontId="17" fillId="0" borderId="11" xfId="0" applyFont="1" applyBorder="1" applyAlignment="1">
      <alignment horizontal="center" vertical="center"/>
    </xf>
    <xf numFmtId="0" fontId="92" fillId="0" borderId="14" xfId="0" applyFont="1" applyBorder="1" applyAlignment="1">
      <alignment horizontal="left" vertical="center"/>
    </xf>
    <xf numFmtId="0" fontId="17" fillId="0" borderId="150" xfId="0" applyFont="1" applyBorder="1">
      <alignment vertical="center"/>
    </xf>
    <xf numFmtId="0" fontId="17" fillId="0" borderId="150" xfId="0" applyFont="1" applyBorder="1" applyAlignment="1">
      <alignment vertical="center" wrapText="1"/>
    </xf>
    <xf numFmtId="0" fontId="17" fillId="0" borderId="11" xfId="0" applyFont="1" applyBorder="1" applyAlignment="1">
      <alignment vertical="center" wrapText="1"/>
    </xf>
    <xf numFmtId="0" fontId="92" fillId="0" borderId="151" xfId="0" applyFont="1" applyBorder="1" applyAlignment="1">
      <alignment horizontal="left" vertical="center"/>
    </xf>
    <xf numFmtId="0" fontId="92" fillId="0" borderId="151" xfId="0" applyFont="1" applyBorder="1" applyAlignment="1">
      <alignment horizontal="center" vertical="center"/>
    </xf>
    <xf numFmtId="0" fontId="92" fillId="0" borderId="153" xfId="0" applyFont="1" applyBorder="1" applyAlignment="1">
      <alignment horizontal="center" vertical="center"/>
    </xf>
    <xf numFmtId="0" fontId="92" fillId="0" borderId="13" xfId="0" applyFont="1" applyBorder="1">
      <alignment vertical="center"/>
    </xf>
    <xf numFmtId="0" fontId="92" fillId="0" borderId="8" xfId="0" applyFont="1" applyBorder="1">
      <alignment vertical="center"/>
    </xf>
    <xf numFmtId="0" fontId="92" fillId="0" borderId="10" xfId="0" applyFont="1" applyBorder="1" applyAlignment="1">
      <alignment vertical="center" wrapText="1"/>
    </xf>
    <xf numFmtId="0" fontId="92" fillId="0" borderId="12" xfId="0" applyFont="1" applyBorder="1" applyAlignment="1">
      <alignment vertical="center" wrapText="1"/>
    </xf>
    <xf numFmtId="0" fontId="49" fillId="2" borderId="75" xfId="0" applyFont="1" applyFill="1" applyBorder="1">
      <alignment vertical="center"/>
    </xf>
    <xf numFmtId="0" fontId="17" fillId="0" borderId="166" xfId="0" applyFont="1" applyBorder="1">
      <alignment vertical="center"/>
    </xf>
    <xf numFmtId="0" fontId="49" fillId="2" borderId="167" xfId="0" applyFont="1" applyFill="1" applyBorder="1">
      <alignment vertical="center"/>
    </xf>
    <xf numFmtId="0" fontId="17" fillId="10" borderId="168" xfId="0" applyFont="1" applyFill="1" applyBorder="1">
      <alignment vertical="center"/>
    </xf>
    <xf numFmtId="0" fontId="17" fillId="10" borderId="167" xfId="0" applyFont="1" applyFill="1" applyBorder="1">
      <alignment vertical="center"/>
    </xf>
    <xf numFmtId="0" fontId="17" fillId="10" borderId="14" xfId="0" applyFont="1" applyFill="1" applyBorder="1">
      <alignment vertical="center"/>
    </xf>
    <xf numFmtId="0" fontId="17" fillId="0" borderId="153" xfId="0" applyFont="1" applyBorder="1">
      <alignment vertical="center"/>
    </xf>
    <xf numFmtId="0" fontId="17" fillId="10" borderId="169" xfId="0" applyFont="1" applyFill="1" applyBorder="1">
      <alignment vertical="center"/>
    </xf>
    <xf numFmtId="0" fontId="17" fillId="10" borderId="9" xfId="0" applyFont="1" applyFill="1" applyBorder="1">
      <alignment vertical="center"/>
    </xf>
    <xf numFmtId="0" fontId="17" fillId="10" borderId="171" xfId="0" applyFont="1" applyFill="1" applyBorder="1">
      <alignment vertical="center"/>
    </xf>
    <xf numFmtId="0" fontId="17" fillId="10" borderId="11" xfId="0" applyFont="1" applyFill="1" applyBorder="1">
      <alignment vertical="center"/>
    </xf>
    <xf numFmtId="0" fontId="17" fillId="10" borderId="172" xfId="0" applyFont="1" applyFill="1" applyBorder="1">
      <alignment vertical="center"/>
    </xf>
    <xf numFmtId="0" fontId="17" fillId="10" borderId="150" xfId="0" applyFont="1" applyFill="1" applyBorder="1">
      <alignment vertical="center"/>
    </xf>
    <xf numFmtId="0" fontId="49" fillId="2" borderId="173" xfId="0" applyFont="1" applyFill="1" applyBorder="1">
      <alignment vertical="center"/>
    </xf>
    <xf numFmtId="0" fontId="49" fillId="2" borderId="0" xfId="0" applyFont="1" applyFill="1">
      <alignment vertical="center"/>
    </xf>
    <xf numFmtId="0" fontId="17" fillId="0" borderId="173" xfId="0" applyFont="1" applyBorder="1" applyAlignment="1">
      <alignment horizontal="left" vertical="center"/>
    </xf>
    <xf numFmtId="0" fontId="17" fillId="0" borderId="0" xfId="0" applyFont="1" applyAlignment="1">
      <alignment horizontal="left" vertical="center"/>
    </xf>
    <xf numFmtId="0" fontId="17" fillId="0" borderId="41" xfId="0" applyFont="1" applyBorder="1">
      <alignment vertical="center"/>
    </xf>
    <xf numFmtId="0" fontId="120" fillId="0" borderId="0" xfId="0" applyFont="1">
      <alignment vertical="center"/>
    </xf>
    <xf numFmtId="0" fontId="17" fillId="0" borderId="77" xfId="0" applyFont="1" applyBorder="1" applyAlignment="1">
      <alignment horizontal="center" vertical="center"/>
    </xf>
    <xf numFmtId="0" fontId="73" fillId="0" borderId="0" xfId="0" applyFont="1">
      <alignment vertical="center"/>
    </xf>
    <xf numFmtId="0" fontId="17" fillId="0" borderId="75" xfId="0" applyFont="1" applyBorder="1" applyAlignment="1">
      <alignment horizontal="center" vertical="center"/>
    </xf>
    <xf numFmtId="0" fontId="17" fillId="10" borderId="75" xfId="0" applyFont="1" applyFill="1" applyBorder="1" applyAlignment="1">
      <alignment horizontal="center" vertical="center"/>
    </xf>
    <xf numFmtId="0" fontId="17" fillId="0" borderId="76" xfId="0" applyFont="1" applyBorder="1" applyAlignment="1">
      <alignment horizontal="center" vertical="center"/>
    </xf>
    <xf numFmtId="0" fontId="17" fillId="10" borderId="76" xfId="0" applyFont="1" applyFill="1" applyBorder="1" applyAlignment="1">
      <alignment horizontal="center" vertical="center"/>
    </xf>
    <xf numFmtId="0" fontId="17" fillId="0" borderId="41" xfId="0" applyFont="1" applyBorder="1" applyAlignment="1">
      <alignment horizontal="center" vertical="center"/>
    </xf>
    <xf numFmtId="0" fontId="17" fillId="10" borderId="41" xfId="0" applyFont="1" applyFill="1" applyBorder="1" applyAlignment="1">
      <alignment horizontal="center" vertical="center"/>
    </xf>
    <xf numFmtId="0" fontId="21" fillId="0" borderId="0" xfId="0" applyFont="1">
      <alignment vertical="center"/>
    </xf>
    <xf numFmtId="0" fontId="19" fillId="0" borderId="0" xfId="0" applyFont="1">
      <alignment vertical="center"/>
    </xf>
    <xf numFmtId="0" fontId="17" fillId="0" borderId="174" xfId="0" applyFont="1" applyBorder="1">
      <alignment vertical="center"/>
    </xf>
    <xf numFmtId="0" fontId="17" fillId="0" borderId="149" xfId="0" applyFont="1" applyBorder="1">
      <alignment vertical="center"/>
    </xf>
    <xf numFmtId="0" fontId="17" fillId="9" borderId="13" xfId="0" applyFont="1" applyFill="1" applyBorder="1" applyAlignment="1">
      <alignment horizontal="center" vertical="center"/>
    </xf>
    <xf numFmtId="0" fontId="17" fillId="0" borderId="35" xfId="0" applyFont="1" applyBorder="1">
      <alignment vertical="center"/>
    </xf>
    <xf numFmtId="0" fontId="17" fillId="0" borderId="39" xfId="0" applyFont="1" applyBorder="1">
      <alignment vertical="center"/>
    </xf>
    <xf numFmtId="0" fontId="17" fillId="0" borderId="40" xfId="0" applyFont="1" applyBorder="1">
      <alignment vertical="center"/>
    </xf>
    <xf numFmtId="0" fontId="17" fillId="0" borderId="34" xfId="0" applyFont="1" applyBorder="1">
      <alignment vertical="center"/>
    </xf>
    <xf numFmtId="0" fontId="17" fillId="0" borderId="175" xfId="0" applyFont="1" applyBorder="1">
      <alignment vertical="center"/>
    </xf>
    <xf numFmtId="0" fontId="67" fillId="0" borderId="0" xfId="0" applyFont="1" applyAlignment="1">
      <alignment vertical="center" wrapText="1"/>
    </xf>
    <xf numFmtId="0" fontId="1" fillId="0" borderId="0" xfId="0" applyFont="1" applyAlignment="1">
      <alignment vertical="top"/>
    </xf>
    <xf numFmtId="0" fontId="17" fillId="0" borderId="37" xfId="0" applyFont="1" applyBorder="1">
      <alignment vertical="center"/>
    </xf>
    <xf numFmtId="0" fontId="4" fillId="0" borderId="0" xfId="0" applyFont="1">
      <alignment vertical="center"/>
    </xf>
    <xf numFmtId="0" fontId="1" fillId="0" borderId="7" xfId="0" applyFont="1" applyBorder="1" applyAlignment="1">
      <alignment horizontal="center" vertical="center"/>
    </xf>
    <xf numFmtId="0" fontId="1" fillId="0" borderId="13" xfId="0" applyFont="1" applyBorder="1">
      <alignment vertical="center"/>
    </xf>
    <xf numFmtId="0" fontId="17" fillId="0" borderId="9" xfId="0" applyFont="1" applyBorder="1" applyAlignment="1">
      <alignment horizontal="left" vertical="center"/>
    </xf>
    <xf numFmtId="0" fontId="17" fillId="0" borderId="9" xfId="0" applyFont="1" applyBorder="1" applyAlignment="1"/>
    <xf numFmtId="0" fontId="76" fillId="0" borderId="0" xfId="4" applyFont="1">
      <protection locked="0"/>
    </xf>
    <xf numFmtId="0" fontId="1" fillId="0" borderId="13" xfId="0" applyFont="1" applyBorder="1" applyAlignment="1">
      <alignment horizontal="center" vertical="center"/>
    </xf>
    <xf numFmtId="0" fontId="17" fillId="0" borderId="10" xfId="0" applyFont="1" applyBorder="1" applyAlignment="1">
      <alignment horizontal="left" vertical="center"/>
    </xf>
    <xf numFmtId="0" fontId="73" fillId="0" borderId="10" xfId="0" applyFont="1" applyBorder="1">
      <alignment vertical="center"/>
    </xf>
    <xf numFmtId="0" fontId="28" fillId="0" borderId="7" xfId="0" applyFont="1" applyBorder="1">
      <alignment vertical="center"/>
    </xf>
    <xf numFmtId="0" fontId="28" fillId="0" borderId="9" xfId="0" applyFont="1" applyBorder="1">
      <alignment vertical="center"/>
    </xf>
    <xf numFmtId="0" fontId="28" fillId="0" borderId="13" xfId="0" applyFont="1" applyBorder="1">
      <alignment vertical="center"/>
    </xf>
    <xf numFmtId="168" fontId="12" fillId="0" borderId="0" xfId="0" applyNumberFormat="1" applyFont="1" applyAlignment="1">
      <alignment horizontal="left" vertical="center" wrapText="1"/>
    </xf>
    <xf numFmtId="0" fontId="123" fillId="0" borderId="0" xfId="0" applyFont="1" applyAlignment="1">
      <alignment horizontal="left" vertical="center"/>
    </xf>
    <xf numFmtId="0" fontId="12" fillId="0" borderId="0" xfId="0" applyFont="1" applyAlignment="1">
      <alignment horizontal="left" vertical="center" wrapText="1"/>
    </xf>
    <xf numFmtId="0" fontId="17" fillId="0" borderId="0" xfId="0" applyFont="1" applyAlignment="1">
      <alignment vertical="top"/>
    </xf>
    <xf numFmtId="0" fontId="17" fillId="0" borderId="0" xfId="0" applyFont="1" applyAlignment="1">
      <alignment vertical="top" wrapText="1"/>
    </xf>
    <xf numFmtId="0" fontId="73" fillId="0" borderId="0" xfId="0" applyFont="1" applyAlignment="1">
      <alignment vertical="top"/>
    </xf>
    <xf numFmtId="0" fontId="1" fillId="0" borderId="0" xfId="0" applyFont="1" applyAlignment="1">
      <alignment vertical="top" wrapText="1"/>
    </xf>
    <xf numFmtId="0" fontId="93" fillId="0" borderId="0" xfId="0" applyFont="1">
      <alignment vertical="center"/>
    </xf>
    <xf numFmtId="0" fontId="93" fillId="0" borderId="0" xfId="0" applyFont="1" applyAlignment="1">
      <alignment horizontal="left" vertical="center"/>
    </xf>
    <xf numFmtId="0" fontId="17" fillId="0" borderId="176" xfId="0" applyFont="1" applyBorder="1">
      <alignment vertical="center"/>
    </xf>
    <xf numFmtId="0" fontId="124" fillId="0" borderId="0" xfId="0" applyFont="1">
      <alignment vertical="center"/>
    </xf>
    <xf numFmtId="0" fontId="54" fillId="0" borderId="0" xfId="0" applyFont="1">
      <alignment vertical="center"/>
    </xf>
    <xf numFmtId="0" fontId="123" fillId="0" borderId="0" xfId="0" applyFont="1" applyAlignment="1">
      <alignment horizontal="left" vertical="center" wrapText="1"/>
    </xf>
    <xf numFmtId="0" fontId="17" fillId="0" borderId="8" xfId="0" applyFont="1" applyBorder="1" applyAlignment="1">
      <alignment horizontal="left" vertical="center" wrapText="1"/>
    </xf>
    <xf numFmtId="0" fontId="54" fillId="0" borderId="75" xfId="0" applyFont="1" applyBorder="1" applyAlignment="1">
      <alignment horizontal="justify" vertical="center"/>
    </xf>
    <xf numFmtId="0" fontId="54" fillId="0" borderId="76" xfId="0" applyFont="1" applyBorder="1" applyAlignment="1">
      <alignment horizontal="justify" vertical="center"/>
    </xf>
    <xf numFmtId="0" fontId="17" fillId="0" borderId="176" xfId="0" applyFont="1" applyBorder="1" applyAlignment="1">
      <alignment vertical="center" wrapText="1"/>
    </xf>
    <xf numFmtId="0" fontId="115" fillId="0" borderId="177" xfId="0" applyFont="1" applyBorder="1" applyAlignment="1">
      <alignment vertical="center" wrapText="1"/>
    </xf>
    <xf numFmtId="0" fontId="115" fillId="0" borderId="93" xfId="0" applyFont="1" applyBorder="1" applyAlignment="1">
      <alignment vertical="center" wrapText="1"/>
    </xf>
    <xf numFmtId="0" fontId="115" fillId="0" borderId="87" xfId="0" applyFont="1" applyBorder="1" applyAlignment="1">
      <alignment vertical="center" wrapText="1"/>
    </xf>
    <xf numFmtId="0" fontId="115" fillId="0" borderId="84" xfId="0" applyFont="1" applyBorder="1" applyAlignment="1">
      <alignment vertical="center" wrapText="1"/>
    </xf>
    <xf numFmtId="49" fontId="17" fillId="0" borderId="14" xfId="0" applyNumberFormat="1" applyFont="1" applyBorder="1">
      <alignment vertical="center"/>
    </xf>
    <xf numFmtId="0" fontId="17" fillId="0" borderId="0" xfId="0" applyFont="1" applyAlignment="1">
      <alignment horizontal="right" vertical="center"/>
    </xf>
    <xf numFmtId="0" fontId="93" fillId="0" borderId="10" xfId="0" applyFont="1" applyBorder="1">
      <alignment vertical="center"/>
    </xf>
    <xf numFmtId="0" fontId="28" fillId="0" borderId="11" xfId="0" applyFont="1" applyBorder="1">
      <alignment vertical="center"/>
    </xf>
    <xf numFmtId="0" fontId="1" fillId="9" borderId="39" xfId="0" applyFont="1" applyFill="1" applyBorder="1" applyAlignment="1">
      <alignment horizontal="center" vertical="center"/>
    </xf>
    <xf numFmtId="0" fontId="1" fillId="0" borderId="39" xfId="0" applyFont="1" applyBorder="1" applyAlignment="1">
      <alignment horizontal="center" vertical="center"/>
    </xf>
    <xf numFmtId="0" fontId="1" fillId="10" borderId="39" xfId="0" applyFont="1" applyFill="1" applyBorder="1" applyAlignment="1">
      <alignment horizontal="center" vertical="center"/>
    </xf>
    <xf numFmtId="0" fontId="1" fillId="10" borderId="0" xfId="0" applyFont="1" applyFill="1" applyAlignment="1">
      <alignment horizontal="center" vertical="center"/>
    </xf>
    <xf numFmtId="0" fontId="1" fillId="10" borderId="10" xfId="0" applyFont="1" applyFill="1" applyBorder="1" applyAlignment="1">
      <alignment horizontal="center" vertical="center"/>
    </xf>
    <xf numFmtId="0" fontId="1" fillId="0" borderId="178" xfId="0" applyFont="1" applyBorder="1" applyAlignment="1">
      <alignment horizontal="center" vertical="center"/>
    </xf>
    <xf numFmtId="0" fontId="1" fillId="0" borderId="12" xfId="0" applyFont="1" applyBorder="1" applyAlignment="1">
      <alignment horizontal="center" vertical="center"/>
    </xf>
    <xf numFmtId="0" fontId="1" fillId="10" borderId="178" xfId="0" applyFont="1" applyFill="1" applyBorder="1" applyAlignment="1">
      <alignment horizontal="center" vertical="center"/>
    </xf>
    <xf numFmtId="0" fontId="17" fillId="0" borderId="178" xfId="0" applyFont="1" applyBorder="1" applyAlignment="1">
      <alignment horizontal="center" vertical="center"/>
    </xf>
    <xf numFmtId="0" fontId="28" fillId="0" borderId="14" xfId="0" applyFont="1" applyBorder="1">
      <alignment vertical="center"/>
    </xf>
    <xf numFmtId="168" fontId="1" fillId="10" borderId="0" xfId="0" applyNumberFormat="1" applyFont="1" applyFill="1" applyAlignment="1">
      <alignment horizontal="center" vertical="center"/>
    </xf>
    <xf numFmtId="168" fontId="10" fillId="0" borderId="14" xfId="0" applyNumberFormat="1" applyFont="1" applyBorder="1" applyAlignment="1">
      <alignment horizontal="center" vertical="center"/>
    </xf>
    <xf numFmtId="0" fontId="10" fillId="0" borderId="12" xfId="0" applyFont="1" applyBorder="1" applyAlignment="1">
      <alignment horizontal="center" vertical="center"/>
    </xf>
    <xf numFmtId="0" fontId="1" fillId="0" borderId="14" xfId="0" applyFont="1" applyBorder="1" applyAlignment="1">
      <alignment horizontal="center" vertical="center"/>
    </xf>
    <xf numFmtId="168" fontId="12" fillId="0" borderId="0" xfId="0" applyNumberFormat="1" applyFont="1" applyAlignment="1">
      <alignment horizontal="center" vertical="center"/>
    </xf>
    <xf numFmtId="0" fontId="1" fillId="10" borderId="9" xfId="0" applyFont="1" applyFill="1" applyBorder="1" applyAlignment="1">
      <alignment horizontal="center" vertical="center"/>
    </xf>
    <xf numFmtId="0" fontId="1" fillId="10" borderId="11" xfId="0" applyFont="1" applyFill="1" applyBorder="1" applyAlignment="1">
      <alignment horizontal="center" vertical="center"/>
    </xf>
    <xf numFmtId="0" fontId="1" fillId="10" borderId="12" xfId="0" applyFont="1" applyFill="1" applyBorder="1" applyAlignment="1">
      <alignment horizontal="center" vertical="center"/>
    </xf>
    <xf numFmtId="0" fontId="12" fillId="5" borderId="9" xfId="0" applyFont="1" applyFill="1" applyBorder="1" applyAlignment="1">
      <alignment horizontal="center" vertical="center"/>
    </xf>
    <xf numFmtId="0" fontId="12" fillId="5" borderId="0" xfId="0" applyFont="1" applyFill="1" applyAlignment="1">
      <alignment horizontal="center" vertical="center"/>
    </xf>
    <xf numFmtId="169" fontId="17" fillId="0" borderId="0" xfId="0" applyNumberFormat="1" applyFont="1">
      <alignment vertical="center"/>
    </xf>
    <xf numFmtId="0" fontId="12" fillId="5" borderId="9" xfId="0" applyFont="1" applyFill="1" applyBorder="1" applyAlignment="1">
      <alignment vertical="center" wrapText="1"/>
    </xf>
    <xf numFmtId="0" fontId="12" fillId="5" borderId="9" xfId="0" applyFont="1" applyFill="1" applyBorder="1">
      <alignment vertical="center"/>
    </xf>
    <xf numFmtId="0" fontId="17" fillId="9" borderId="9" xfId="0" applyFont="1" applyFill="1" applyBorder="1" applyAlignment="1">
      <alignment vertical="center" wrapText="1"/>
    </xf>
    <xf numFmtId="0" fontId="17" fillId="10" borderId="0" xfId="0" applyFont="1" applyFill="1" applyAlignment="1">
      <alignment horizontal="left" vertical="center"/>
    </xf>
    <xf numFmtId="0" fontId="12" fillId="5" borderId="11" xfId="0" applyFont="1" applyFill="1" applyBorder="1" applyAlignment="1">
      <alignment horizontal="center" vertical="center"/>
    </xf>
    <xf numFmtId="0" fontId="17" fillId="9" borderId="150" xfId="0" applyFont="1" applyFill="1" applyBorder="1">
      <alignment vertical="center"/>
    </xf>
    <xf numFmtId="0" fontId="12" fillId="5" borderId="7" xfId="0" applyFont="1" applyFill="1" applyBorder="1">
      <alignment vertical="center"/>
    </xf>
    <xf numFmtId="0" fontId="17" fillId="0" borderId="11" xfId="0" applyFont="1" applyBorder="1" applyAlignment="1">
      <alignment horizontal="left" vertical="center"/>
    </xf>
    <xf numFmtId="0" fontId="17" fillId="0" borderId="14" xfId="0" applyFont="1" applyBorder="1" applyAlignment="1">
      <alignment horizontal="left" vertical="center"/>
    </xf>
    <xf numFmtId="0" fontId="12" fillId="5" borderId="10" xfId="0" applyFont="1" applyFill="1" applyBorder="1" applyAlignment="1">
      <alignment horizontal="center" vertical="center"/>
    </xf>
    <xf numFmtId="169" fontId="26" fillId="0" borderId="0" xfId="0" applyNumberFormat="1" applyFont="1" applyAlignment="1">
      <alignment horizontal="left" vertical="center"/>
    </xf>
    <xf numFmtId="2" fontId="12" fillId="0" borderId="0" xfId="0" applyNumberFormat="1" applyFont="1">
      <alignment vertical="center"/>
    </xf>
    <xf numFmtId="0" fontId="49" fillId="0" borderId="0" xfId="0" applyFont="1">
      <alignment vertical="center"/>
    </xf>
    <xf numFmtId="0" fontId="17" fillId="10" borderId="10" xfId="0" applyFont="1" applyFill="1" applyBorder="1" applyAlignment="1">
      <alignment horizontal="left" vertical="center"/>
    </xf>
    <xf numFmtId="0" fontId="17" fillId="0" borderId="12" xfId="0" applyFont="1" applyBorder="1" applyAlignment="1">
      <alignment horizontal="left" vertical="center"/>
    </xf>
    <xf numFmtId="0" fontId="17" fillId="9" borderId="8" xfId="0" applyFont="1" applyFill="1" applyBorder="1" applyAlignment="1">
      <alignment horizontal="center" vertical="center"/>
    </xf>
    <xf numFmtId="0" fontId="109" fillId="0" borderId="0" xfId="0" applyFont="1">
      <alignment vertical="center"/>
    </xf>
    <xf numFmtId="0" fontId="12" fillId="5" borderId="11" xfId="0" applyFont="1" applyFill="1" applyBorder="1">
      <alignment vertical="center"/>
    </xf>
    <xf numFmtId="0" fontId="12" fillId="0" borderId="0" xfId="0" applyFont="1" applyAlignment="1">
      <alignment horizontal="center" vertical="center" wrapText="1"/>
    </xf>
    <xf numFmtId="2" fontId="17" fillId="0" borderId="0" xfId="0" applyNumberFormat="1" applyFont="1">
      <alignment vertical="center"/>
    </xf>
    <xf numFmtId="0" fontId="54" fillId="0" borderId="77" xfId="0" applyFont="1" applyBorder="1" applyAlignment="1">
      <alignment horizontal="justify" vertical="center"/>
    </xf>
    <xf numFmtId="0" fontId="125" fillId="0" borderId="0" xfId="0" applyFont="1">
      <alignment vertical="center"/>
    </xf>
    <xf numFmtId="0" fontId="125" fillId="4" borderId="0" xfId="0" applyFont="1" applyFill="1">
      <alignment vertical="center"/>
    </xf>
    <xf numFmtId="0" fontId="28" fillId="83" borderId="0" xfId="0" applyFont="1" applyFill="1">
      <alignment vertical="center"/>
    </xf>
    <xf numFmtId="0" fontId="28" fillId="4" borderId="0" xfId="0" applyFont="1" applyFill="1">
      <alignment vertical="center"/>
    </xf>
    <xf numFmtId="0" fontId="28" fillId="51" borderId="0" xfId="0" applyFont="1" applyFill="1">
      <alignment vertical="center"/>
    </xf>
    <xf numFmtId="0" fontId="28" fillId="14" borderId="0" xfId="0" applyFont="1" applyFill="1">
      <alignment vertical="center"/>
    </xf>
    <xf numFmtId="0" fontId="28" fillId="84" borderId="0" xfId="0" applyFont="1" applyFill="1">
      <alignment vertical="center"/>
    </xf>
    <xf numFmtId="0" fontId="28" fillId="28" borderId="0" xfId="0" applyFont="1" applyFill="1">
      <alignment vertical="center"/>
    </xf>
    <xf numFmtId="0" fontId="28" fillId="85" borderId="0" xfId="0" applyFont="1" applyFill="1">
      <alignment vertical="center"/>
    </xf>
    <xf numFmtId="0" fontId="28" fillId="15" borderId="0" xfId="0" applyFont="1" applyFill="1">
      <alignment vertical="center"/>
    </xf>
    <xf numFmtId="0" fontId="28" fillId="19" borderId="0" xfId="0" applyFont="1" applyFill="1">
      <alignment vertical="center"/>
    </xf>
    <xf numFmtId="0" fontId="28" fillId="86" borderId="0" xfId="0" applyFont="1" applyFill="1">
      <alignment vertical="center"/>
    </xf>
    <xf numFmtId="0" fontId="67" fillId="0" borderId="0" xfId="0" applyFont="1" applyAlignment="1">
      <alignment vertical="center" shrinkToFit="1"/>
    </xf>
    <xf numFmtId="0" fontId="126" fillId="0" borderId="0" xfId="0" applyFont="1" applyAlignment="1"/>
    <xf numFmtId="0" fontId="127" fillId="0" borderId="0" xfId="0" applyFont="1" applyAlignment="1"/>
    <xf numFmtId="0" fontId="126" fillId="4" borderId="39" xfId="0" applyFont="1" applyFill="1" applyBorder="1" applyAlignment="1">
      <alignment vertical="center" wrapText="1"/>
    </xf>
    <xf numFmtId="0" fontId="127" fillId="4" borderId="0" xfId="0" applyFont="1" applyFill="1" applyAlignment="1"/>
    <xf numFmtId="0" fontId="125" fillId="0" borderId="0" xfId="0" applyFont="1" applyAlignment="1">
      <alignment horizontal="left"/>
    </xf>
    <xf numFmtId="0" fontId="128" fillId="0" borderId="0" xfId="0" applyFont="1">
      <alignment vertical="center"/>
    </xf>
    <xf numFmtId="0" fontId="128" fillId="0" borderId="0" xfId="0" applyFont="1" applyAlignment="1">
      <alignment horizontal="left"/>
    </xf>
    <xf numFmtId="0" fontId="129" fillId="0" borderId="0" xfId="0" applyFont="1" applyAlignment="1">
      <alignment horizontal="left"/>
    </xf>
    <xf numFmtId="0" fontId="128" fillId="83" borderId="0" xfId="0" applyFont="1" applyFill="1" applyAlignment="1">
      <alignment vertical="center" wrapText="1"/>
    </xf>
    <xf numFmtId="0" fontId="128" fillId="83" borderId="0" xfId="0" applyFont="1" applyFill="1" applyAlignment="1">
      <alignment horizontal="left"/>
    </xf>
    <xf numFmtId="0" fontId="129" fillId="0" borderId="0" xfId="0" applyFont="1" applyAlignment="1"/>
    <xf numFmtId="0" fontId="130" fillId="0" borderId="0" xfId="0" applyFont="1" applyAlignment="1">
      <alignment horizontal="left"/>
    </xf>
    <xf numFmtId="0" fontId="128" fillId="4" borderId="0" xfId="0" applyFont="1" applyFill="1">
      <alignment vertical="center"/>
    </xf>
    <xf numFmtId="0" fontId="128" fillId="4" borderId="0" xfId="0" applyFont="1" applyFill="1" applyAlignment="1">
      <alignment horizontal="left"/>
    </xf>
    <xf numFmtId="0" fontId="129" fillId="0" borderId="0" xfId="0" applyFont="1">
      <alignment vertical="center"/>
    </xf>
    <xf numFmtId="0" fontId="128" fillId="51" borderId="0" xfId="0" applyFont="1" applyFill="1">
      <alignment vertical="center"/>
    </xf>
    <xf numFmtId="0" fontId="128" fillId="51" borderId="0" xfId="0" applyFont="1" applyFill="1" applyAlignment="1">
      <alignment horizontal="left"/>
    </xf>
    <xf numFmtId="0" fontId="129" fillId="14" borderId="0" xfId="0" applyFont="1" applyFill="1" applyAlignment="1"/>
    <xf numFmtId="0" fontId="128" fillId="14" borderId="0" xfId="0" applyFont="1" applyFill="1" applyAlignment="1">
      <alignment horizontal="left"/>
    </xf>
    <xf numFmtId="0" fontId="129" fillId="84" borderId="0" xfId="0" applyFont="1" applyFill="1" applyAlignment="1"/>
    <xf numFmtId="0" fontId="128" fillId="84" borderId="0" xfId="0" applyFont="1" applyFill="1" applyAlignment="1">
      <alignment horizontal="left"/>
    </xf>
    <xf numFmtId="0" fontId="131" fillId="0" borderId="0" xfId="0" applyFont="1">
      <alignment vertical="center"/>
    </xf>
    <xf numFmtId="0" fontId="132" fillId="0" borderId="0" xfId="0" applyFont="1">
      <alignment vertical="center"/>
    </xf>
    <xf numFmtId="0" fontId="129" fillId="28" borderId="0" xfId="0" applyFont="1" applyFill="1">
      <alignment vertical="center"/>
    </xf>
    <xf numFmtId="0" fontId="128" fillId="28" borderId="0" xfId="0" applyFont="1" applyFill="1" applyAlignment="1">
      <alignment horizontal="left"/>
    </xf>
    <xf numFmtId="0" fontId="128" fillId="85" borderId="0" xfId="0" applyFont="1" applyFill="1">
      <alignment vertical="center"/>
    </xf>
    <xf numFmtId="0" fontId="128" fillId="85" borderId="0" xfId="0" applyFont="1" applyFill="1" applyAlignment="1">
      <alignment horizontal="left"/>
    </xf>
    <xf numFmtId="0" fontId="129" fillId="0" borderId="39" xfId="0" applyFont="1" applyBorder="1">
      <alignment vertical="center"/>
    </xf>
    <xf numFmtId="0" fontId="128" fillId="0" borderId="39" xfId="0" applyFont="1" applyBorder="1">
      <alignment vertical="center"/>
    </xf>
    <xf numFmtId="0" fontId="128" fillId="15" borderId="39" xfId="0" applyFont="1" applyFill="1" applyBorder="1">
      <alignment vertical="center"/>
    </xf>
    <xf numFmtId="0" fontId="128" fillId="15" borderId="0" xfId="0" applyFont="1" applyFill="1" applyAlignment="1">
      <alignment horizontal="left"/>
    </xf>
    <xf numFmtId="0" fontId="129" fillId="19" borderId="39" xfId="0" applyFont="1" applyFill="1" applyBorder="1">
      <alignment vertical="center"/>
    </xf>
    <xf numFmtId="0" fontId="128" fillId="19" borderId="0" xfId="0" applyFont="1" applyFill="1" applyAlignment="1">
      <alignment horizontal="left"/>
    </xf>
    <xf numFmtId="0" fontId="128" fillId="85" borderId="39" xfId="0" applyFont="1" applyFill="1" applyBorder="1">
      <alignment vertical="center"/>
    </xf>
    <xf numFmtId="16" fontId="127" fillId="0" borderId="0" xfId="0" applyNumberFormat="1" applyFont="1" applyAlignment="1"/>
    <xf numFmtId="0" fontId="129" fillId="4" borderId="0" xfId="0" applyFont="1" applyFill="1" applyAlignment="1">
      <alignment horizontal="left"/>
    </xf>
    <xf numFmtId="0" fontId="129" fillId="19" borderId="0" xfId="0" applyFont="1" applyFill="1" applyAlignment="1">
      <alignment horizontal="left"/>
    </xf>
    <xf numFmtId="0" fontId="133" fillId="0" borderId="0" xfId="0" applyFont="1" applyAlignment="1">
      <alignment horizontal="left"/>
    </xf>
    <xf numFmtId="0" fontId="129" fillId="14" borderId="0" xfId="0" applyFont="1" applyFill="1" applyAlignment="1">
      <alignment horizontal="left"/>
    </xf>
    <xf numFmtId="0" fontId="129" fillId="85" borderId="0" xfId="0" applyFont="1" applyFill="1" applyAlignment="1">
      <alignment horizontal="left"/>
    </xf>
    <xf numFmtId="0" fontId="130" fillId="4" borderId="0" xfId="0" applyFont="1" applyFill="1" applyAlignment="1">
      <alignment horizontal="left"/>
    </xf>
    <xf numFmtId="0" fontId="134" fillId="84" borderId="0" xfId="0" applyFont="1" applyFill="1" applyAlignment="1">
      <alignment horizontal="left"/>
    </xf>
    <xf numFmtId="0" fontId="134" fillId="0" borderId="0" xfId="0" applyFont="1" applyAlignment="1">
      <alignment horizontal="left"/>
    </xf>
    <xf numFmtId="0" fontId="130" fillId="28" borderId="0" xfId="0" applyFont="1" applyFill="1" applyAlignment="1">
      <alignment horizontal="left"/>
    </xf>
    <xf numFmtId="0" fontId="129" fillId="84" borderId="0" xfId="0" applyFont="1" applyFill="1" applyAlignment="1">
      <alignment horizontal="left"/>
    </xf>
    <xf numFmtId="0" fontId="129" fillId="83" borderId="0" xfId="0" applyFont="1" applyFill="1" applyAlignment="1">
      <alignment horizontal="left"/>
    </xf>
    <xf numFmtId="0" fontId="130" fillId="85" borderId="0" xfId="0" applyFont="1" applyFill="1" applyAlignment="1">
      <alignment horizontal="left"/>
    </xf>
    <xf numFmtId="0" fontId="130" fillId="19" borderId="0" xfId="0" applyFont="1" applyFill="1" applyAlignment="1">
      <alignment horizontal="left"/>
    </xf>
    <xf numFmtId="0" fontId="129" fillId="28" borderId="0" xfId="0" applyFont="1" applyFill="1" applyAlignment="1">
      <alignment horizontal="left"/>
    </xf>
    <xf numFmtId="0" fontId="40" fillId="0" borderId="0" xfId="0" applyFont="1" applyAlignment="1">
      <alignment vertical="center" shrinkToFit="1"/>
    </xf>
    <xf numFmtId="0" fontId="132" fillId="15" borderId="0" xfId="0" applyFont="1" applyFill="1" applyAlignment="1">
      <alignment horizontal="left"/>
    </xf>
    <xf numFmtId="0" fontId="129" fillId="15" borderId="0" xfId="0" applyFont="1" applyFill="1" applyAlignment="1">
      <alignment horizontal="left"/>
    </xf>
    <xf numFmtId="0" fontId="129" fillId="51" borderId="0" xfId="0" applyFont="1" applyFill="1" applyAlignment="1">
      <alignment horizontal="left"/>
    </xf>
    <xf numFmtId="0" fontId="131" fillId="0" borderId="0" xfId="0" applyFont="1" applyAlignment="1">
      <alignment horizontal="left"/>
    </xf>
    <xf numFmtId="0" fontId="131" fillId="86" borderId="0" xfId="0" applyFont="1" applyFill="1">
      <alignment vertical="center"/>
    </xf>
    <xf numFmtId="0" fontId="128" fillId="86" borderId="0" xfId="0" applyFont="1" applyFill="1" applyAlignment="1">
      <alignment horizontal="left"/>
    </xf>
    <xf numFmtId="0" fontId="129" fillId="0" borderId="39" xfId="0" applyFont="1" applyBorder="1" applyAlignment="1">
      <alignment vertical="center" wrapText="1"/>
    </xf>
    <xf numFmtId="0" fontId="129" fillId="0" borderId="0" xfId="0" applyFont="1" applyAlignment="1">
      <alignment vertical="center" wrapText="1"/>
    </xf>
    <xf numFmtId="0" fontId="132" fillId="86" borderId="0" xfId="0" applyFont="1" applyFill="1">
      <alignment vertical="center"/>
    </xf>
    <xf numFmtId="0" fontId="10" fillId="35" borderId="1" xfId="0" applyFont="1" applyFill="1" applyBorder="1" applyAlignment="1">
      <alignment horizontal="center" vertical="center"/>
    </xf>
    <xf numFmtId="0" fontId="135" fillId="0" borderId="0" xfId="0" applyFont="1" applyAlignment="1">
      <alignment horizontal="center" vertical="center"/>
    </xf>
    <xf numFmtId="0" fontId="1" fillId="87" borderId="1" xfId="0" applyFont="1" applyFill="1" applyBorder="1" applyAlignment="1">
      <alignment horizontal="center" vertical="center"/>
    </xf>
    <xf numFmtId="0" fontId="1" fillId="87" borderId="0" xfId="0" applyFont="1" applyFill="1" applyAlignment="1">
      <alignment horizontal="center" vertical="center"/>
    </xf>
    <xf numFmtId="0" fontId="10" fillId="88" borderId="5" xfId="0" applyFont="1" applyFill="1" applyBorder="1" applyAlignment="1">
      <alignment horizontal="center" vertical="center"/>
    </xf>
    <xf numFmtId="0" fontId="0" fillId="89" borderId="1" xfId="0" applyFill="1" applyBorder="1" applyAlignment="1">
      <alignment horizontal="center" vertical="center"/>
    </xf>
    <xf numFmtId="0" fontId="0" fillId="88" borderId="1" xfId="0" applyFill="1" applyBorder="1" applyAlignment="1">
      <alignment horizontal="center" vertical="center"/>
    </xf>
    <xf numFmtId="0" fontId="63" fillId="89" borderId="4" xfId="0" applyFont="1" applyFill="1" applyBorder="1" applyAlignment="1">
      <alignment horizontal="center" vertical="center"/>
    </xf>
    <xf numFmtId="0" fontId="0" fillId="0" borderId="0" xfId="0" applyAlignment="1">
      <alignment horizontal="center" vertical="center"/>
    </xf>
    <xf numFmtId="0" fontId="63" fillId="89" borderId="1" xfId="0" applyFont="1" applyFill="1" applyBorder="1" applyAlignment="1">
      <alignment horizontal="center" vertical="center"/>
    </xf>
    <xf numFmtId="0" fontId="92" fillId="0" borderId="0" xfId="0" applyFont="1" applyAlignment="1">
      <alignment horizontal="left" vertical="center" wrapText="1"/>
    </xf>
    <xf numFmtId="49" fontId="92" fillId="0" borderId="0" xfId="0" applyNumberFormat="1" applyFont="1" applyAlignment="1">
      <alignment horizontal="center" vertical="center" wrapText="1"/>
    </xf>
    <xf numFmtId="0" fontId="117" fillId="0" borderId="0" xfId="0" applyFont="1" applyAlignment="1">
      <alignment horizontal="center" vertical="center"/>
    </xf>
    <xf numFmtId="0" fontId="136" fillId="2" borderId="7" xfId="0" applyFont="1" applyFill="1" applyBorder="1" applyAlignment="1">
      <alignment horizontal="center" vertical="center" wrapText="1"/>
    </xf>
    <xf numFmtId="0" fontId="136" fillId="2" borderId="13" xfId="0" applyFont="1" applyFill="1" applyBorder="1" applyAlignment="1">
      <alignment horizontal="center" vertical="center" wrapText="1"/>
    </xf>
    <xf numFmtId="49" fontId="136" fillId="2" borderId="13" xfId="0" applyNumberFormat="1" applyFont="1" applyFill="1" applyBorder="1" applyAlignment="1">
      <alignment horizontal="center" vertical="center" wrapText="1"/>
    </xf>
    <xf numFmtId="0" fontId="92" fillId="0" borderId="9" xfId="0" applyFont="1" applyBorder="1" applyAlignment="1">
      <alignment horizontal="center" vertical="center" wrapText="1"/>
    </xf>
    <xf numFmtId="0" fontId="117" fillId="5" borderId="9" xfId="0" applyFont="1" applyFill="1" applyBorder="1" applyAlignment="1">
      <alignment horizontal="center" vertical="center" wrapText="1"/>
    </xf>
    <xf numFmtId="0" fontId="117" fillId="5" borderId="0" xfId="0" applyFont="1" applyFill="1" applyAlignment="1">
      <alignment vertical="center" wrapText="1"/>
    </xf>
    <xf numFmtId="0" fontId="139" fillId="5" borderId="0" xfId="0" applyFont="1" applyFill="1" applyAlignment="1">
      <alignment horizontal="center" vertical="center" wrapText="1"/>
    </xf>
    <xf numFmtId="49" fontId="117" fillId="5" borderId="0" xfId="0" applyNumberFormat="1" applyFont="1" applyFill="1" applyAlignment="1">
      <alignment horizontal="center" vertical="center" wrapText="1"/>
    </xf>
    <xf numFmtId="0" fontId="92" fillId="10" borderId="9" xfId="0" applyFont="1" applyFill="1" applyBorder="1" applyAlignment="1">
      <alignment horizontal="center" vertical="center" wrapText="1"/>
    </xf>
    <xf numFmtId="0" fontId="92" fillId="10" borderId="0" xfId="0" applyFont="1" applyFill="1" applyAlignment="1">
      <alignment horizontal="left" vertical="center" wrapText="1"/>
    </xf>
    <xf numFmtId="49" fontId="92" fillId="10" borderId="0" xfId="0" applyNumberFormat="1" applyFont="1" applyFill="1" applyAlignment="1">
      <alignment horizontal="center" vertical="center" wrapText="1"/>
    </xf>
    <xf numFmtId="0" fontId="136" fillId="2" borderId="8" xfId="0" applyFont="1" applyFill="1" applyBorder="1" applyAlignment="1">
      <alignment horizontal="center" vertical="center" wrapText="1"/>
    </xf>
    <xf numFmtId="0" fontId="117" fillId="5" borderId="0" xfId="0" applyFont="1" applyFill="1" applyAlignment="1">
      <alignment horizontal="center" vertical="center" wrapText="1"/>
    </xf>
    <xf numFmtId="0" fontId="117" fillId="5" borderId="10" xfId="0" applyFont="1" applyFill="1" applyBorder="1" applyAlignment="1">
      <alignment horizontal="left" vertical="center" wrapText="1"/>
    </xf>
    <xf numFmtId="0" fontId="92" fillId="0" borderId="10" xfId="0" applyFont="1" applyBorder="1" applyAlignment="1">
      <alignment horizontal="left" vertical="center" wrapText="1"/>
    </xf>
    <xf numFmtId="0" fontId="92" fillId="10" borderId="0" xfId="0" applyFont="1" applyFill="1" applyAlignment="1">
      <alignment horizontal="center" vertical="center" wrapText="1"/>
    </xf>
    <xf numFmtId="0" fontId="92" fillId="10" borderId="10" xfId="0" applyFont="1" applyFill="1" applyBorder="1" applyAlignment="1">
      <alignment horizontal="left" vertical="center" wrapText="1"/>
    </xf>
    <xf numFmtId="0" fontId="28" fillId="91" borderId="9" xfId="0" applyFont="1" applyFill="1" applyBorder="1" applyAlignment="1">
      <alignment horizontal="center" vertical="center" wrapText="1" readingOrder="1"/>
    </xf>
    <xf numFmtId="0" fontId="67" fillId="92" borderId="9" xfId="0" applyFont="1" applyFill="1" applyBorder="1" applyAlignment="1">
      <alignment horizontal="center" vertical="center" wrapText="1"/>
    </xf>
    <xf numFmtId="0" fontId="117" fillId="35" borderId="0" xfId="0" applyFont="1" applyFill="1" applyAlignment="1">
      <alignment horizontal="center" vertical="center" wrapText="1"/>
    </xf>
    <xf numFmtId="0" fontId="117" fillId="35" borderId="0" xfId="0" applyFont="1" applyFill="1" applyAlignment="1">
      <alignment horizontal="center" vertical="center"/>
    </xf>
    <xf numFmtId="0" fontId="117" fillId="35" borderId="0" xfId="0" applyFont="1" applyFill="1" applyAlignment="1">
      <alignment horizontal="left" vertical="center"/>
    </xf>
    <xf numFmtId="0" fontId="93" fillId="92" borderId="157" xfId="0" applyFont="1" applyFill="1" applyBorder="1" applyAlignment="1">
      <alignment horizontal="left" vertical="center" wrapText="1"/>
    </xf>
    <xf numFmtId="0" fontId="92" fillId="92" borderId="72" xfId="0" applyFont="1" applyFill="1" applyBorder="1" applyAlignment="1">
      <alignment vertical="center" wrapText="1"/>
    </xf>
    <xf numFmtId="0" fontId="28" fillId="91" borderId="0" xfId="0" applyFont="1" applyFill="1" applyAlignment="1">
      <alignment horizontal="center" vertical="center"/>
    </xf>
    <xf numFmtId="0" fontId="28" fillId="91" borderId="10" xfId="0" applyFont="1" applyFill="1" applyBorder="1" applyAlignment="1">
      <alignment horizontal="center" vertical="center"/>
    </xf>
    <xf numFmtId="0" fontId="67" fillId="92" borderId="48" xfId="0" applyFont="1" applyFill="1" applyBorder="1" applyAlignment="1">
      <alignment horizontal="center" vertical="center" wrapText="1"/>
    </xf>
    <xf numFmtId="0" fontId="67" fillId="92" borderId="18" xfId="0" applyFont="1" applyFill="1" applyBorder="1" applyAlignment="1">
      <alignment horizontal="center" vertical="center" wrapText="1"/>
    </xf>
    <xf numFmtId="0" fontId="67" fillId="0" borderId="48" xfId="0" applyFont="1" applyBorder="1" applyAlignment="1">
      <alignment horizontal="center" vertical="center" wrapText="1"/>
    </xf>
    <xf numFmtId="0" fontId="67" fillId="0" borderId="18" xfId="0" applyFont="1" applyBorder="1" applyAlignment="1">
      <alignment horizontal="center" vertical="center" wrapText="1"/>
    </xf>
    <xf numFmtId="0" fontId="117" fillId="35" borderId="0" xfId="0" applyFont="1" applyFill="1" applyAlignment="1">
      <alignment horizontal="centerContinuous" vertical="center"/>
    </xf>
    <xf numFmtId="0" fontId="117" fillId="35" borderId="0" xfId="0" applyFont="1" applyFill="1" applyAlignment="1">
      <alignment horizontal="left" vertical="center" wrapText="1"/>
    </xf>
    <xf numFmtId="49" fontId="17" fillId="0" borderId="0" xfId="0" applyNumberFormat="1" applyFont="1" applyAlignment="1">
      <alignment vertical="center" wrapText="1"/>
    </xf>
    <xf numFmtId="168" fontId="17" fillId="0" borderId="0" xfId="0" applyNumberFormat="1" applyFont="1">
      <alignment vertical="center"/>
    </xf>
    <xf numFmtId="0" fontId="92" fillId="10" borderId="11" xfId="0" applyFont="1" applyFill="1" applyBorder="1" applyAlignment="1">
      <alignment horizontal="center" vertical="center" wrapText="1"/>
    </xf>
    <xf numFmtId="49" fontId="92" fillId="10" borderId="14" xfId="0" applyNumberFormat="1" applyFont="1" applyFill="1" applyBorder="1" applyAlignment="1">
      <alignment horizontal="center" vertical="center" wrapText="1"/>
    </xf>
    <xf numFmtId="0" fontId="92" fillId="0" borderId="13" xfId="0" applyFont="1" applyBorder="1" applyAlignment="1">
      <alignment horizontal="center" vertical="center"/>
    </xf>
    <xf numFmtId="0" fontId="92" fillId="10" borderId="9" xfId="0" applyFont="1" applyFill="1" applyBorder="1" applyAlignment="1">
      <alignment horizontal="center" vertical="center"/>
    </xf>
    <xf numFmtId="49" fontId="92" fillId="10" borderId="0" xfId="0" applyNumberFormat="1" applyFont="1" applyFill="1" applyAlignment="1">
      <alignment horizontal="center" vertical="center"/>
    </xf>
    <xf numFmtId="0" fontId="92" fillId="10" borderId="14" xfId="0" applyFont="1" applyFill="1" applyBorder="1" applyAlignment="1">
      <alignment horizontal="center" vertical="center" wrapText="1"/>
    </xf>
    <xf numFmtId="0" fontId="92" fillId="10" borderId="12" xfId="0" applyFont="1" applyFill="1" applyBorder="1" applyAlignment="1">
      <alignment horizontal="left" vertical="center" wrapText="1"/>
    </xf>
    <xf numFmtId="0" fontId="92" fillId="0" borderId="13" xfId="0" applyFont="1" applyBorder="1" applyAlignment="1">
      <alignment horizontal="center" vertical="center" wrapText="1"/>
    </xf>
    <xf numFmtId="0" fontId="92" fillId="0" borderId="8" xfId="0" applyFont="1" applyBorder="1" applyAlignment="1">
      <alignment horizontal="left" vertical="center"/>
    </xf>
    <xf numFmtId="0" fontId="92" fillId="10" borderId="0" xfId="0" applyFont="1" applyFill="1" applyAlignment="1">
      <alignment horizontal="center" vertical="center"/>
    </xf>
    <xf numFmtId="0" fontId="92" fillId="0" borderId="10" xfId="0" applyFont="1" applyBorder="1" applyAlignment="1">
      <alignment horizontal="left" vertical="center"/>
    </xf>
    <xf numFmtId="0" fontId="92" fillId="10" borderId="7" xfId="0" applyFont="1" applyFill="1" applyBorder="1" applyAlignment="1">
      <alignment horizontal="center" vertical="center"/>
    </xf>
    <xf numFmtId="49" fontId="92" fillId="10" borderId="13" xfId="0" applyNumberFormat="1" applyFont="1" applyFill="1" applyBorder="1" applyAlignment="1">
      <alignment horizontal="center" vertical="center"/>
    </xf>
    <xf numFmtId="0" fontId="92" fillId="10" borderId="11" xfId="0" applyFont="1" applyFill="1" applyBorder="1" applyAlignment="1">
      <alignment horizontal="center" vertical="center"/>
    </xf>
    <xf numFmtId="49" fontId="92" fillId="10" borderId="14" xfId="0" applyNumberFormat="1" applyFont="1" applyFill="1" applyBorder="1" applyAlignment="1">
      <alignment horizontal="center" vertical="center"/>
    </xf>
    <xf numFmtId="0" fontId="92" fillId="0" borderId="14" xfId="0" applyFont="1" applyBorder="1" applyAlignment="1">
      <alignment horizontal="center" vertical="center" wrapText="1"/>
    </xf>
    <xf numFmtId="0" fontId="92" fillId="0" borderId="12" xfId="0" applyFont="1" applyBorder="1" applyAlignment="1">
      <alignment horizontal="left" vertical="center"/>
    </xf>
    <xf numFmtId="0" fontId="92" fillId="10" borderId="13" xfId="0" applyFont="1" applyFill="1" applyBorder="1" applyAlignment="1">
      <alignment horizontal="center" vertical="center" wrapText="1"/>
    </xf>
    <xf numFmtId="0" fontId="92" fillId="10" borderId="13" xfId="0" applyFont="1" applyFill="1" applyBorder="1" applyAlignment="1">
      <alignment horizontal="center" vertical="center"/>
    </xf>
    <xf numFmtId="0" fontId="92" fillId="10" borderId="8" xfId="0" applyFont="1" applyFill="1" applyBorder="1" applyAlignment="1">
      <alignment horizontal="left" vertical="center" wrapText="1"/>
    </xf>
    <xf numFmtId="0" fontId="92" fillId="10" borderId="14" xfId="0" applyFont="1" applyFill="1" applyBorder="1" applyAlignment="1">
      <alignment horizontal="center" vertical="center"/>
    </xf>
    <xf numFmtId="0" fontId="92" fillId="0" borderId="1" xfId="0" applyFont="1" applyBorder="1">
      <alignment vertical="center"/>
    </xf>
    <xf numFmtId="0" fontId="117" fillId="0" borderId="1" xfId="0" applyFont="1" applyBorder="1" applyAlignment="1">
      <alignment horizontal="center" vertical="center"/>
    </xf>
    <xf numFmtId="0" fontId="92" fillId="0" borderId="2" xfId="0" applyFont="1" applyBorder="1">
      <alignment vertical="center"/>
    </xf>
    <xf numFmtId="0" fontId="117" fillId="0" borderId="2" xfId="0" applyFont="1" applyBorder="1" applyAlignment="1">
      <alignment horizontal="center" vertical="center"/>
    </xf>
    <xf numFmtId="0" fontId="117" fillId="0" borderId="5" xfId="0" applyFont="1" applyBorder="1" applyAlignment="1">
      <alignment horizontal="center" vertical="center"/>
    </xf>
    <xf numFmtId="0" fontId="117" fillId="0" borderId="0" xfId="0" applyFont="1" applyAlignment="1">
      <alignment horizontal="left" vertical="center" wrapText="1"/>
    </xf>
    <xf numFmtId="0" fontId="84" fillId="90" borderId="147" xfId="0" applyFont="1" applyFill="1" applyBorder="1">
      <alignment vertical="center"/>
    </xf>
    <xf numFmtId="0" fontId="87" fillId="0" borderId="24" xfId="0" applyFont="1" applyBorder="1">
      <alignment vertical="center"/>
    </xf>
    <xf numFmtId="0" fontId="85" fillId="92" borderId="24" xfId="0" applyFont="1" applyFill="1" applyBorder="1">
      <alignment vertical="center"/>
    </xf>
    <xf numFmtId="0" fontId="85" fillId="92" borderId="154" xfId="0" applyFont="1" applyFill="1" applyBorder="1">
      <alignment vertical="center"/>
    </xf>
    <xf numFmtId="49" fontId="92" fillId="0" borderId="7" xfId="0" applyNumberFormat="1" applyFont="1" applyBorder="1" applyAlignment="1">
      <alignment horizontal="center" vertical="center"/>
    </xf>
    <xf numFmtId="49" fontId="92" fillId="0" borderId="13" xfId="0" applyNumberFormat="1" applyFont="1" applyBorder="1" applyAlignment="1">
      <alignment horizontal="center" vertical="center"/>
    </xf>
    <xf numFmtId="49" fontId="92" fillId="10" borderId="9" xfId="0" applyNumberFormat="1" applyFont="1" applyFill="1" applyBorder="1" applyAlignment="1">
      <alignment horizontal="center" vertical="center"/>
    </xf>
    <xf numFmtId="49" fontId="92" fillId="0" borderId="9" xfId="0" applyNumberFormat="1" applyFont="1" applyBorder="1" applyAlignment="1">
      <alignment horizontal="center" vertical="center"/>
    </xf>
    <xf numFmtId="49" fontId="92" fillId="0" borderId="0" xfId="0" applyNumberFormat="1" applyFont="1" applyAlignment="1">
      <alignment horizontal="center" vertical="center"/>
    </xf>
    <xf numFmtId="49" fontId="92" fillId="10" borderId="11" xfId="0" applyNumberFormat="1" applyFont="1" applyFill="1" applyBorder="1" applyAlignment="1">
      <alignment horizontal="center" vertical="center"/>
    </xf>
    <xf numFmtId="49" fontId="117" fillId="0" borderId="0" xfId="0" applyNumberFormat="1" applyFont="1" applyAlignment="1">
      <alignment horizontal="center" vertical="center"/>
    </xf>
    <xf numFmtId="49" fontId="117" fillId="0" borderId="0" xfId="0" applyNumberFormat="1" applyFont="1" applyAlignment="1">
      <alignment horizontal="left" vertical="center"/>
    </xf>
    <xf numFmtId="0" fontId="117" fillId="0" borderId="0" xfId="0" applyFont="1" applyAlignment="1">
      <alignment horizontal="left" vertical="center"/>
    </xf>
    <xf numFmtId="49" fontId="92" fillId="0" borderId="13" xfId="0" applyNumberFormat="1" applyFont="1" applyBorder="1" applyAlignment="1">
      <alignment horizontal="center" vertical="center" wrapText="1"/>
    </xf>
    <xf numFmtId="49" fontId="92" fillId="0" borderId="8" xfId="0" applyNumberFormat="1" applyFont="1" applyBorder="1" applyAlignment="1">
      <alignment horizontal="left" vertical="center" wrapText="1"/>
    </xf>
    <xf numFmtId="49" fontId="92" fillId="10" borderId="10" xfId="0" applyNumberFormat="1" applyFont="1" applyFill="1" applyBorder="1" applyAlignment="1">
      <alignment horizontal="left" vertical="center" wrapText="1"/>
    </xf>
    <xf numFmtId="49" fontId="92" fillId="0" borderId="10" xfId="0" applyNumberFormat="1" applyFont="1" applyBorder="1" applyAlignment="1">
      <alignment horizontal="left" vertical="center"/>
    </xf>
    <xf numFmtId="49" fontId="92" fillId="0" borderId="10" xfId="0" applyNumberFormat="1" applyFont="1" applyBorder="1" applyAlignment="1">
      <alignment horizontal="left" vertical="center" wrapText="1"/>
    </xf>
    <xf numFmtId="49" fontId="92" fillId="10" borderId="12" xfId="0" applyNumberFormat="1" applyFont="1" applyFill="1" applyBorder="1" applyAlignment="1">
      <alignment horizontal="left" vertical="center" wrapText="1"/>
    </xf>
    <xf numFmtId="49" fontId="117" fillId="0" borderId="0" xfId="0" applyNumberFormat="1" applyFont="1" applyAlignment="1">
      <alignment horizontal="center" vertical="center" wrapText="1"/>
    </xf>
    <xf numFmtId="0" fontId="117" fillId="0" borderId="0" xfId="0" applyFont="1" applyAlignment="1">
      <alignment horizontal="center" vertical="center" wrapText="1"/>
    </xf>
    <xf numFmtId="166" fontId="3" fillId="10" borderId="0" xfId="0" applyNumberFormat="1" applyFont="1" applyFill="1" applyAlignment="1">
      <alignment horizontal="center" vertical="center"/>
    </xf>
    <xf numFmtId="166" fontId="12" fillId="0" borderId="0" xfId="0" applyNumberFormat="1" applyFont="1" applyAlignment="1">
      <alignment horizontal="center" vertical="center"/>
    </xf>
    <xf numFmtId="166" fontId="3" fillId="5" borderId="0" xfId="0" applyNumberFormat="1" applyFont="1" applyFill="1" applyAlignment="1">
      <alignment horizontal="center" vertical="center"/>
    </xf>
    <xf numFmtId="166" fontId="12" fillId="0" borderId="14" xfId="0" applyNumberFormat="1" applyFont="1" applyBorder="1" applyAlignment="1">
      <alignment horizontal="center" vertical="center"/>
    </xf>
    <xf numFmtId="166" fontId="73" fillId="0" borderId="9" xfId="0" applyNumberFormat="1" applyFont="1" applyBorder="1" applyAlignment="1">
      <alignment horizontal="center" vertical="center"/>
    </xf>
    <xf numFmtId="166" fontId="73" fillId="0" borderId="0" xfId="0" applyNumberFormat="1" applyFont="1" applyAlignment="1">
      <alignment horizontal="center" vertical="center"/>
    </xf>
    <xf numFmtId="166" fontId="19" fillId="10" borderId="9" xfId="0" applyNumberFormat="1" applyFont="1" applyFill="1" applyBorder="1" applyAlignment="1">
      <alignment horizontal="center" vertical="center"/>
    </xf>
    <xf numFmtId="166" fontId="19" fillId="10" borderId="0" xfId="0" applyNumberFormat="1" applyFont="1" applyFill="1" applyAlignment="1">
      <alignment horizontal="center" vertical="center"/>
    </xf>
    <xf numFmtId="166" fontId="19" fillId="0" borderId="9" xfId="0" applyNumberFormat="1" applyFont="1" applyBorder="1" applyAlignment="1">
      <alignment horizontal="center" vertical="center"/>
    </xf>
    <xf numFmtId="166" fontId="19" fillId="0" borderId="0" xfId="0" applyNumberFormat="1" applyFont="1" applyAlignment="1">
      <alignment horizontal="center" vertical="center"/>
    </xf>
    <xf numFmtId="0" fontId="17" fillId="10" borderId="11" xfId="0" applyFont="1" applyFill="1" applyBorder="1" applyAlignment="1">
      <alignment horizontal="center" vertical="center" wrapText="1"/>
    </xf>
    <xf numFmtId="0" fontId="17" fillId="10" borderId="90" xfId="0" applyFont="1" applyFill="1" applyBorder="1" applyAlignment="1">
      <alignment horizontal="center" vertical="center"/>
    </xf>
    <xf numFmtId="0" fontId="17" fillId="0" borderId="90" xfId="0" applyFont="1" applyBorder="1" applyAlignment="1">
      <alignment horizontal="center" vertical="center"/>
    </xf>
    <xf numFmtId="166" fontId="3" fillId="5" borderId="10" xfId="0" applyNumberFormat="1" applyFont="1" applyFill="1" applyBorder="1" applyAlignment="1">
      <alignment horizontal="center" vertical="center"/>
    </xf>
    <xf numFmtId="166" fontId="12" fillId="0" borderId="10" xfId="0" applyNumberFormat="1" applyFont="1" applyBorder="1" applyAlignment="1">
      <alignment horizontal="center" vertical="center"/>
    </xf>
    <xf numFmtId="166" fontId="3" fillId="10" borderId="10" xfId="0" applyNumberFormat="1" applyFont="1" applyFill="1" applyBorder="1" applyAlignment="1">
      <alignment horizontal="center" vertical="center"/>
    </xf>
    <xf numFmtId="166" fontId="12" fillId="0" borderId="12" xfId="0" applyNumberFormat="1" applyFont="1" applyBorder="1" applyAlignment="1">
      <alignment horizontal="center" vertical="center"/>
    </xf>
    <xf numFmtId="166" fontId="3" fillId="10" borderId="9" xfId="0" applyNumberFormat="1" applyFont="1" applyFill="1" applyBorder="1">
      <alignment vertical="center"/>
    </xf>
    <xf numFmtId="166" fontId="73" fillId="0" borderId="10" xfId="0" applyNumberFormat="1" applyFont="1" applyBorder="1" applyAlignment="1">
      <alignment horizontal="center" vertical="center"/>
    </xf>
    <xf numFmtId="166" fontId="19" fillId="10" borderId="10" xfId="0" applyNumberFormat="1" applyFont="1" applyFill="1" applyBorder="1" applyAlignment="1">
      <alignment horizontal="center" vertical="center"/>
    </xf>
    <xf numFmtId="166" fontId="19" fillId="0" borderId="10" xfId="0" applyNumberFormat="1" applyFont="1" applyBorder="1" applyAlignment="1">
      <alignment horizontal="center" vertical="center"/>
    </xf>
    <xf numFmtId="0" fontId="73" fillId="5" borderId="10" xfId="0" applyFont="1" applyFill="1" applyBorder="1" applyAlignment="1">
      <alignment horizontal="center" vertical="center"/>
    </xf>
    <xf numFmtId="166" fontId="3" fillId="10" borderId="11" xfId="0" applyNumberFormat="1" applyFont="1" applyFill="1" applyBorder="1">
      <alignment vertical="center"/>
    </xf>
    <xf numFmtId="166" fontId="1" fillId="10" borderId="0" xfId="0" applyNumberFormat="1" applyFont="1" applyFill="1" applyAlignment="1">
      <alignment horizontal="center" vertical="center"/>
    </xf>
    <xf numFmtId="166" fontId="1" fillId="10" borderId="0" xfId="0" applyNumberFormat="1" applyFont="1" applyFill="1" applyAlignment="1">
      <alignment horizontal="right" vertical="center"/>
    </xf>
    <xf numFmtId="171" fontId="1" fillId="10" borderId="0" xfId="0" applyNumberFormat="1" applyFont="1" applyFill="1" applyAlignment="1">
      <alignment horizontal="left" vertical="center"/>
    </xf>
    <xf numFmtId="172" fontId="1" fillId="10" borderId="0" xfId="0" applyNumberFormat="1" applyFont="1" applyFill="1" applyAlignment="1">
      <alignment horizontal="right" vertical="center"/>
    </xf>
    <xf numFmtId="172" fontId="1" fillId="10" borderId="0" xfId="0" applyNumberFormat="1" applyFont="1" applyFill="1" applyAlignment="1">
      <alignment horizontal="left" vertical="center"/>
    </xf>
    <xf numFmtId="166" fontId="3" fillId="5" borderId="0" xfId="0" applyNumberFormat="1" applyFont="1" applyFill="1">
      <alignment vertical="center"/>
    </xf>
    <xf numFmtId="0" fontId="1" fillId="10" borderId="14" xfId="0" applyFont="1" applyFill="1" applyBorder="1" applyAlignment="1">
      <alignment horizontal="center" vertical="center"/>
    </xf>
    <xf numFmtId="172" fontId="1" fillId="10" borderId="14" xfId="0" applyNumberFormat="1" applyFont="1" applyFill="1" applyBorder="1" applyAlignment="1">
      <alignment horizontal="right" vertical="center"/>
    </xf>
    <xf numFmtId="172" fontId="1" fillId="10" borderId="14" xfId="0" applyNumberFormat="1" applyFont="1" applyFill="1" applyBorder="1" applyAlignment="1">
      <alignment horizontal="left" vertical="center"/>
    </xf>
    <xf numFmtId="166" fontId="1" fillId="5" borderId="0" xfId="0" applyNumberFormat="1" applyFont="1" applyFill="1" applyAlignment="1">
      <alignment horizontal="center" vertical="center"/>
    </xf>
    <xf numFmtId="166" fontId="1" fillId="5" borderId="0" xfId="0" applyNumberFormat="1" applyFont="1" applyFill="1" applyAlignment="1">
      <alignment horizontal="right" vertical="center"/>
    </xf>
    <xf numFmtId="166" fontId="1" fillId="5" borderId="14" xfId="0" applyNumberFormat="1" applyFont="1" applyFill="1" applyBorder="1" applyAlignment="1">
      <alignment horizontal="center" vertical="center"/>
    </xf>
    <xf numFmtId="166" fontId="1" fillId="5" borderId="14" xfId="0" applyNumberFormat="1" applyFont="1" applyFill="1" applyBorder="1" applyAlignment="1">
      <alignment horizontal="right" vertical="center"/>
    </xf>
    <xf numFmtId="171" fontId="1" fillId="5" borderId="10" xfId="0" applyNumberFormat="1" applyFont="1" applyFill="1" applyBorder="1" applyAlignment="1">
      <alignment horizontal="left" vertical="center"/>
    </xf>
    <xf numFmtId="171" fontId="1" fillId="5" borderId="12" xfId="0" applyNumberFormat="1" applyFont="1" applyFill="1" applyBorder="1" applyAlignment="1">
      <alignment horizontal="left" vertical="center"/>
    </xf>
    <xf numFmtId="0" fontId="143" fillId="0" borderId="0" xfId="0" applyFont="1">
      <alignment vertical="center"/>
    </xf>
    <xf numFmtId="0" fontId="17" fillId="0" borderId="85" xfId="0" applyFont="1" applyBorder="1" applyAlignment="1">
      <alignment horizontal="center" vertical="center"/>
    </xf>
    <xf numFmtId="0" fontId="17" fillId="0" borderId="98" xfId="0" applyFont="1" applyBorder="1" applyAlignment="1">
      <alignment horizontal="center" vertical="center"/>
    </xf>
    <xf numFmtId="0" fontId="17" fillId="10" borderId="0" xfId="0" applyFont="1" applyFill="1">
      <alignment vertical="center"/>
    </xf>
    <xf numFmtId="0" fontId="17" fillId="10" borderId="35" xfId="0" applyFont="1" applyFill="1" applyBorder="1">
      <alignment vertical="center"/>
    </xf>
    <xf numFmtId="0" fontId="93" fillId="0" borderId="0" xfId="0" applyFont="1" applyAlignment="1">
      <alignment vertical="center" wrapText="1"/>
    </xf>
    <xf numFmtId="0" fontId="49" fillId="0" borderId="0" xfId="0" applyFont="1" applyAlignment="1">
      <alignment horizontal="center" vertical="center"/>
    </xf>
    <xf numFmtId="168" fontId="49" fillId="0" borderId="0" xfId="0" applyNumberFormat="1" applyFont="1" applyAlignment="1">
      <alignment horizontal="center" vertical="center"/>
    </xf>
    <xf numFmtId="0" fontId="54" fillId="0" borderId="0" xfId="0" applyFont="1" applyAlignment="1">
      <alignment horizontal="left" vertical="center"/>
    </xf>
    <xf numFmtId="0" fontId="109" fillId="0" borderId="14" xfId="0" applyFont="1" applyBorder="1" applyAlignment="1">
      <alignment horizontal="center" vertical="center"/>
    </xf>
    <xf numFmtId="0" fontId="115" fillId="0" borderId="0" xfId="0" applyFont="1" applyAlignment="1">
      <alignment vertical="center" wrapText="1"/>
    </xf>
    <xf numFmtId="0" fontId="63" fillId="0" borderId="14" xfId="0" applyFont="1" applyBorder="1">
      <alignment vertical="center"/>
    </xf>
    <xf numFmtId="0" fontId="63" fillId="0" borderId="10" xfId="0" applyFont="1" applyBorder="1">
      <alignment vertical="center"/>
    </xf>
    <xf numFmtId="0" fontId="0" fillId="0" borderId="10" xfId="0" applyBorder="1">
      <alignment vertical="center"/>
    </xf>
    <xf numFmtId="0" fontId="63" fillId="0" borderId="12" xfId="0" applyFont="1" applyBorder="1">
      <alignment vertical="center"/>
    </xf>
    <xf numFmtId="0" fontId="171" fillId="0" borderId="0" xfId="0" applyFont="1" applyAlignment="1">
      <alignment vertical="top"/>
    </xf>
    <xf numFmtId="0" fontId="173" fillId="0" borderId="0" xfId="0" applyFont="1" applyAlignment="1">
      <alignment vertical="top"/>
    </xf>
    <xf numFmtId="0" fontId="109" fillId="0" borderId="0" xfId="0" applyFont="1" applyAlignment="1"/>
    <xf numFmtId="0" fontId="175" fillId="0" borderId="0" xfId="0" applyFont="1" applyAlignment="1">
      <alignment vertical="top" wrapText="1"/>
    </xf>
    <xf numFmtId="0" fontId="147" fillId="0" borderId="0" xfId="0" applyFont="1" applyAlignment="1">
      <alignment horizontal="center" vertical="center"/>
    </xf>
    <xf numFmtId="0" fontId="150" fillId="0" borderId="0" xfId="0" applyFont="1" applyAlignment="1">
      <alignment horizontal="center" vertical="center"/>
    </xf>
    <xf numFmtId="0" fontId="49" fillId="2" borderId="144" xfId="0" applyFont="1" applyFill="1" applyBorder="1" applyAlignment="1">
      <alignment horizontal="center" vertical="center"/>
    </xf>
    <xf numFmtId="0" fontId="49" fillId="76" borderId="145" xfId="0" applyFont="1" applyFill="1" applyBorder="1" applyAlignment="1">
      <alignment horizontal="center" vertical="center"/>
    </xf>
    <xf numFmtId="0" fontId="49" fillId="76" borderId="147" xfId="0" applyFont="1" applyFill="1" applyBorder="1" applyAlignment="1">
      <alignment horizontal="center" vertical="center"/>
    </xf>
    <xf numFmtId="0" fontId="49" fillId="2" borderId="198" xfId="0" applyFont="1" applyFill="1" applyBorder="1" applyAlignment="1">
      <alignment horizontal="center" vertical="center"/>
    </xf>
    <xf numFmtId="0" fontId="157" fillId="76" borderId="199" xfId="0" applyFont="1" applyFill="1" applyBorder="1" applyAlignment="1">
      <alignment horizontal="center" vertical="center"/>
    </xf>
    <xf numFmtId="166" fontId="114" fillId="2" borderId="199" xfId="0" applyNumberFormat="1" applyFont="1" applyFill="1" applyBorder="1" applyAlignment="1">
      <alignment horizontal="center" vertical="center"/>
    </xf>
    <xf numFmtId="166" fontId="158" fillId="76" borderId="199" xfId="0" applyNumberFormat="1" applyFont="1" applyFill="1" applyBorder="1" applyAlignment="1">
      <alignment horizontal="center" vertical="center"/>
    </xf>
    <xf numFmtId="0" fontId="159" fillId="2" borderId="199" xfId="0" applyFont="1" applyFill="1" applyBorder="1" applyAlignment="1">
      <alignment horizontal="center" vertical="center"/>
    </xf>
    <xf numFmtId="0" fontId="159" fillId="76" borderId="199" xfId="0" applyFont="1" applyFill="1" applyBorder="1" applyAlignment="1">
      <alignment horizontal="center" vertical="center"/>
    </xf>
    <xf numFmtId="0" fontId="49" fillId="2" borderId="199" xfId="0" applyFont="1" applyFill="1" applyBorder="1" applyAlignment="1">
      <alignment horizontal="right" vertical="center"/>
    </xf>
    <xf numFmtId="0" fontId="157" fillId="76" borderId="199" xfId="0" applyFont="1" applyFill="1" applyBorder="1" applyAlignment="1">
      <alignment horizontal="right" vertical="center"/>
    </xf>
    <xf numFmtId="166" fontId="49" fillId="2" borderId="199" xfId="0" applyNumberFormat="1" applyFont="1" applyFill="1" applyBorder="1" applyAlignment="1">
      <alignment horizontal="center" vertical="center"/>
    </xf>
    <xf numFmtId="166" fontId="157" fillId="76" borderId="199" xfId="0" applyNumberFormat="1" applyFont="1" applyFill="1" applyBorder="1" applyAlignment="1">
      <alignment horizontal="center" vertical="center"/>
    </xf>
    <xf numFmtId="166" fontId="157" fillId="76" borderId="207" xfId="0" applyNumberFormat="1" applyFont="1" applyFill="1" applyBorder="1" applyAlignment="1">
      <alignment horizontal="center" vertical="center"/>
    </xf>
    <xf numFmtId="0" fontId="4" fillId="2" borderId="144" xfId="0" applyFont="1" applyFill="1" applyBorder="1" applyAlignment="1">
      <alignment horizontal="center" vertical="center"/>
    </xf>
    <xf numFmtId="0" fontId="4" fillId="76" borderId="145" xfId="0" applyFont="1" applyFill="1" applyBorder="1" applyAlignment="1">
      <alignment horizontal="center" vertical="center"/>
    </xf>
    <xf numFmtId="0" fontId="4" fillId="76" borderId="147" xfId="0" applyFont="1" applyFill="1" applyBorder="1" applyAlignment="1">
      <alignment horizontal="center" vertical="center"/>
    </xf>
    <xf numFmtId="0" fontId="17" fillId="0" borderId="146" xfId="0" applyFont="1" applyBorder="1" applyAlignment="1">
      <alignment horizontal="center" vertical="center"/>
    </xf>
    <xf numFmtId="0" fontId="17" fillId="0" borderId="97" xfId="0" applyFont="1" applyBorder="1" applyAlignment="1">
      <alignment horizontal="center" vertical="center"/>
    </xf>
    <xf numFmtId="0" fontId="189" fillId="0" borderId="97" xfId="0" applyFont="1" applyBorder="1" applyAlignment="1">
      <alignment horizontal="center" vertical="center"/>
    </xf>
    <xf numFmtId="0" fontId="17" fillId="0" borderId="24" xfId="0" applyFont="1" applyBorder="1" applyAlignment="1">
      <alignment horizontal="center" vertical="center"/>
    </xf>
    <xf numFmtId="0" fontId="17" fillId="10" borderId="97" xfId="0" applyFont="1" applyFill="1" applyBorder="1" applyAlignment="1">
      <alignment horizontal="center" vertical="center"/>
    </xf>
    <xf numFmtId="0" fontId="17" fillId="32" borderId="97" xfId="0" applyFont="1" applyFill="1" applyBorder="1" applyAlignment="1">
      <alignment horizontal="center" vertical="center"/>
    </xf>
    <xf numFmtId="0" fontId="17" fillId="0" borderId="190" xfId="0" applyFont="1" applyBorder="1" applyAlignment="1">
      <alignment horizontal="center" vertical="center"/>
    </xf>
    <xf numFmtId="0" fontId="17" fillId="10" borderId="190" xfId="0" applyFont="1" applyFill="1" applyBorder="1" applyAlignment="1">
      <alignment horizontal="center" vertical="center"/>
    </xf>
    <xf numFmtId="0" fontId="17" fillId="32" borderId="27" xfId="0" applyFont="1" applyFill="1" applyBorder="1" applyAlignment="1">
      <alignment horizontal="center" vertical="center"/>
    </xf>
    <xf numFmtId="0" fontId="17" fillId="10" borderId="146" xfId="0" applyFont="1" applyFill="1" applyBorder="1" applyAlignment="1">
      <alignment horizontal="center" vertical="center"/>
    </xf>
    <xf numFmtId="0" fontId="189" fillId="10" borderId="97" xfId="0" applyFont="1" applyFill="1" applyBorder="1" applyAlignment="1">
      <alignment horizontal="center" vertical="center"/>
    </xf>
    <xf numFmtId="0" fontId="17" fillId="32" borderId="24" xfId="0" applyFont="1" applyFill="1" applyBorder="1" applyAlignment="1">
      <alignment horizontal="center" vertical="center"/>
    </xf>
    <xf numFmtId="0" fontId="1" fillId="10" borderId="97" xfId="0" applyFont="1" applyFill="1" applyBorder="1" applyAlignment="1">
      <alignment horizontal="center" vertical="center"/>
    </xf>
    <xf numFmtId="0" fontId="1" fillId="32" borderId="97" xfId="0" applyFont="1" applyFill="1" applyBorder="1" applyAlignment="1">
      <alignment horizontal="center" vertical="center"/>
    </xf>
    <xf numFmtId="0" fontId="17" fillId="0" borderId="91" xfId="0" applyFont="1" applyBorder="1" applyAlignment="1">
      <alignment horizontal="center" vertical="center"/>
    </xf>
    <xf numFmtId="0" fontId="17" fillId="0" borderId="23" xfId="0" applyFont="1" applyBorder="1" applyAlignment="1">
      <alignment horizontal="center" vertical="center"/>
    </xf>
    <xf numFmtId="0" fontId="17" fillId="32" borderId="190" xfId="0" applyFont="1" applyFill="1" applyBorder="1" applyAlignment="1">
      <alignment horizontal="center" vertical="center"/>
    </xf>
    <xf numFmtId="0" fontId="17" fillId="0" borderId="88" xfId="0" applyFont="1" applyBorder="1" applyAlignment="1">
      <alignment horizontal="center" vertical="center"/>
    </xf>
    <xf numFmtId="0" fontId="147" fillId="10" borderId="97" xfId="0" applyFont="1" applyFill="1" applyBorder="1" applyAlignment="1">
      <alignment horizontal="center" vertical="center"/>
    </xf>
    <xf numFmtId="0" fontId="165" fillId="32" borderId="24" xfId="0" applyFont="1" applyFill="1" applyBorder="1" applyAlignment="1">
      <alignment horizontal="center" vertical="center"/>
    </xf>
    <xf numFmtId="0" fontId="17" fillId="10" borderId="185" xfId="0" applyFont="1" applyFill="1" applyBorder="1" applyAlignment="1">
      <alignment horizontal="center" vertical="center"/>
    </xf>
    <xf numFmtId="0" fontId="17" fillId="32" borderId="186" xfId="0" applyFont="1" applyFill="1" applyBorder="1" applyAlignment="1">
      <alignment horizontal="center" vertical="center"/>
    </xf>
    <xf numFmtId="0" fontId="17" fillId="10" borderId="186" xfId="0" applyFont="1" applyFill="1" applyBorder="1" applyAlignment="1">
      <alignment horizontal="right" vertical="center"/>
    </xf>
    <xf numFmtId="0" fontId="17" fillId="32" borderId="152" xfId="0" applyFont="1" applyFill="1" applyBorder="1" applyAlignment="1">
      <alignment horizontal="right" vertical="center"/>
    </xf>
    <xf numFmtId="174" fontId="17" fillId="10" borderId="193" xfId="0" applyNumberFormat="1" applyFont="1" applyFill="1" applyBorder="1" applyAlignment="1">
      <alignment horizontal="left" vertical="center"/>
    </xf>
    <xf numFmtId="174" fontId="17" fillId="32" borderId="186" xfId="0" applyNumberFormat="1" applyFont="1" applyFill="1" applyBorder="1" applyAlignment="1">
      <alignment horizontal="left" vertical="center"/>
    </xf>
    <xf numFmtId="0" fontId="17" fillId="10" borderId="193" xfId="0" applyFont="1" applyFill="1" applyBorder="1" applyAlignment="1">
      <alignment horizontal="left" vertical="center"/>
    </xf>
    <xf numFmtId="0" fontId="17" fillId="32" borderId="186" xfId="0" applyFont="1" applyFill="1" applyBorder="1" applyAlignment="1">
      <alignment horizontal="left" vertical="center"/>
    </xf>
    <xf numFmtId="49" fontId="17" fillId="10" borderId="186" xfId="0" applyNumberFormat="1" applyFont="1" applyFill="1" applyBorder="1" applyAlignment="1">
      <alignment horizontal="center" vertical="center"/>
    </xf>
    <xf numFmtId="49" fontId="17" fillId="32" borderId="186" xfId="0" applyNumberFormat="1" applyFont="1" applyFill="1" applyBorder="1" applyAlignment="1">
      <alignment horizontal="center" vertical="center"/>
    </xf>
    <xf numFmtId="49" fontId="17" fillId="32" borderId="154" xfId="0" applyNumberFormat="1" applyFont="1" applyFill="1" applyBorder="1" applyAlignment="1">
      <alignment horizontal="center" vertical="center"/>
    </xf>
    <xf numFmtId="0" fontId="17" fillId="10" borderId="186" xfId="0" applyFont="1" applyFill="1" applyBorder="1" applyAlignment="1">
      <alignment horizontal="center" vertical="center"/>
    </xf>
    <xf numFmtId="0" fontId="17" fillId="0" borderId="186" xfId="0" applyFont="1" applyBorder="1" applyAlignment="1">
      <alignment horizontal="center" vertical="center"/>
    </xf>
    <xf numFmtId="0" fontId="17" fillId="0" borderId="152" xfId="0" applyFont="1" applyBorder="1" applyAlignment="1">
      <alignment horizontal="center" vertical="center"/>
    </xf>
    <xf numFmtId="0" fontId="147" fillId="10" borderId="186" xfId="0" applyFont="1" applyFill="1" applyBorder="1" applyAlignment="1">
      <alignment horizontal="center" vertical="center"/>
    </xf>
    <xf numFmtId="0" fontId="165" fillId="32" borderId="154" xfId="0" applyFont="1" applyFill="1" applyBorder="1" applyAlignment="1">
      <alignment horizontal="center" vertical="center"/>
    </xf>
    <xf numFmtId="0" fontId="109" fillId="0" borderId="0" xfId="0" applyFont="1" applyAlignment="1">
      <alignment horizontal="right"/>
    </xf>
    <xf numFmtId="166" fontId="109" fillId="0" borderId="0" xfId="0" applyNumberFormat="1" applyFont="1" applyAlignment="1">
      <alignment horizontal="left"/>
    </xf>
    <xf numFmtId="176" fontId="154" fillId="0" borderId="0" xfId="0" applyNumberFormat="1" applyFont="1" applyAlignment="1">
      <alignment horizontal="center" vertical="center"/>
    </xf>
    <xf numFmtId="177" fontId="154" fillId="0" borderId="14" xfId="0" applyNumberFormat="1" applyFont="1" applyBorder="1" applyAlignment="1">
      <alignment horizontal="center" vertical="center"/>
    </xf>
    <xf numFmtId="177" fontId="154" fillId="0" borderId="0" xfId="0" applyNumberFormat="1" applyFont="1" applyAlignment="1">
      <alignment horizontal="center" vertical="center"/>
    </xf>
    <xf numFmtId="179" fontId="154" fillId="0" borderId="0" xfId="0" applyNumberFormat="1" applyFont="1" applyAlignment="1">
      <alignment horizontal="center" vertical="center"/>
    </xf>
    <xf numFmtId="179" fontId="154" fillId="0" borderId="14" xfId="0" applyNumberFormat="1" applyFont="1" applyBorder="1" applyAlignment="1">
      <alignment horizontal="center" vertical="center"/>
    </xf>
    <xf numFmtId="181" fontId="154" fillId="0" borderId="14" xfId="0" applyNumberFormat="1" applyFont="1" applyBorder="1" applyAlignment="1">
      <alignment horizontal="center" vertical="center"/>
    </xf>
    <xf numFmtId="181" fontId="154" fillId="0" borderId="0" xfId="0" applyNumberFormat="1" applyFont="1" applyAlignment="1">
      <alignment horizontal="center" vertical="center"/>
    </xf>
    <xf numFmtId="175" fontId="12" fillId="10" borderId="194" xfId="0" applyNumberFormat="1" applyFont="1" applyFill="1" applyBorder="1" applyAlignment="1">
      <alignment horizontal="center" vertical="center" wrapText="1"/>
    </xf>
    <xf numFmtId="175" fontId="12" fillId="19" borderId="13" xfId="0" applyNumberFormat="1" applyFont="1" applyFill="1" applyBorder="1" applyAlignment="1">
      <alignment horizontal="center" vertical="center" wrapText="1"/>
    </xf>
    <xf numFmtId="175" fontId="12" fillId="5" borderId="194" xfId="0" applyNumberFormat="1" applyFont="1" applyFill="1" applyBorder="1" applyAlignment="1">
      <alignment horizontal="center" vertical="center"/>
    </xf>
    <xf numFmtId="175" fontId="12" fillId="6" borderId="138" xfId="0" applyNumberFormat="1" applyFont="1" applyFill="1" applyBorder="1" applyAlignment="1">
      <alignment horizontal="center" vertical="center"/>
    </xf>
    <xf numFmtId="0" fontId="160" fillId="10" borderId="13" xfId="0" applyFont="1" applyFill="1" applyBorder="1" applyAlignment="1">
      <alignment vertical="center" wrapText="1"/>
    </xf>
    <xf numFmtId="0" fontId="160" fillId="95" borderId="205" xfId="0" applyFont="1" applyFill="1" applyBorder="1" applyAlignment="1">
      <alignment vertical="center" wrapText="1"/>
    </xf>
    <xf numFmtId="180" fontId="12" fillId="5" borderId="78" xfId="0" applyNumberFormat="1" applyFont="1" applyFill="1" applyBorder="1" applyAlignment="1">
      <alignment horizontal="center" vertical="center"/>
    </xf>
    <xf numFmtId="180" fontId="12" fillId="96" borderId="0" xfId="0" applyNumberFormat="1" applyFont="1" applyFill="1" applyAlignment="1">
      <alignment horizontal="center" vertical="center"/>
    </xf>
    <xf numFmtId="0" fontId="17" fillId="5" borderId="97" xfId="0" applyFont="1" applyFill="1" applyBorder="1" applyAlignment="1">
      <alignment horizontal="center" vertical="center"/>
    </xf>
    <xf numFmtId="0" fontId="17" fillId="6" borderId="97" xfId="0" applyFont="1" applyFill="1" applyBorder="1" applyAlignment="1">
      <alignment horizontal="center" vertical="center"/>
    </xf>
    <xf numFmtId="0" fontId="17" fillId="6" borderId="24" xfId="0" applyFont="1" applyFill="1" applyBorder="1" applyAlignment="1">
      <alignment horizontal="center" vertical="center"/>
    </xf>
    <xf numFmtId="0" fontId="16" fillId="10" borderId="98" xfId="0" applyFont="1" applyFill="1" applyBorder="1" applyAlignment="1">
      <alignment horizontal="center" vertical="center"/>
    </xf>
    <xf numFmtId="0" fontId="16" fillId="19" borderId="14" xfId="0" applyFont="1" applyFill="1" applyBorder="1" applyAlignment="1">
      <alignment horizontal="center" vertical="center"/>
    </xf>
    <xf numFmtId="0" fontId="16" fillId="5" borderId="98" xfId="0" applyFont="1" applyFill="1" applyBorder="1" applyAlignment="1">
      <alignment horizontal="center" vertical="center"/>
    </xf>
    <xf numFmtId="0" fontId="16" fillId="6" borderId="201" xfId="0" applyFont="1" applyFill="1" applyBorder="1" applyAlignment="1">
      <alignment horizontal="center" vertical="center"/>
    </xf>
    <xf numFmtId="0" fontId="161" fillId="10" borderId="14" xfId="0" applyFont="1" applyFill="1" applyBorder="1" applyAlignment="1">
      <alignment horizontal="center" vertical="center" wrapText="1"/>
    </xf>
    <xf numFmtId="0" fontId="161" fillId="95" borderId="206" xfId="0" applyFont="1" applyFill="1" applyBorder="1" applyAlignment="1">
      <alignment horizontal="center" vertical="center" wrapText="1"/>
    </xf>
    <xf numFmtId="180" fontId="12" fillId="5" borderId="98" xfId="0" applyNumberFormat="1" applyFont="1" applyFill="1" applyBorder="1" applyAlignment="1">
      <alignment horizontal="center" vertical="center"/>
    </xf>
    <xf numFmtId="180" fontId="12" fillId="96" borderId="14" xfId="0" applyNumberFormat="1" applyFont="1" applyFill="1" applyBorder="1" applyAlignment="1">
      <alignment horizontal="center" vertical="center"/>
    </xf>
    <xf numFmtId="0" fontId="151" fillId="10" borderId="11" xfId="0" applyFont="1" applyFill="1" applyBorder="1" applyAlignment="1">
      <alignment horizontal="center" vertical="center"/>
    </xf>
    <xf numFmtId="0" fontId="151" fillId="19" borderId="14" xfId="0" applyFont="1" applyFill="1" applyBorder="1" applyAlignment="1">
      <alignment horizontal="center" vertical="center"/>
    </xf>
    <xf numFmtId="0" fontId="151" fillId="10" borderId="14" xfId="0" applyFont="1" applyFill="1" applyBorder="1" applyAlignment="1">
      <alignment horizontal="center" vertical="center"/>
    </xf>
    <xf numFmtId="0" fontId="151" fillId="19" borderId="96" xfId="0" applyFont="1" applyFill="1" applyBorder="1" applyAlignment="1">
      <alignment horizontal="center" vertical="center"/>
    </xf>
    <xf numFmtId="0" fontId="12" fillId="10" borderId="14" xfId="0" applyFont="1" applyFill="1" applyBorder="1" applyAlignment="1">
      <alignment horizontal="center" vertical="center"/>
    </xf>
    <xf numFmtId="0" fontId="12" fillId="19" borderId="14" xfId="0" applyFont="1" applyFill="1" applyBorder="1" applyAlignment="1">
      <alignment horizontal="center" vertical="center"/>
    </xf>
    <xf numFmtId="175" fontId="151" fillId="5" borderId="196" xfId="0" applyNumberFormat="1" applyFont="1" applyFill="1" applyBorder="1" applyAlignment="1">
      <alignment horizontal="center" vertical="center"/>
    </xf>
    <xf numFmtId="175" fontId="151" fillId="6" borderId="14" xfId="0" applyNumberFormat="1" applyFont="1" applyFill="1" applyBorder="1" applyAlignment="1">
      <alignment horizontal="center" vertical="center"/>
    </xf>
    <xf numFmtId="0" fontId="12" fillId="5" borderId="14" xfId="0" applyFont="1" applyFill="1" applyBorder="1" applyAlignment="1">
      <alignment horizontal="center" vertical="center"/>
    </xf>
    <xf numFmtId="0" fontId="12" fillId="6" borderId="14" xfId="0" applyFont="1" applyFill="1" applyBorder="1" applyAlignment="1">
      <alignment horizontal="center" vertical="center"/>
    </xf>
    <xf numFmtId="12" fontId="151" fillId="5" borderId="98" xfId="0" applyNumberFormat="1" applyFont="1" applyFill="1" applyBorder="1" applyAlignment="1">
      <alignment horizontal="center" vertical="center"/>
    </xf>
    <xf numFmtId="12" fontId="151" fillId="6" borderId="14" xfId="0" applyNumberFormat="1" applyFont="1" applyFill="1" applyBorder="1" applyAlignment="1">
      <alignment horizontal="center" vertical="center"/>
    </xf>
    <xf numFmtId="178" fontId="12" fillId="5" borderId="14" xfId="0" applyNumberFormat="1" applyFont="1" applyFill="1" applyBorder="1" applyAlignment="1">
      <alignment horizontal="center" vertical="center"/>
    </xf>
    <xf numFmtId="178" fontId="12" fillId="6" borderId="201" xfId="0" applyNumberFormat="1" applyFont="1" applyFill="1" applyBorder="1" applyAlignment="1">
      <alignment horizontal="center" vertical="center"/>
    </xf>
    <xf numFmtId="0" fontId="151" fillId="10" borderId="196" xfId="0" applyFont="1" applyFill="1" applyBorder="1" applyAlignment="1">
      <alignment horizontal="center" vertical="center" wrapText="1"/>
    </xf>
    <xf numFmtId="0" fontId="151" fillId="95" borderId="14" xfId="0" applyFont="1" applyFill="1" applyBorder="1" applyAlignment="1">
      <alignment horizontal="center" vertical="center" wrapText="1"/>
    </xf>
    <xf numFmtId="0" fontId="12" fillId="10" borderId="14" xfId="0" applyFont="1" applyFill="1" applyBorder="1" applyAlignment="1">
      <alignment horizontal="center" vertical="center" wrapText="1"/>
    </xf>
    <xf numFmtId="0" fontId="12" fillId="95" borderId="14" xfId="0" applyFont="1" applyFill="1" applyBorder="1" applyAlignment="1">
      <alignment horizontal="center" vertical="center" wrapText="1"/>
    </xf>
    <xf numFmtId="0" fontId="12" fillId="95" borderId="206" xfId="0" applyFont="1" applyFill="1" applyBorder="1" applyAlignment="1">
      <alignment horizontal="center" vertical="center" wrapText="1"/>
    </xf>
    <xf numFmtId="0" fontId="163" fillId="5" borderId="14" xfId="0" applyFont="1" applyFill="1" applyBorder="1" applyAlignment="1">
      <alignment horizontal="center" vertical="center"/>
    </xf>
    <xf numFmtId="0" fontId="163" fillId="96" borderId="14" xfId="0" applyFont="1" applyFill="1" applyBorder="1" applyAlignment="1">
      <alignment horizontal="center" vertical="center"/>
    </xf>
    <xf numFmtId="0" fontId="163" fillId="96" borderId="96" xfId="0" applyFont="1" applyFill="1" applyBorder="1" applyAlignment="1">
      <alignment horizontal="center" vertical="center"/>
    </xf>
    <xf numFmtId="1" fontId="17" fillId="10" borderId="13" xfId="0" applyNumberFormat="1" applyFont="1" applyFill="1" applyBorder="1" applyAlignment="1">
      <alignment horizontal="right" vertical="center" wrapText="1"/>
    </xf>
    <xf numFmtId="1" fontId="17" fillId="19" borderId="13" xfId="0" applyNumberFormat="1" applyFont="1" applyFill="1" applyBorder="1" applyAlignment="1">
      <alignment horizontal="right" vertical="center" wrapText="1"/>
    </xf>
    <xf numFmtId="1" fontId="17" fillId="19" borderId="14" xfId="0" applyNumberFormat="1" applyFont="1" applyFill="1" applyBorder="1" applyAlignment="1">
      <alignment horizontal="right" vertical="center" wrapText="1"/>
    </xf>
    <xf numFmtId="175" fontId="17" fillId="10" borderId="13" xfId="0" applyNumberFormat="1" applyFont="1" applyFill="1" applyBorder="1" applyAlignment="1">
      <alignment horizontal="left" vertical="center" wrapText="1"/>
    </xf>
    <xf numFmtId="175" fontId="17" fillId="19" borderId="13" xfId="0" applyNumberFormat="1" applyFont="1" applyFill="1" applyBorder="1" applyAlignment="1">
      <alignment horizontal="left" vertical="center" wrapText="1"/>
    </xf>
    <xf numFmtId="175" fontId="17" fillId="19" borderId="14" xfId="0" applyNumberFormat="1" applyFont="1" applyFill="1" applyBorder="1" applyAlignment="1">
      <alignment horizontal="left" vertical="center" wrapText="1"/>
    </xf>
    <xf numFmtId="0" fontId="17" fillId="5" borderId="13" xfId="0" applyFont="1" applyFill="1" applyBorder="1" applyAlignment="1">
      <alignment horizontal="right" vertical="center"/>
    </xf>
    <xf numFmtId="0" fontId="17" fillId="5" borderId="14" xfId="0" applyFont="1" applyFill="1" applyBorder="1" applyAlignment="1">
      <alignment horizontal="right" vertical="center"/>
    </xf>
    <xf numFmtId="175" fontId="17" fillId="5" borderId="13" xfId="0" applyNumberFormat="1" applyFont="1" applyFill="1" applyBorder="1" applyAlignment="1">
      <alignment horizontal="left" vertical="center"/>
    </xf>
    <xf numFmtId="175" fontId="17" fillId="6" borderId="13" xfId="0" applyNumberFormat="1" applyFont="1" applyFill="1" applyBorder="1" applyAlignment="1">
      <alignment horizontal="left" vertical="center"/>
    </xf>
    <xf numFmtId="175" fontId="17" fillId="6" borderId="14" xfId="0" applyNumberFormat="1" applyFont="1" applyFill="1" applyBorder="1" applyAlignment="1">
      <alignment horizontal="left" vertical="center"/>
    </xf>
    <xf numFmtId="0" fontId="17" fillId="10" borderId="7" xfId="0" applyFont="1" applyFill="1" applyBorder="1" applyAlignment="1">
      <alignment horizontal="center" vertical="center" wrapText="1"/>
    </xf>
    <xf numFmtId="0" fontId="17" fillId="19" borderId="13" xfId="0" applyFont="1" applyFill="1" applyBorder="1" applyAlignment="1">
      <alignment horizontal="center" vertical="center" wrapText="1"/>
    </xf>
    <xf numFmtId="0" fontId="17" fillId="19" borderId="11" xfId="0" applyFont="1" applyFill="1" applyBorder="1" applyAlignment="1">
      <alignment horizontal="center" vertical="center" wrapText="1"/>
    </xf>
    <xf numFmtId="0" fontId="17" fillId="19" borderId="14" xfId="0" applyFont="1" applyFill="1" applyBorder="1" applyAlignment="1">
      <alignment horizontal="center" vertical="center" wrapText="1"/>
    </xf>
    <xf numFmtId="0" fontId="17" fillId="5" borderId="195"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17" fillId="6" borderId="196" xfId="0" applyFont="1" applyFill="1" applyBorder="1" applyAlignment="1">
      <alignment horizontal="center" vertical="center" wrapText="1"/>
    </xf>
    <xf numFmtId="0" fontId="17" fillId="6" borderId="14" xfId="0" applyFont="1" applyFill="1" applyBorder="1" applyAlignment="1">
      <alignment horizontal="center" vertical="center" wrapText="1"/>
    </xf>
    <xf numFmtId="168" fontId="17" fillId="0" borderId="97" xfId="0" applyNumberFormat="1" applyFont="1" applyBorder="1" applyAlignment="1">
      <alignment horizontal="center" vertical="center"/>
    </xf>
    <xf numFmtId="0" fontId="17" fillId="0" borderId="202" xfId="0" applyFont="1" applyBorder="1" applyAlignment="1">
      <alignment horizontal="center" vertical="center"/>
    </xf>
    <xf numFmtId="166" fontId="15" fillId="0" borderId="97" xfId="0" applyNumberFormat="1" applyFont="1" applyBorder="1" applyAlignment="1">
      <alignment horizontal="center" vertical="center"/>
    </xf>
    <xf numFmtId="0" fontId="151" fillId="10" borderId="196" xfId="0" applyFont="1" applyFill="1" applyBorder="1" applyAlignment="1">
      <alignment horizontal="center" vertical="center"/>
    </xf>
    <xf numFmtId="0" fontId="151" fillId="32" borderId="14" xfId="0" applyFont="1" applyFill="1" applyBorder="1" applyAlignment="1">
      <alignment horizontal="center" vertical="center"/>
    </xf>
    <xf numFmtId="0" fontId="12" fillId="10" borderId="153" xfId="0" applyFont="1" applyFill="1" applyBorder="1" applyAlignment="1">
      <alignment horizontal="center" vertical="center"/>
    </xf>
    <xf numFmtId="0" fontId="12" fillId="32" borderId="153" xfId="0" applyFont="1" applyFill="1" applyBorder="1" applyAlignment="1">
      <alignment horizontal="center" vertical="center"/>
    </xf>
    <xf numFmtId="0" fontId="152" fillId="0" borderId="0" xfId="0" applyFont="1" applyAlignment="1">
      <alignment horizontal="center" vertical="center"/>
    </xf>
    <xf numFmtId="0" fontId="153" fillId="0" borderId="0" xfId="0" applyFont="1" applyAlignment="1">
      <alignment horizontal="center" vertical="center"/>
    </xf>
    <xf numFmtId="0" fontId="49" fillId="76" borderId="160" xfId="0" applyFont="1" applyFill="1" applyBorder="1" applyAlignment="1">
      <alignment horizontal="center" vertical="center"/>
    </xf>
    <xf numFmtId="0" fontId="73" fillId="5" borderId="146" xfId="0" applyFont="1" applyFill="1" applyBorder="1" applyAlignment="1">
      <alignment horizontal="center" vertical="center"/>
    </xf>
    <xf numFmtId="0" fontId="73" fillId="6" borderId="97" xfId="0" applyFont="1" applyFill="1" applyBorder="1" applyAlignment="1">
      <alignment horizontal="center" vertical="center"/>
    </xf>
    <xf numFmtId="0" fontId="17" fillId="6" borderId="88" xfId="0" applyFont="1" applyFill="1" applyBorder="1" applyAlignment="1">
      <alignment horizontal="center" vertical="center"/>
    </xf>
    <xf numFmtId="0" fontId="73" fillId="5" borderId="202" xfId="0" applyFont="1" applyFill="1" applyBorder="1" applyAlignment="1">
      <alignment horizontal="center" vertical="center"/>
    </xf>
    <xf numFmtId="0" fontId="73" fillId="6" borderId="88" xfId="0" applyFont="1" applyFill="1" applyBorder="1" applyAlignment="1">
      <alignment horizontal="center" vertical="center"/>
    </xf>
    <xf numFmtId="168" fontId="17" fillId="0" borderId="24" xfId="0" applyNumberFormat="1" applyFont="1" applyBorder="1" applyAlignment="1">
      <alignment horizontal="center" vertical="center"/>
    </xf>
    <xf numFmtId="0" fontId="10" fillId="5" borderId="9" xfId="0" applyFont="1" applyFill="1" applyBorder="1" applyAlignment="1">
      <alignment horizontal="center" vertical="center"/>
    </xf>
    <xf numFmtId="0" fontId="10" fillId="6" borderId="0" xfId="0" applyFont="1" applyFill="1" applyAlignment="1">
      <alignment horizontal="center" vertical="center"/>
    </xf>
    <xf numFmtId="0" fontId="10" fillId="10" borderId="84" xfId="0" applyFont="1" applyFill="1" applyBorder="1" applyAlignment="1">
      <alignment horizontal="center" vertical="center"/>
    </xf>
    <xf numFmtId="0" fontId="10" fillId="19" borderId="81" xfId="0" applyFont="1" applyFill="1" applyBorder="1" applyAlignment="1">
      <alignment horizontal="center" vertical="center"/>
    </xf>
    <xf numFmtId="0" fontId="10" fillId="19" borderId="215" xfId="0" applyFont="1" applyFill="1" applyBorder="1" applyAlignment="1">
      <alignment horizontal="center" vertical="center"/>
    </xf>
    <xf numFmtId="0" fontId="10" fillId="19" borderId="92" xfId="0" applyFont="1" applyFill="1" applyBorder="1" applyAlignment="1">
      <alignment horizontal="center" vertical="center"/>
    </xf>
    <xf numFmtId="49" fontId="17" fillId="10" borderId="146" xfId="0" applyNumberFormat="1" applyFont="1" applyFill="1" applyBorder="1" applyAlignment="1">
      <alignment horizontal="center" vertical="center"/>
    </xf>
    <xf numFmtId="49" fontId="17" fillId="19" borderId="97" xfId="0" applyNumberFormat="1" applyFont="1" applyFill="1" applyBorder="1" applyAlignment="1">
      <alignment horizontal="center" vertical="center"/>
    </xf>
    <xf numFmtId="166" fontId="15" fillId="10" borderId="97" xfId="0" applyNumberFormat="1" applyFont="1" applyFill="1" applyBorder="1" applyAlignment="1">
      <alignment horizontal="center" vertical="center"/>
    </xf>
    <xf numFmtId="166" fontId="15" fillId="19" borderId="97" xfId="0" applyNumberFormat="1" applyFont="1" applyFill="1" applyBorder="1" applyAlignment="1">
      <alignment horizontal="center" vertical="center"/>
    </xf>
    <xf numFmtId="0" fontId="17" fillId="19" borderId="97" xfId="0" applyFont="1" applyFill="1" applyBorder="1" applyAlignment="1">
      <alignment horizontal="center" vertical="center"/>
    </xf>
    <xf numFmtId="0" fontId="17" fillId="95" borderId="97" xfId="0" applyFont="1" applyFill="1" applyBorder="1" applyAlignment="1">
      <alignment horizontal="center" vertical="center"/>
    </xf>
    <xf numFmtId="168" fontId="17" fillId="10" borderId="97" xfId="0" applyNumberFormat="1" applyFont="1" applyFill="1" applyBorder="1" applyAlignment="1">
      <alignment horizontal="center" vertical="center"/>
    </xf>
    <xf numFmtId="168" fontId="17" fillId="19" borderId="97" xfId="0" applyNumberFormat="1" applyFont="1" applyFill="1" applyBorder="1" applyAlignment="1">
      <alignment horizontal="center" vertical="center"/>
    </xf>
    <xf numFmtId="0" fontId="17" fillId="19" borderId="88" xfId="0" applyFont="1" applyFill="1" applyBorder="1" applyAlignment="1">
      <alignment horizontal="center" vertical="center"/>
    </xf>
    <xf numFmtId="0" fontId="17" fillId="10" borderId="202" xfId="0" applyFont="1" applyFill="1" applyBorder="1" applyAlignment="1">
      <alignment horizontal="center" vertical="center"/>
    </xf>
    <xf numFmtId="168" fontId="17" fillId="19" borderId="24" xfId="0" applyNumberFormat="1" applyFont="1" applyFill="1" applyBorder="1" applyAlignment="1">
      <alignment horizontal="center" vertical="center"/>
    </xf>
    <xf numFmtId="49" fontId="17" fillId="0" borderId="146" xfId="0" applyNumberFormat="1" applyFont="1" applyBorder="1" applyAlignment="1">
      <alignment horizontal="center" vertical="center"/>
    </xf>
    <xf numFmtId="49" fontId="17" fillId="0" borderId="97" xfId="0" applyNumberFormat="1" applyFont="1" applyBorder="1" applyAlignment="1">
      <alignment horizontal="center" vertical="center"/>
    </xf>
    <xf numFmtId="0" fontId="4" fillId="2" borderId="7" xfId="0" applyFont="1" applyFill="1" applyBorder="1" applyAlignment="1">
      <alignment horizontal="center" vertical="center"/>
    </xf>
    <xf numFmtId="0" fontId="4" fillId="76" borderId="13" xfId="0" applyFont="1" applyFill="1" applyBorder="1" applyAlignment="1">
      <alignment horizontal="center" vertical="center"/>
    </xf>
    <xf numFmtId="0" fontId="4" fillId="2" borderId="13" xfId="0" applyFont="1" applyFill="1" applyBorder="1" applyAlignment="1">
      <alignment horizontal="center" vertical="center"/>
    </xf>
    <xf numFmtId="0" fontId="4" fillId="76" borderId="8" xfId="0" applyFont="1" applyFill="1" applyBorder="1" applyAlignment="1">
      <alignment horizontal="center" vertical="center"/>
    </xf>
    <xf numFmtId="0" fontId="10" fillId="0" borderId="78" xfId="0" applyFont="1" applyBorder="1" applyAlignment="1">
      <alignment horizontal="center" vertical="center"/>
    </xf>
    <xf numFmtId="0" fontId="10" fillId="0" borderId="0" xfId="0" applyFont="1" applyAlignment="1">
      <alignment horizontal="center" vertical="center"/>
    </xf>
    <xf numFmtId="0" fontId="10" fillId="0" borderId="10" xfId="0" applyFont="1" applyBorder="1" applyAlignment="1">
      <alignment horizontal="center" vertical="center"/>
    </xf>
    <xf numFmtId="0" fontId="17" fillId="0" borderId="97" xfId="0" applyFont="1" applyBorder="1" applyAlignment="1">
      <alignment horizontal="right" vertical="center" wrapText="1"/>
    </xf>
    <xf numFmtId="0" fontId="17" fillId="0" borderId="88" xfId="0" applyFont="1" applyBorder="1" applyAlignment="1">
      <alignment horizontal="right" vertical="center" wrapText="1"/>
    </xf>
    <xf numFmtId="49" fontId="17" fillId="0" borderId="89" xfId="0" applyNumberFormat="1" applyFont="1" applyBorder="1" applyAlignment="1">
      <alignment vertical="center" wrapText="1"/>
    </xf>
    <xf numFmtId="49" fontId="17" fillId="0" borderId="97" xfId="0" applyNumberFormat="1" applyFont="1" applyBorder="1" applyAlignment="1">
      <alignment vertical="center" wrapText="1"/>
    </xf>
    <xf numFmtId="0" fontId="10" fillId="10" borderId="78" xfId="0" applyFont="1" applyFill="1" applyBorder="1" applyAlignment="1">
      <alignment horizontal="center" vertical="center"/>
    </xf>
    <xf numFmtId="0" fontId="10" fillId="19" borderId="0" xfId="0" applyFont="1" applyFill="1" applyAlignment="1">
      <alignment horizontal="center" vertical="center"/>
    </xf>
    <xf numFmtId="0" fontId="10" fillId="19" borderId="10" xfId="0" applyFont="1" applyFill="1" applyBorder="1" applyAlignment="1">
      <alignment horizontal="center" vertical="center"/>
    </xf>
    <xf numFmtId="0" fontId="17" fillId="19" borderId="89" xfId="0" applyFont="1" applyFill="1" applyBorder="1" applyAlignment="1">
      <alignment horizontal="center" vertical="center"/>
    </xf>
    <xf numFmtId="0" fontId="17" fillId="10" borderId="85" xfId="0" applyFont="1" applyFill="1" applyBorder="1" applyAlignment="1">
      <alignment horizontal="center" vertical="center"/>
    </xf>
    <xf numFmtId="0" fontId="17" fillId="19" borderId="83" xfId="0" applyFont="1" applyFill="1" applyBorder="1" applyAlignment="1">
      <alignment horizontal="center" vertical="center"/>
    </xf>
    <xf numFmtId="0" fontId="17" fillId="19" borderId="94" xfId="0" applyFont="1" applyFill="1" applyBorder="1" applyAlignment="1">
      <alignment horizontal="center" vertical="center"/>
    </xf>
    <xf numFmtId="0" fontId="17" fillId="10" borderId="97" xfId="0" applyFont="1" applyFill="1" applyBorder="1" applyAlignment="1">
      <alignment horizontal="right" vertical="center"/>
    </xf>
    <xf numFmtId="0" fontId="17" fillId="19" borderId="88" xfId="0" applyFont="1" applyFill="1" applyBorder="1" applyAlignment="1">
      <alignment horizontal="right" vertical="center"/>
    </xf>
    <xf numFmtId="168" fontId="17" fillId="10" borderId="89" xfId="0" applyNumberFormat="1" applyFont="1" applyFill="1" applyBorder="1">
      <alignment vertical="center"/>
    </xf>
    <xf numFmtId="168" fontId="17" fillId="19" borderId="97" xfId="0" applyNumberFormat="1" applyFont="1" applyFill="1" applyBorder="1">
      <alignment vertical="center"/>
    </xf>
    <xf numFmtId="0" fontId="147" fillId="5" borderId="11" xfId="0" applyFont="1" applyFill="1" applyBorder="1" applyAlignment="1">
      <alignment horizontal="center" vertical="center"/>
    </xf>
    <xf numFmtId="0" fontId="168" fillId="6" borderId="14" xfId="0" applyFont="1" applyFill="1" applyBorder="1" applyAlignment="1">
      <alignment horizontal="center" vertical="center"/>
    </xf>
    <xf numFmtId="0" fontId="168" fillId="6" borderId="12" xfId="0" applyFont="1" applyFill="1" applyBorder="1" applyAlignment="1">
      <alignment horizontal="center" vertical="center"/>
    </xf>
    <xf numFmtId="0" fontId="17" fillId="0" borderId="89" xfId="0" applyFont="1" applyBorder="1" applyAlignment="1">
      <alignment horizontal="center" vertical="center"/>
    </xf>
    <xf numFmtId="0" fontId="4" fillId="98" borderId="144" xfId="0" applyFont="1" applyFill="1" applyBorder="1" applyAlignment="1">
      <alignment horizontal="center" vertical="center"/>
    </xf>
    <xf numFmtId="0" fontId="4" fillId="99" borderId="145" xfId="0" applyFont="1" applyFill="1" applyBorder="1" applyAlignment="1">
      <alignment horizontal="center" vertical="center"/>
    </xf>
    <xf numFmtId="0" fontId="4" fillId="99" borderId="147" xfId="0" applyFont="1" applyFill="1" applyBorder="1" applyAlignment="1">
      <alignment horizontal="center" vertical="center"/>
    </xf>
    <xf numFmtId="0" fontId="4" fillId="100" borderId="144" xfId="0" applyFont="1" applyFill="1" applyBorder="1" applyAlignment="1">
      <alignment horizontal="center" vertical="center"/>
    </xf>
    <xf numFmtId="0" fontId="4" fillId="101" borderId="145" xfId="0" applyFont="1" applyFill="1" applyBorder="1" applyAlignment="1">
      <alignment horizontal="center" vertical="center"/>
    </xf>
    <xf numFmtId="0" fontId="4" fillId="101" borderId="147" xfId="0" applyFont="1" applyFill="1" applyBorder="1" applyAlignment="1">
      <alignment horizontal="center" vertical="center"/>
    </xf>
    <xf numFmtId="0" fontId="1" fillId="10" borderId="146" xfId="0" applyFont="1" applyFill="1" applyBorder="1" applyAlignment="1">
      <alignment horizontal="center" vertical="center"/>
    </xf>
    <xf numFmtId="0" fontId="1" fillId="6" borderId="97" xfId="0" applyFont="1" applyFill="1" applyBorder="1" applyAlignment="1">
      <alignment horizontal="center" vertical="center"/>
    </xf>
    <xf numFmtId="0" fontId="1" fillId="10" borderId="97" xfId="0" applyFont="1" applyFill="1" applyBorder="1">
      <alignment vertical="center"/>
    </xf>
    <xf numFmtId="0" fontId="1" fillId="6" borderId="24" xfId="0" applyFont="1" applyFill="1" applyBorder="1">
      <alignment vertical="center"/>
    </xf>
    <xf numFmtId="0" fontId="1" fillId="43" borderId="86" xfId="0" applyFont="1" applyFill="1" applyBorder="1" applyAlignment="1">
      <alignment horizontal="center" vertical="center" wrapText="1"/>
    </xf>
    <xf numFmtId="0" fontId="1" fillId="55" borderId="87" xfId="0" applyFont="1" applyFill="1" applyBorder="1" applyAlignment="1">
      <alignment horizontal="center" vertical="center"/>
    </xf>
    <xf numFmtId="0" fontId="1" fillId="55" borderId="95" xfId="0" applyFont="1" applyFill="1" applyBorder="1" applyAlignment="1">
      <alignment horizontal="center" vertical="center"/>
    </xf>
    <xf numFmtId="0" fontId="17" fillId="102" borderId="86" xfId="0" applyFont="1" applyFill="1" applyBorder="1" applyAlignment="1">
      <alignment horizontal="center" vertical="center" wrapText="1"/>
    </xf>
    <xf numFmtId="0" fontId="17" fillId="103" borderId="87" xfId="0" applyFont="1" applyFill="1" applyBorder="1" applyAlignment="1">
      <alignment horizontal="center" vertical="center"/>
    </xf>
    <xf numFmtId="0" fontId="17" fillId="103" borderId="95" xfId="0" applyFont="1" applyFill="1" applyBorder="1" applyAlignment="1">
      <alignment horizontal="center" vertical="center"/>
    </xf>
    <xf numFmtId="49" fontId="12" fillId="0" borderId="146" xfId="0" applyNumberFormat="1" applyFont="1" applyBorder="1" applyAlignment="1">
      <alignment horizontal="center" vertical="center"/>
    </xf>
    <xf numFmtId="49" fontId="12" fillId="0" borderId="97" xfId="0" applyNumberFormat="1" applyFont="1" applyBorder="1" applyAlignment="1">
      <alignment horizontal="center" vertical="center"/>
    </xf>
    <xf numFmtId="49" fontId="1" fillId="0" borderId="97" xfId="0" applyNumberFormat="1" applyFont="1" applyBorder="1" applyAlignment="1">
      <alignment horizontal="center" vertical="center"/>
    </xf>
    <xf numFmtId="49" fontId="1" fillId="0" borderId="24" xfId="0" applyNumberFormat="1" applyFont="1" applyBorder="1" applyAlignment="1">
      <alignment horizontal="center" vertical="center"/>
    </xf>
    <xf numFmtId="49" fontId="12" fillId="0" borderId="86" xfId="0" applyNumberFormat="1" applyFont="1" applyBorder="1" applyAlignment="1">
      <alignment horizontal="center" vertical="center"/>
    </xf>
    <xf numFmtId="49" fontId="12" fillId="0" borderId="87" xfId="0" applyNumberFormat="1" applyFont="1" applyBorder="1" applyAlignment="1">
      <alignment horizontal="center" vertical="center"/>
    </xf>
    <xf numFmtId="49" fontId="12" fillId="0" borderId="95" xfId="0" applyNumberFormat="1" applyFont="1" applyBorder="1" applyAlignment="1">
      <alignment horizontal="center" vertical="center"/>
    </xf>
    <xf numFmtId="49" fontId="1" fillId="0" borderId="86" xfId="0" applyNumberFormat="1" applyFont="1" applyBorder="1" applyAlignment="1">
      <alignment horizontal="center" vertical="center"/>
    </xf>
    <xf numFmtId="49" fontId="1" fillId="0" borderId="87" xfId="0" applyNumberFormat="1" applyFont="1" applyBorder="1" applyAlignment="1">
      <alignment horizontal="center" vertical="center"/>
    </xf>
    <xf numFmtId="49" fontId="1" fillId="0" borderId="88" xfId="0" applyNumberFormat="1" applyFont="1" applyBorder="1" applyAlignment="1">
      <alignment horizontal="center" vertical="center"/>
    </xf>
    <xf numFmtId="49" fontId="1" fillId="0" borderId="95" xfId="0" applyNumberFormat="1" applyFont="1" applyBorder="1" applyAlignment="1">
      <alignment horizontal="center" vertical="center"/>
    </xf>
    <xf numFmtId="182" fontId="12" fillId="0" borderId="86" xfId="0" applyNumberFormat="1" applyFont="1" applyBorder="1" applyAlignment="1">
      <alignment horizontal="center" vertical="center"/>
    </xf>
    <xf numFmtId="182" fontId="12" fillId="0" borderId="87" xfId="0" applyNumberFormat="1" applyFont="1" applyBorder="1" applyAlignment="1">
      <alignment horizontal="center" vertical="center"/>
    </xf>
    <xf numFmtId="182" fontId="12" fillId="0" borderId="89" xfId="0" applyNumberFormat="1" applyFont="1" applyBorder="1" applyAlignment="1">
      <alignment horizontal="center" vertical="center"/>
    </xf>
    <xf numFmtId="0" fontId="17" fillId="10" borderId="89" xfId="0" applyFont="1" applyFill="1" applyBorder="1" applyAlignment="1">
      <alignment horizontal="left" vertical="center"/>
    </xf>
    <xf numFmtId="0" fontId="17" fillId="19" borderId="97" xfId="0" applyFont="1" applyFill="1" applyBorder="1" applyAlignment="1">
      <alignment horizontal="left" vertical="center"/>
    </xf>
    <xf numFmtId="0" fontId="1" fillId="43" borderId="146" xfId="0" applyFont="1" applyFill="1" applyBorder="1" applyAlignment="1">
      <alignment horizontal="center" vertical="center"/>
    </xf>
    <xf numFmtId="0" fontId="1" fillId="55" borderId="97" xfId="0" applyFont="1" applyFill="1" applyBorder="1" applyAlignment="1">
      <alignment horizontal="center" vertical="center"/>
    </xf>
    <xf numFmtId="0" fontId="1" fillId="55" borderId="24" xfId="0" applyFont="1" applyFill="1" applyBorder="1" applyAlignment="1">
      <alignment horizontal="center" vertical="center"/>
    </xf>
    <xf numFmtId="0" fontId="1" fillId="43" borderId="86" xfId="0" applyFont="1" applyFill="1" applyBorder="1" applyAlignment="1">
      <alignment horizontal="center" vertical="center"/>
    </xf>
    <xf numFmtId="0" fontId="1" fillId="55" borderId="89" xfId="0" applyFont="1" applyFill="1" applyBorder="1" applyAlignment="1">
      <alignment horizontal="center" vertical="center"/>
    </xf>
    <xf numFmtId="0" fontId="1" fillId="43" borderId="88" xfId="0" applyFont="1" applyFill="1" applyBorder="1" applyAlignment="1">
      <alignment horizontal="center" vertical="center"/>
    </xf>
    <xf numFmtId="0" fontId="1" fillId="102" borderId="86" xfId="0" applyFont="1" applyFill="1" applyBorder="1" applyAlignment="1">
      <alignment horizontal="center" vertical="center"/>
    </xf>
    <xf numFmtId="0" fontId="1" fillId="103" borderId="87" xfId="0" applyFont="1" applyFill="1" applyBorder="1" applyAlignment="1">
      <alignment horizontal="center" vertical="center"/>
    </xf>
    <xf numFmtId="0" fontId="1" fillId="102" borderId="88" xfId="0" applyFont="1" applyFill="1" applyBorder="1" applyAlignment="1">
      <alignment horizontal="center" vertical="center"/>
    </xf>
    <xf numFmtId="0" fontId="1" fillId="103" borderId="95" xfId="0" applyFont="1" applyFill="1" applyBorder="1" applyAlignment="1">
      <alignment horizontal="center" vertical="center"/>
    </xf>
    <xf numFmtId="178" fontId="1" fillId="0" borderId="88" xfId="0" applyNumberFormat="1" applyFont="1" applyBorder="1" applyAlignment="1">
      <alignment horizontal="center" vertical="center"/>
    </xf>
    <xf numFmtId="178" fontId="1" fillId="0" borderId="87" xfId="0" applyNumberFormat="1" applyFont="1" applyBorder="1" applyAlignment="1">
      <alignment horizontal="center" vertical="center"/>
    </xf>
    <xf numFmtId="178" fontId="1" fillId="0" borderId="95" xfId="0" applyNumberFormat="1" applyFont="1" applyBorder="1" applyAlignment="1">
      <alignment horizontal="center" vertical="center"/>
    </xf>
    <xf numFmtId="0" fontId="17" fillId="108" borderId="97" xfId="0" applyFont="1" applyFill="1" applyBorder="1" applyAlignment="1">
      <alignment horizontal="center" vertical="center"/>
    </xf>
    <xf numFmtId="0" fontId="17" fillId="10" borderId="97" xfId="0" applyFont="1" applyFill="1" applyBorder="1" applyAlignment="1">
      <alignment horizontal="center" vertical="center" wrapText="1"/>
    </xf>
    <xf numFmtId="0" fontId="17" fillId="19" borderId="97" xfId="0" applyFont="1" applyFill="1" applyBorder="1" applyAlignment="1">
      <alignment horizontal="center" vertical="center" wrapText="1"/>
    </xf>
    <xf numFmtId="0" fontId="17" fillId="0" borderId="97" xfId="0" applyFont="1" applyBorder="1" applyAlignment="1">
      <alignment horizontal="right" vertical="center"/>
    </xf>
    <xf numFmtId="0" fontId="17" fillId="0" borderId="88" xfId="0" applyFont="1" applyBorder="1" applyAlignment="1">
      <alignment horizontal="right" vertical="center"/>
    </xf>
    <xf numFmtId="0" fontId="17" fillId="0" borderId="89" xfId="0" applyFont="1" applyBorder="1" applyAlignment="1">
      <alignment horizontal="left" vertical="center"/>
    </xf>
    <xf numFmtId="0" fontId="17" fillId="0" borderId="97" xfId="0" applyFont="1" applyBorder="1" applyAlignment="1">
      <alignment horizontal="left" vertical="center"/>
    </xf>
    <xf numFmtId="0" fontId="17" fillId="10" borderId="89" xfId="0" applyFont="1" applyFill="1" applyBorder="1">
      <alignment vertical="center"/>
    </xf>
    <xf numFmtId="0" fontId="17" fillId="19" borderId="97" xfId="0" applyFont="1" applyFill="1" applyBorder="1">
      <alignment vertical="center"/>
    </xf>
    <xf numFmtId="0" fontId="4" fillId="90" borderId="158" xfId="0" applyFont="1" applyFill="1" applyBorder="1" applyAlignment="1">
      <alignment horizontal="center" vertical="center" wrapText="1"/>
    </xf>
    <xf numFmtId="0" fontId="4" fillId="90" borderId="159" xfId="0" applyFont="1" applyFill="1" applyBorder="1" applyAlignment="1">
      <alignment horizontal="center" vertical="center"/>
    </xf>
    <xf numFmtId="0" fontId="4" fillId="90" borderId="162" xfId="0" applyFont="1" applyFill="1" applyBorder="1" applyAlignment="1">
      <alignment horizontal="center" vertical="center"/>
    </xf>
    <xf numFmtId="0" fontId="17" fillId="0" borderId="89" xfId="0" applyFont="1" applyBorder="1">
      <alignment vertical="center"/>
    </xf>
    <xf numFmtId="0" fontId="17" fillId="0" borderId="97" xfId="0" applyFont="1" applyBorder="1">
      <alignment vertical="center"/>
    </xf>
    <xf numFmtId="0" fontId="4" fillId="104" borderId="158" xfId="0" applyFont="1" applyFill="1" applyBorder="1" applyAlignment="1">
      <alignment horizontal="center" vertical="center" wrapText="1"/>
    </xf>
    <xf numFmtId="0" fontId="4" fillId="105" borderId="159" xfId="0" applyFont="1" applyFill="1" applyBorder="1" applyAlignment="1">
      <alignment horizontal="center" vertical="center"/>
    </xf>
    <xf numFmtId="0" fontId="4" fillId="105" borderId="162" xfId="0" applyFont="1" applyFill="1" applyBorder="1" applyAlignment="1">
      <alignment horizontal="center" vertical="center"/>
    </xf>
    <xf numFmtId="0" fontId="1" fillId="92" borderId="80" xfId="0" applyFont="1" applyFill="1" applyBorder="1" applyAlignment="1">
      <alignment horizontal="center" vertical="center" wrapText="1"/>
    </xf>
    <xf numFmtId="0" fontId="1" fillId="92" borderId="81" xfId="0" applyFont="1" applyFill="1" applyBorder="1" applyAlignment="1">
      <alignment horizontal="center" vertical="center"/>
    </xf>
    <xf numFmtId="0" fontId="1" fillId="92" borderId="92" xfId="0" applyFont="1" applyFill="1" applyBorder="1" applyAlignment="1">
      <alignment horizontal="center" vertical="center"/>
    </xf>
    <xf numFmtId="0" fontId="1" fillId="106" borderId="86" xfId="0" applyFont="1" applyFill="1" applyBorder="1" applyAlignment="1">
      <alignment horizontal="center" vertical="center"/>
    </xf>
    <xf numFmtId="0" fontId="1" fillId="107" borderId="87" xfId="0" applyFont="1" applyFill="1" applyBorder="1" applyAlignment="1">
      <alignment horizontal="center" vertical="center"/>
    </xf>
    <xf numFmtId="0" fontId="1" fillId="106" borderId="88" xfId="0" applyFont="1" applyFill="1" applyBorder="1" applyAlignment="1">
      <alignment horizontal="center" vertical="center"/>
    </xf>
    <xf numFmtId="0" fontId="1" fillId="107" borderId="95" xfId="0" applyFont="1" applyFill="1" applyBorder="1" applyAlignment="1">
      <alignment horizontal="center" vertical="center"/>
    </xf>
    <xf numFmtId="49" fontId="1" fillId="0" borderId="152" xfId="0" applyNumberFormat="1" applyFont="1" applyBorder="1" applyAlignment="1">
      <alignment horizontal="center" vertical="center"/>
    </xf>
    <xf numFmtId="49" fontId="1" fillId="0" borderId="213" xfId="0" applyNumberFormat="1" applyFont="1" applyBorder="1" applyAlignment="1">
      <alignment horizontal="center" vertical="center"/>
    </xf>
    <xf numFmtId="49" fontId="1" fillId="0" borderId="214" xfId="0" applyNumberFormat="1" applyFont="1" applyBorder="1" applyAlignment="1">
      <alignment horizontal="center" vertical="center"/>
    </xf>
    <xf numFmtId="0" fontId="17" fillId="0" borderId="89" xfId="0" applyFont="1" applyBorder="1" applyAlignment="1">
      <alignment vertical="center" wrapText="1"/>
    </xf>
    <xf numFmtId="0" fontId="17" fillId="0" borderId="97" xfId="0" applyFont="1" applyBorder="1" applyAlignment="1">
      <alignment vertical="center" wrapText="1"/>
    </xf>
    <xf numFmtId="49" fontId="1" fillId="0" borderId="212" xfId="0" applyNumberFormat="1" applyFont="1" applyBorder="1" applyAlignment="1">
      <alignment horizontal="center" vertical="center"/>
    </xf>
    <xf numFmtId="0" fontId="17" fillId="10" borderId="97" xfId="0" applyFont="1" applyFill="1" applyBorder="1" applyAlignment="1">
      <alignment horizontal="right" vertical="center" wrapText="1"/>
    </xf>
    <xf numFmtId="0" fontId="17" fillId="19" borderId="88" xfId="0" applyFont="1" applyFill="1" applyBorder="1" applyAlignment="1">
      <alignment horizontal="right" vertical="center" wrapText="1"/>
    </xf>
    <xf numFmtId="0" fontId="17" fillId="10" borderId="89" xfId="0" applyFont="1" applyFill="1" applyBorder="1" applyAlignment="1">
      <alignment vertical="center" wrapText="1"/>
    </xf>
    <xf numFmtId="0" fontId="17" fillId="19" borderId="97" xfId="0" applyFont="1" applyFill="1" applyBorder="1" applyAlignment="1">
      <alignment vertical="center" wrapText="1"/>
    </xf>
    <xf numFmtId="0" fontId="164" fillId="19" borderId="88" xfId="0" applyFont="1" applyFill="1" applyBorder="1" applyAlignment="1">
      <alignment horizontal="center" vertical="center"/>
    </xf>
    <xf numFmtId="0" fontId="164" fillId="19" borderId="89" xfId="0" applyFont="1" applyFill="1" applyBorder="1" applyAlignment="1">
      <alignment horizontal="center" vertical="center"/>
    </xf>
    <xf numFmtId="0" fontId="164" fillId="19" borderId="97" xfId="0" applyFont="1" applyFill="1" applyBorder="1" applyAlignment="1">
      <alignment horizontal="center" vertical="center"/>
    </xf>
    <xf numFmtId="0" fontId="12" fillId="0" borderId="97" xfId="0" applyFont="1" applyBorder="1" applyAlignment="1">
      <alignment horizontal="center" vertical="center"/>
    </xf>
    <xf numFmtId="0" fontId="147" fillId="0" borderId="97" xfId="0" applyFont="1" applyBorder="1" applyAlignment="1">
      <alignment horizontal="center" vertical="center"/>
    </xf>
    <xf numFmtId="0" fontId="164" fillId="0" borderId="88" xfId="0" applyFont="1" applyBorder="1" applyAlignment="1">
      <alignment horizontal="center" vertical="center"/>
    </xf>
    <xf numFmtId="0" fontId="164" fillId="0" borderId="89" xfId="0" applyFont="1" applyBorder="1" applyAlignment="1">
      <alignment horizontal="center" vertical="center"/>
    </xf>
    <xf numFmtId="0" fontId="164" fillId="0" borderId="97" xfId="0" applyFont="1" applyBorder="1" applyAlignment="1">
      <alignment horizontal="center" vertical="center"/>
    </xf>
    <xf numFmtId="166" fontId="3" fillId="10" borderId="97" xfId="0" applyNumberFormat="1" applyFont="1" applyFill="1" applyBorder="1" applyAlignment="1">
      <alignment horizontal="center" vertical="center"/>
    </xf>
    <xf numFmtId="166" fontId="3" fillId="19" borderId="97" xfId="0" applyNumberFormat="1" applyFont="1" applyFill="1" applyBorder="1" applyAlignment="1">
      <alignment horizontal="center" vertical="center"/>
    </xf>
    <xf numFmtId="0" fontId="147" fillId="10" borderId="97" xfId="0" applyFont="1" applyFill="1" applyBorder="1" applyAlignment="1">
      <alignment horizontal="right" vertical="center"/>
    </xf>
    <xf numFmtId="0" fontId="164" fillId="19" borderId="88" xfId="0" applyFont="1" applyFill="1" applyBorder="1" applyAlignment="1">
      <alignment horizontal="right" vertical="center"/>
    </xf>
    <xf numFmtId="0" fontId="147" fillId="10" borderId="89" xfId="0" applyFont="1" applyFill="1" applyBorder="1" applyAlignment="1">
      <alignment horizontal="left" vertical="center"/>
    </xf>
    <xf numFmtId="0" fontId="164" fillId="19" borderId="97" xfId="0" applyFont="1" applyFill="1" applyBorder="1" applyAlignment="1">
      <alignment horizontal="left" vertical="center"/>
    </xf>
    <xf numFmtId="0" fontId="17" fillId="19" borderId="186" xfId="0" applyFont="1" applyFill="1" applyBorder="1" applyAlignment="1">
      <alignment horizontal="center" vertical="center"/>
    </xf>
    <xf numFmtId="166" fontId="3" fillId="0" borderId="97" xfId="0" applyNumberFormat="1" applyFont="1" applyBorder="1" applyAlignment="1">
      <alignment horizontal="center" vertical="center"/>
    </xf>
    <xf numFmtId="168" fontId="17" fillId="10" borderId="186" xfId="0" applyNumberFormat="1" applyFont="1" applyFill="1" applyBorder="1" applyAlignment="1">
      <alignment horizontal="center" vertical="center"/>
    </xf>
    <xf numFmtId="168" fontId="17" fillId="19" borderId="186" xfId="0" applyNumberFormat="1" applyFont="1" applyFill="1" applyBorder="1" applyAlignment="1">
      <alignment horizontal="center" vertical="center"/>
    </xf>
    <xf numFmtId="168" fontId="17" fillId="19" borderId="154" xfId="0" applyNumberFormat="1" applyFont="1" applyFill="1" applyBorder="1" applyAlignment="1">
      <alignment horizontal="center" vertical="center"/>
    </xf>
    <xf numFmtId="0" fontId="109" fillId="0" borderId="0" xfId="0" applyFont="1" applyAlignment="1">
      <alignment horizontal="left" vertical="top"/>
    </xf>
    <xf numFmtId="0" fontId="109" fillId="0" borderId="0" xfId="0" applyFont="1" applyAlignment="1">
      <alignment horizontal="left" vertical="top" wrapText="1"/>
    </xf>
    <xf numFmtId="0" fontId="73" fillId="9" borderId="146" xfId="0" applyFont="1" applyFill="1" applyBorder="1" applyAlignment="1">
      <alignment horizontal="center" vertical="center"/>
    </xf>
    <xf numFmtId="0" fontId="73" fillId="52" borderId="97" xfId="0" applyFont="1" applyFill="1" applyBorder="1" applyAlignment="1">
      <alignment horizontal="center" vertical="center"/>
    </xf>
    <xf numFmtId="0" fontId="73" fillId="9" borderId="97" xfId="0" applyFont="1" applyFill="1" applyBorder="1" applyAlignment="1">
      <alignment horizontal="center" vertical="center"/>
    </xf>
    <xf numFmtId="0" fontId="73" fillId="52" borderId="24" xfId="0" applyFont="1" applyFill="1" applyBorder="1" applyAlignment="1">
      <alignment horizontal="center" vertical="center"/>
    </xf>
    <xf numFmtId="49" fontId="17" fillId="10" borderId="185" xfId="0" applyNumberFormat="1" applyFont="1" applyFill="1" applyBorder="1" applyAlignment="1">
      <alignment horizontal="center" vertical="center"/>
    </xf>
    <xf numFmtId="49" fontId="17" fillId="19" borderId="186" xfId="0" applyNumberFormat="1" applyFont="1" applyFill="1" applyBorder="1" applyAlignment="1">
      <alignment horizontal="center" vertical="center"/>
    </xf>
    <xf numFmtId="166" fontId="15" fillId="10" borderId="186" xfId="0" applyNumberFormat="1" applyFont="1" applyFill="1" applyBorder="1" applyAlignment="1">
      <alignment horizontal="center" vertical="center"/>
    </xf>
    <xf numFmtId="166" fontId="15" fillId="19" borderId="186" xfId="0" applyNumberFormat="1" applyFont="1" applyFill="1" applyBorder="1" applyAlignment="1">
      <alignment horizontal="center" vertical="center"/>
    </xf>
    <xf numFmtId="0" fontId="17" fillId="19" borderId="152" xfId="0" applyFont="1" applyFill="1" applyBorder="1" applyAlignment="1">
      <alignment horizontal="right" vertical="center"/>
    </xf>
    <xf numFmtId="0" fontId="17" fillId="10" borderId="193" xfId="0" applyFont="1" applyFill="1" applyBorder="1">
      <alignment vertical="center"/>
    </xf>
    <xf numFmtId="0" fontId="17" fillId="19" borderId="186" xfId="0" applyFont="1" applyFill="1" applyBorder="1">
      <alignment vertical="center"/>
    </xf>
    <xf numFmtId="0" fontId="17" fillId="19" borderId="152" xfId="0" applyFont="1" applyFill="1" applyBorder="1" applyAlignment="1">
      <alignment horizontal="center" vertical="center"/>
    </xf>
    <xf numFmtId="0" fontId="17" fillId="10" borderId="203" xfId="0" applyFont="1" applyFill="1" applyBorder="1" applyAlignment="1">
      <alignment horizontal="center" vertical="center"/>
    </xf>
    <xf numFmtId="166" fontId="3" fillId="10" borderId="186" xfId="0" applyNumberFormat="1" applyFont="1" applyFill="1" applyBorder="1" applyAlignment="1">
      <alignment horizontal="center" vertical="center"/>
    </xf>
    <xf numFmtId="166" fontId="3" fillId="19" borderId="186" xfId="0" applyNumberFormat="1" applyFont="1" applyFill="1" applyBorder="1" applyAlignment="1">
      <alignment horizontal="center" vertical="center"/>
    </xf>
    <xf numFmtId="0" fontId="162" fillId="10" borderId="186" xfId="0" applyFont="1" applyFill="1" applyBorder="1" applyAlignment="1">
      <alignment horizontal="center" vertical="center"/>
    </xf>
    <xf numFmtId="0" fontId="162" fillId="19" borderId="186" xfId="0" applyFont="1" applyFill="1" applyBorder="1" applyAlignment="1">
      <alignment horizontal="center" vertical="center"/>
    </xf>
    <xf numFmtId="0" fontId="73" fillId="108" borderId="86" xfId="0" applyFont="1" applyFill="1" applyBorder="1" applyAlignment="1">
      <alignment horizontal="center" vertical="center"/>
    </xf>
    <xf numFmtId="0" fontId="73" fillId="108" borderId="87" xfId="0" applyFont="1" applyFill="1" applyBorder="1" applyAlignment="1">
      <alignment horizontal="center" vertical="center"/>
    </xf>
    <xf numFmtId="0" fontId="73" fillId="108" borderId="89" xfId="0" applyFont="1" applyFill="1" applyBorder="1" applyAlignment="1">
      <alignment horizontal="center" vertical="center"/>
    </xf>
    <xf numFmtId="0" fontId="73" fillId="108" borderId="88" xfId="0" applyFont="1" applyFill="1" applyBorder="1" applyAlignment="1">
      <alignment horizontal="center" vertical="center"/>
    </xf>
    <xf numFmtId="0" fontId="73" fillId="108" borderId="88" xfId="0" applyFont="1" applyFill="1" applyBorder="1" applyAlignment="1">
      <alignment horizontal="center" vertical="center" wrapText="1"/>
    </xf>
    <xf numFmtId="0" fontId="73" fillId="108" borderId="89" xfId="0" applyFont="1" applyFill="1" applyBorder="1" applyAlignment="1">
      <alignment horizontal="center" vertical="center" wrapText="1"/>
    </xf>
    <xf numFmtId="0" fontId="73" fillId="108" borderId="95" xfId="0" applyFont="1" applyFill="1" applyBorder="1" applyAlignment="1">
      <alignment horizontal="center" vertical="center"/>
    </xf>
    <xf numFmtId="0" fontId="73" fillId="0" borderId="86" xfId="0" applyFont="1" applyBorder="1" applyAlignment="1">
      <alignment horizontal="center" vertical="center"/>
    </xf>
    <xf numFmtId="0" fontId="73" fillId="0" borderId="87" xfId="0" applyFont="1" applyBorder="1" applyAlignment="1">
      <alignment horizontal="center" vertical="center"/>
    </xf>
    <xf numFmtId="0" fontId="73" fillId="0" borderId="89" xfId="0" applyFont="1" applyBorder="1" applyAlignment="1">
      <alignment horizontal="center" vertical="center"/>
    </xf>
    <xf numFmtId="0" fontId="73" fillId="0" borderId="88" xfId="0" applyFont="1" applyBorder="1" applyAlignment="1">
      <alignment horizontal="center" vertical="center"/>
    </xf>
    <xf numFmtId="0" fontId="73" fillId="0" borderId="88" xfId="0" applyFont="1" applyBorder="1" applyAlignment="1">
      <alignment horizontal="center" vertical="center" wrapText="1"/>
    </xf>
    <xf numFmtId="0" fontId="73" fillId="0" borderId="89" xfId="0" applyFont="1" applyBorder="1" applyAlignment="1">
      <alignment horizontal="center" vertical="center" wrapText="1"/>
    </xf>
    <xf numFmtId="0" fontId="73" fillId="0" borderId="95" xfId="0" applyFont="1" applyBorder="1" applyAlignment="1">
      <alignment horizontal="center" vertical="center"/>
    </xf>
    <xf numFmtId="0" fontId="190" fillId="10" borderId="86" xfId="0" applyFont="1" applyFill="1" applyBorder="1" applyAlignment="1">
      <alignment horizontal="center" vertical="center"/>
    </xf>
    <xf numFmtId="0" fontId="73" fillId="10" borderId="87" xfId="0" applyFont="1" applyFill="1" applyBorder="1" applyAlignment="1">
      <alignment horizontal="center" vertical="center"/>
    </xf>
    <xf numFmtId="0" fontId="73" fillId="10" borderId="89" xfId="0" applyFont="1" applyFill="1" applyBorder="1" applyAlignment="1">
      <alignment horizontal="center" vertical="center"/>
    </xf>
    <xf numFmtId="0" fontId="73" fillId="10" borderId="88" xfId="0" applyFont="1" applyFill="1" applyBorder="1" applyAlignment="1">
      <alignment horizontal="center" vertical="center"/>
    </xf>
    <xf numFmtId="0" fontId="73" fillId="10" borderId="95" xfId="0" applyFont="1" applyFill="1" applyBorder="1" applyAlignment="1">
      <alignment horizontal="center" vertical="center"/>
    </xf>
    <xf numFmtId="0" fontId="190" fillId="0" borderId="86" xfId="0" applyFont="1" applyBorder="1" applyAlignment="1">
      <alignment horizontal="center" vertical="center"/>
    </xf>
    <xf numFmtId="0" fontId="73" fillId="0" borderId="87" xfId="0" applyFont="1" applyBorder="1" applyAlignment="1">
      <alignment horizontal="center" vertical="center" wrapText="1"/>
    </xf>
    <xf numFmtId="0" fontId="73" fillId="10" borderId="86" xfId="0" applyFont="1" applyFill="1" applyBorder="1" applyAlignment="1">
      <alignment horizontal="center" vertical="center"/>
    </xf>
    <xf numFmtId="168" fontId="73" fillId="0" borderId="97" xfId="0" applyNumberFormat="1" applyFont="1" applyBorder="1" applyAlignment="1">
      <alignment horizontal="center" vertical="center"/>
    </xf>
    <xf numFmtId="168" fontId="73" fillId="0" borderId="24" xfId="0" applyNumberFormat="1" applyFont="1" applyBorder="1" applyAlignment="1">
      <alignment horizontal="center" vertical="center"/>
    </xf>
    <xf numFmtId="0" fontId="73" fillId="0" borderId="212" xfId="0" applyFont="1" applyBorder="1" applyAlignment="1">
      <alignment horizontal="center" vertical="center"/>
    </xf>
    <xf numFmtId="0" fontId="73" fillId="0" borderId="213" xfId="0" applyFont="1" applyBorder="1" applyAlignment="1">
      <alignment horizontal="center" vertical="center"/>
    </xf>
    <xf numFmtId="0" fontId="73" fillId="0" borderId="193" xfId="0" applyFont="1" applyBorder="1" applyAlignment="1">
      <alignment horizontal="center" vertical="center"/>
    </xf>
    <xf numFmtId="0" fontId="73" fillId="0" borderId="152" xfId="0" applyFont="1" applyBorder="1" applyAlignment="1">
      <alignment horizontal="center" vertical="center"/>
    </xf>
    <xf numFmtId="0" fontId="73" fillId="0" borderId="214" xfId="0" applyFont="1" applyBorder="1" applyAlignment="1">
      <alignment horizontal="center" vertical="center"/>
    </xf>
    <xf numFmtId="168" fontId="73" fillId="0" borderId="186" xfId="0" applyNumberFormat="1" applyFont="1" applyBorder="1" applyAlignment="1">
      <alignment horizontal="center" vertical="center"/>
    </xf>
    <xf numFmtId="168" fontId="73" fillId="0" borderId="154" xfId="0" applyNumberFormat="1" applyFont="1" applyBorder="1" applyAlignment="1">
      <alignment horizontal="center" vertical="center"/>
    </xf>
    <xf numFmtId="0" fontId="73" fillId="59" borderId="97" xfId="0" applyFont="1" applyFill="1" applyBorder="1" applyAlignment="1">
      <alignment horizontal="center" vertical="center"/>
    </xf>
    <xf numFmtId="0" fontId="73" fillId="59" borderId="197" xfId="0" applyFont="1" applyFill="1" applyBorder="1" applyAlignment="1">
      <alignment horizontal="center" vertical="center"/>
    </xf>
    <xf numFmtId="0" fontId="73" fillId="9" borderId="89" xfId="0" applyFont="1" applyFill="1" applyBorder="1" applyAlignment="1">
      <alignment horizontal="center" vertical="center"/>
    </xf>
    <xf numFmtId="0" fontId="73" fillId="59" borderId="24" xfId="0" applyFont="1" applyFill="1" applyBorder="1" applyAlignment="1">
      <alignment horizontal="center" vertical="center"/>
    </xf>
    <xf numFmtId="0" fontId="73" fillId="10" borderId="146" xfId="0" applyFont="1" applyFill="1" applyBorder="1" applyAlignment="1">
      <alignment horizontal="center" vertical="center"/>
    </xf>
    <xf numFmtId="0" fontId="73" fillId="32" borderId="97" xfId="0" applyFont="1" applyFill="1" applyBorder="1" applyAlignment="1">
      <alignment horizontal="center" vertical="center"/>
    </xf>
    <xf numFmtId="0" fontId="73" fillId="10" borderId="97" xfId="0" applyFont="1" applyFill="1" applyBorder="1" applyAlignment="1">
      <alignment horizontal="center" vertical="center"/>
    </xf>
    <xf numFmtId="0" fontId="73" fillId="32" borderId="197" xfId="0" applyFont="1" applyFill="1" applyBorder="1" applyAlignment="1">
      <alignment horizontal="center" vertical="center"/>
    </xf>
    <xf numFmtId="0" fontId="73" fillId="10" borderId="97" xfId="0" applyFont="1" applyFill="1" applyBorder="1" applyAlignment="1">
      <alignment horizontal="center" vertical="center" wrapText="1"/>
    </xf>
    <xf numFmtId="0" fontId="73" fillId="32" borderId="97" xfId="0" applyFont="1" applyFill="1" applyBorder="1" applyAlignment="1">
      <alignment horizontal="center" vertical="center" wrapText="1"/>
    </xf>
    <xf numFmtId="0" fontId="73" fillId="32" borderId="24" xfId="0" applyFont="1" applyFill="1" applyBorder="1" applyAlignment="1">
      <alignment horizontal="center" vertical="center" wrapText="1"/>
    </xf>
    <xf numFmtId="0" fontId="17" fillId="9" borderId="146" xfId="0" applyFont="1" applyFill="1" applyBorder="1" applyAlignment="1">
      <alignment horizontal="center" vertical="center"/>
    </xf>
    <xf numFmtId="0" fontId="17" fillId="97" borderId="97" xfId="0" applyFont="1" applyFill="1" applyBorder="1" applyAlignment="1">
      <alignment horizontal="center" vertical="center"/>
    </xf>
    <xf numFmtId="0" fontId="17" fillId="9" borderId="97" xfId="0" applyFont="1" applyFill="1" applyBorder="1" applyAlignment="1">
      <alignment horizontal="center" vertical="center"/>
    </xf>
    <xf numFmtId="0" fontId="17" fillId="97" borderId="24" xfId="0" applyFont="1" applyFill="1" applyBorder="1" applyAlignment="1">
      <alignment horizontal="center" vertical="center"/>
    </xf>
    <xf numFmtId="0" fontId="17" fillId="10" borderId="91" xfId="0" applyFont="1" applyFill="1" applyBorder="1" applyAlignment="1">
      <alignment horizontal="center" vertical="center" wrapText="1"/>
    </xf>
    <xf numFmtId="0" fontId="17" fillId="19" borderId="91" xfId="0" applyFont="1" applyFill="1" applyBorder="1" applyAlignment="1">
      <alignment horizontal="center" vertical="center" wrapText="1"/>
    </xf>
    <xf numFmtId="0" fontId="17" fillId="19" borderId="23" xfId="0" applyFont="1" applyFill="1" applyBorder="1" applyAlignment="1">
      <alignment horizontal="center" vertical="center" wrapText="1"/>
    </xf>
    <xf numFmtId="166" fontId="17" fillId="0" borderId="93" xfId="0" applyNumberFormat="1" applyFont="1" applyBorder="1" applyAlignment="1">
      <alignment horizontal="center" vertical="center" wrapText="1"/>
    </xf>
    <xf numFmtId="166" fontId="17" fillId="0" borderId="21" xfId="0" applyNumberFormat="1" applyFont="1" applyBorder="1" applyAlignment="1">
      <alignment horizontal="center" vertical="center" wrapText="1"/>
    </xf>
    <xf numFmtId="166" fontId="17" fillId="10" borderId="190" xfId="0" applyNumberFormat="1" applyFont="1" applyFill="1" applyBorder="1" applyAlignment="1">
      <alignment horizontal="center" vertical="center" wrapText="1"/>
    </xf>
    <xf numFmtId="166" fontId="17" fillId="19" borderId="190" xfId="0" applyNumberFormat="1" applyFont="1" applyFill="1" applyBorder="1" applyAlignment="1">
      <alignment horizontal="center" vertical="center" wrapText="1"/>
    </xf>
    <xf numFmtId="166" fontId="17" fillId="19" borderId="27" xfId="0" applyNumberFormat="1" applyFont="1" applyFill="1" applyBorder="1" applyAlignment="1">
      <alignment horizontal="center" vertical="center" wrapText="1"/>
    </xf>
    <xf numFmtId="0" fontId="1" fillId="9" borderId="146" xfId="0" applyFont="1" applyFill="1" applyBorder="1" applyAlignment="1">
      <alignment horizontal="center" vertical="center"/>
    </xf>
    <xf numFmtId="0" fontId="1" fillId="97" borderId="97" xfId="0" applyFont="1" applyFill="1" applyBorder="1" applyAlignment="1">
      <alignment horizontal="center" vertical="center"/>
    </xf>
    <xf numFmtId="0" fontId="1" fillId="97" borderId="24" xfId="0" applyFont="1" applyFill="1" applyBorder="1" applyAlignment="1">
      <alignment horizontal="center" vertical="center"/>
    </xf>
    <xf numFmtId="0" fontId="17" fillId="5" borderId="146" xfId="0" applyFont="1" applyFill="1" applyBorder="1" applyAlignment="1">
      <alignment horizontal="center" vertical="center"/>
    </xf>
    <xf numFmtId="165" fontId="17" fillId="0" borderId="185" xfId="0" applyNumberFormat="1" applyFont="1" applyBorder="1" applyAlignment="1">
      <alignment horizontal="center" vertical="center"/>
    </xf>
    <xf numFmtId="165" fontId="17" fillId="0" borderId="186" xfId="0" applyNumberFormat="1" applyFont="1" applyBorder="1" applyAlignment="1">
      <alignment horizontal="center" vertical="center"/>
    </xf>
    <xf numFmtId="165" fontId="17" fillId="0" borderId="154" xfId="0" applyNumberFormat="1" applyFont="1" applyBorder="1" applyAlignment="1">
      <alignment horizontal="center" vertical="center"/>
    </xf>
    <xf numFmtId="0" fontId="17" fillId="32" borderId="146" xfId="0" applyFont="1" applyFill="1" applyBorder="1" applyAlignment="1">
      <alignment horizontal="center" vertical="center"/>
    </xf>
    <xf numFmtId="174" fontId="169" fillId="0" borderId="146" xfId="0" applyNumberFormat="1" applyFont="1" applyBorder="1" applyAlignment="1">
      <alignment horizontal="center" vertical="center"/>
    </xf>
    <xf numFmtId="174" fontId="169" fillId="0" borderId="97" xfId="0" applyNumberFormat="1" applyFont="1" applyBorder="1" applyAlignment="1">
      <alignment horizontal="center" vertical="center"/>
    </xf>
    <xf numFmtId="174" fontId="169" fillId="0" borderId="91" xfId="0" applyNumberFormat="1" applyFont="1" applyBorder="1" applyAlignment="1">
      <alignment horizontal="center" vertical="center"/>
    </xf>
    <xf numFmtId="174" fontId="169" fillId="0" borderId="190" xfId="0" applyNumberFormat="1" applyFont="1" applyBorder="1" applyAlignment="1">
      <alignment horizontal="center" vertical="center"/>
    </xf>
    <xf numFmtId="0" fontId="190" fillId="0" borderId="97" xfId="0" applyFont="1" applyBorder="1" applyAlignment="1">
      <alignment horizontal="center" vertical="center" wrapText="1"/>
    </xf>
    <xf numFmtId="0" fontId="73" fillId="0" borderId="97" xfId="0" applyFont="1" applyBorder="1" applyAlignment="1">
      <alignment horizontal="center" vertical="center" wrapText="1"/>
    </xf>
    <xf numFmtId="0" fontId="17" fillId="0" borderId="0" xfId="0" applyFont="1" applyAlignment="1">
      <alignment horizontal="left" vertical="center"/>
    </xf>
    <xf numFmtId="0" fontId="17" fillId="0" borderId="0" xfId="0" applyFont="1" applyAlignment="1">
      <alignment horizontal="center" vertical="center"/>
    </xf>
    <xf numFmtId="0" fontId="12" fillId="9" borderId="217" xfId="0" applyFont="1" applyFill="1" applyBorder="1" applyAlignment="1">
      <alignment horizontal="center" vertical="center"/>
    </xf>
    <xf numFmtId="0" fontId="12" fillId="52" borderId="91" xfId="0" applyFont="1" applyFill="1" applyBorder="1" applyAlignment="1">
      <alignment horizontal="center" vertical="center"/>
    </xf>
    <xf numFmtId="0" fontId="12" fillId="9" borderId="91" xfId="0" applyFont="1" applyFill="1" applyBorder="1" applyAlignment="1">
      <alignment horizontal="center" vertical="center"/>
    </xf>
    <xf numFmtId="0" fontId="12" fillId="9" borderId="163" xfId="0" applyFont="1" applyFill="1" applyBorder="1" applyAlignment="1">
      <alignment horizontal="center" vertical="center"/>
    </xf>
    <xf numFmtId="0" fontId="12" fillId="52" borderId="23" xfId="0" applyFont="1" applyFill="1" applyBorder="1" applyAlignment="1">
      <alignment horizontal="center" vertical="center"/>
    </xf>
    <xf numFmtId="0" fontId="73" fillId="4" borderId="9" xfId="0" applyFont="1" applyFill="1" applyBorder="1" applyAlignment="1">
      <alignment horizontal="center" vertical="center" wrapText="1"/>
    </xf>
    <xf numFmtId="0" fontId="73" fillId="6" borderId="0" xfId="0" applyFont="1" applyFill="1" applyAlignment="1">
      <alignment horizontal="center" vertical="center" wrapText="1"/>
    </xf>
    <xf numFmtId="0" fontId="73" fillId="4" borderId="78" xfId="0" applyFont="1" applyFill="1" applyBorder="1" applyAlignment="1">
      <alignment horizontal="center" vertical="center" wrapText="1"/>
    </xf>
    <xf numFmtId="0" fontId="73" fillId="6" borderId="90" xfId="0" applyFont="1" applyFill="1" applyBorder="1" applyAlignment="1">
      <alignment horizontal="center" vertical="center" wrapText="1"/>
    </xf>
    <xf numFmtId="0" fontId="190" fillId="0" borderId="78" xfId="0" applyFont="1" applyBorder="1" applyAlignment="1">
      <alignment horizontal="center" vertical="center" wrapText="1"/>
    </xf>
    <xf numFmtId="0" fontId="73" fillId="0" borderId="0" xfId="0" applyFont="1" applyAlignment="1">
      <alignment horizontal="center" vertical="center" wrapText="1"/>
    </xf>
    <xf numFmtId="0" fontId="73" fillId="0" borderId="90" xfId="0" applyFont="1" applyBorder="1" applyAlignment="1">
      <alignment horizontal="center" vertical="center" wrapText="1"/>
    </xf>
    <xf numFmtId="0" fontId="73" fillId="0" borderId="10" xfId="0" applyFont="1" applyBorder="1" applyAlignment="1">
      <alignment horizontal="center" vertical="center" wrapText="1"/>
    </xf>
    <xf numFmtId="0" fontId="73" fillId="5" borderId="9" xfId="0" applyFont="1" applyFill="1" applyBorder="1" applyAlignment="1">
      <alignment horizontal="center" vertical="center" wrapText="1"/>
    </xf>
    <xf numFmtId="0" fontId="73" fillId="52" borderId="0" xfId="0" applyFont="1" applyFill="1" applyAlignment="1">
      <alignment horizontal="center" vertical="center" wrapText="1"/>
    </xf>
    <xf numFmtId="0" fontId="73" fillId="5" borderId="78" xfId="0" applyFont="1" applyFill="1" applyBorder="1" applyAlignment="1">
      <alignment horizontal="center" vertical="center" wrapText="1"/>
    </xf>
    <xf numFmtId="0" fontId="73" fillId="52" borderId="90" xfId="0" applyFont="1" applyFill="1" applyBorder="1" applyAlignment="1">
      <alignment horizontal="center" vertical="center" wrapText="1"/>
    </xf>
    <xf numFmtId="0" fontId="190" fillId="10" borderId="78" xfId="0" applyFont="1" applyFill="1" applyBorder="1" applyAlignment="1">
      <alignment horizontal="center" vertical="center" wrapText="1"/>
    </xf>
    <xf numFmtId="0" fontId="73" fillId="32" borderId="0" xfId="0" applyFont="1" applyFill="1" applyAlignment="1">
      <alignment horizontal="center" vertical="center" wrapText="1"/>
    </xf>
    <xf numFmtId="0" fontId="73" fillId="32" borderId="90" xfId="0" applyFont="1" applyFill="1" applyBorder="1" applyAlignment="1">
      <alignment horizontal="center" vertical="center" wrapText="1"/>
    </xf>
    <xf numFmtId="0" fontId="73" fillId="10" borderId="0" xfId="0" applyFont="1" applyFill="1" applyAlignment="1">
      <alignment horizontal="center" vertical="center" wrapText="1"/>
    </xf>
    <xf numFmtId="0" fontId="73" fillId="32" borderId="10" xfId="0" applyFont="1" applyFill="1" applyBorder="1" applyAlignment="1">
      <alignment horizontal="center" vertical="center" wrapText="1"/>
    </xf>
    <xf numFmtId="0" fontId="17" fillId="4" borderId="9" xfId="0" applyFont="1" applyFill="1" applyBorder="1" applyAlignment="1">
      <alignment horizontal="center" vertical="center"/>
    </xf>
    <xf numFmtId="0" fontId="17" fillId="6" borderId="0" xfId="0" applyFont="1" applyFill="1" applyAlignment="1">
      <alignment horizontal="center" vertical="center"/>
    </xf>
    <xf numFmtId="0" fontId="17" fillId="4" borderId="78" xfId="0" applyFont="1" applyFill="1" applyBorder="1" applyAlignment="1">
      <alignment horizontal="center" vertical="center"/>
    </xf>
    <xf numFmtId="0" fontId="17" fillId="6" borderId="90" xfId="0" applyFont="1" applyFill="1" applyBorder="1" applyAlignment="1">
      <alignment horizontal="center" vertical="center"/>
    </xf>
    <xf numFmtId="0" fontId="189" fillId="0" borderId="78" xfId="0" applyFont="1" applyBorder="1" applyAlignment="1">
      <alignment horizontal="center" vertical="center"/>
    </xf>
    <xf numFmtId="0" fontId="17" fillId="0" borderId="90" xfId="0" applyFont="1" applyBorder="1" applyAlignment="1">
      <alignment horizontal="center" vertical="center"/>
    </xf>
    <xf numFmtId="0" fontId="17" fillId="0" borderId="10" xfId="0" applyFont="1" applyBorder="1" applyAlignment="1">
      <alignment horizontal="center" vertical="center"/>
    </xf>
    <xf numFmtId="0" fontId="73" fillId="10" borderId="78" xfId="0" applyFont="1" applyFill="1" applyBorder="1" applyAlignment="1">
      <alignment horizontal="center" vertical="center" wrapText="1"/>
    </xf>
    <xf numFmtId="0" fontId="17" fillId="4" borderId="11" xfId="0" applyFont="1" applyFill="1" applyBorder="1" applyAlignment="1">
      <alignment horizontal="center" vertical="center"/>
    </xf>
    <xf numFmtId="0" fontId="17" fillId="6" borderId="14" xfId="0" applyFont="1" applyFill="1" applyBorder="1" applyAlignment="1">
      <alignment horizontal="center" vertical="center"/>
    </xf>
    <xf numFmtId="0" fontId="17" fillId="4" borderId="98" xfId="0" applyFont="1" applyFill="1" applyBorder="1" applyAlignment="1">
      <alignment horizontal="center" vertical="center"/>
    </xf>
    <xf numFmtId="0" fontId="17" fillId="6" borderId="96" xfId="0" applyFont="1" applyFill="1" applyBorder="1" applyAlignment="1">
      <alignment horizontal="center" vertical="center"/>
    </xf>
    <xf numFmtId="0" fontId="17" fillId="0" borderId="98" xfId="0" applyFont="1" applyBorder="1" applyAlignment="1">
      <alignment horizontal="center" vertical="center"/>
    </xf>
    <xf numFmtId="0" fontId="17" fillId="0" borderId="14" xfId="0" applyFont="1" applyBorder="1" applyAlignment="1">
      <alignment horizontal="center" vertical="center"/>
    </xf>
    <xf numFmtId="0" fontId="17" fillId="0" borderId="96" xfId="0" applyFont="1" applyBorder="1" applyAlignment="1">
      <alignment horizontal="center" vertical="center"/>
    </xf>
    <xf numFmtId="0" fontId="17" fillId="0" borderId="12" xfId="0" applyFont="1" applyBorder="1" applyAlignment="1">
      <alignment horizontal="center" vertical="center"/>
    </xf>
    <xf numFmtId="0" fontId="49" fillId="2" borderId="7" xfId="0" applyFont="1" applyFill="1" applyBorder="1" applyAlignment="1">
      <alignment horizontal="center" vertical="center"/>
    </xf>
    <xf numFmtId="0" fontId="49" fillId="76" borderId="13" xfId="0" applyFont="1" applyFill="1" applyBorder="1" applyAlignment="1">
      <alignment horizontal="center" vertical="center"/>
    </xf>
    <xf numFmtId="0" fontId="49" fillId="76" borderId="8" xfId="0" applyFont="1" applyFill="1" applyBorder="1" applyAlignment="1">
      <alignment horizontal="center" vertical="center"/>
    </xf>
    <xf numFmtId="49" fontId="17" fillId="9" borderId="217" xfId="0" applyNumberFormat="1" applyFont="1" applyFill="1" applyBorder="1" applyAlignment="1">
      <alignment horizontal="center" vertical="top" wrapText="1"/>
    </xf>
    <xf numFmtId="49" fontId="17" fillId="59" borderId="91" xfId="0" applyNumberFormat="1" applyFont="1" applyFill="1" applyBorder="1" applyAlignment="1">
      <alignment horizontal="center" vertical="top" wrapText="1"/>
    </xf>
    <xf numFmtId="49" fontId="17" fillId="9" borderId="163" xfId="0" applyNumberFormat="1" applyFont="1" applyFill="1" applyBorder="1" applyAlignment="1">
      <alignment horizontal="center" vertical="top"/>
    </xf>
    <xf numFmtId="49" fontId="17" fillId="59" borderId="91" xfId="0" applyNumberFormat="1" applyFont="1" applyFill="1" applyBorder="1" applyAlignment="1">
      <alignment horizontal="center" vertical="top"/>
    </xf>
    <xf numFmtId="49" fontId="17" fillId="59" borderId="23" xfId="0" applyNumberFormat="1" applyFont="1" applyFill="1" applyBorder="1" applyAlignment="1">
      <alignment horizontal="center" vertical="top"/>
    </xf>
    <xf numFmtId="0" fontId="17" fillId="9" borderId="86" xfId="0" applyFont="1" applyFill="1" applyBorder="1" applyAlignment="1">
      <alignment horizontal="center" vertical="center"/>
    </xf>
    <xf numFmtId="0" fontId="17" fillId="75" borderId="87" xfId="0" applyFont="1" applyFill="1" applyBorder="1" applyAlignment="1">
      <alignment horizontal="center" vertical="center"/>
    </xf>
    <xf numFmtId="0" fontId="17" fillId="75" borderId="89" xfId="0" applyFont="1" applyFill="1" applyBorder="1" applyAlignment="1">
      <alignment horizontal="center" vertical="center"/>
    </xf>
    <xf numFmtId="0" fontId="17" fillId="75" borderId="95" xfId="0" applyFont="1" applyFill="1" applyBorder="1" applyAlignment="1">
      <alignment horizontal="center" vertical="center"/>
    </xf>
    <xf numFmtId="49" fontId="17" fillId="0" borderId="9" xfId="0" applyNumberFormat="1" applyFont="1" applyBorder="1" applyAlignment="1">
      <alignment horizontal="center" vertical="center" wrapText="1"/>
    </xf>
    <xf numFmtId="49" fontId="17" fillId="0" borderId="0" xfId="0" applyNumberFormat="1" applyFont="1" applyAlignment="1">
      <alignment horizontal="center" vertical="center" wrapText="1"/>
    </xf>
    <xf numFmtId="49" fontId="17" fillId="0" borderId="90" xfId="0" applyNumberFormat="1" applyFont="1" applyBorder="1" applyAlignment="1">
      <alignment horizontal="center" vertical="center" wrapText="1"/>
    </xf>
    <xf numFmtId="49" fontId="17" fillId="0" borderId="10" xfId="0" applyNumberFormat="1" applyFont="1" applyBorder="1" applyAlignment="1">
      <alignment horizontal="center" vertical="center" wrapText="1"/>
    </xf>
    <xf numFmtId="0" fontId="1" fillId="5" borderId="82" xfId="2" applyFont="1" applyFill="1" applyBorder="1" applyAlignment="1">
      <alignment horizontal="center" vertical="center"/>
      <protection locked="0"/>
    </xf>
    <xf numFmtId="0" fontId="1" fillId="6" borderId="83" xfId="2" applyFont="1" applyBorder="1" applyAlignment="1">
      <alignment horizontal="center" vertical="center"/>
      <protection locked="0"/>
    </xf>
    <xf numFmtId="0" fontId="1" fillId="6" borderId="141" xfId="2" applyFont="1" applyBorder="1" applyAlignment="1">
      <alignment horizontal="center" vertical="center"/>
      <protection locked="0"/>
    </xf>
    <xf numFmtId="0" fontId="1" fillId="5" borderId="83" xfId="2" applyFont="1" applyFill="1" applyBorder="1" applyAlignment="1">
      <alignment horizontal="center" vertical="center"/>
      <protection locked="0"/>
    </xf>
    <xf numFmtId="0" fontId="1" fillId="6" borderId="219" xfId="2" applyFont="1" applyBorder="1" applyAlignment="1">
      <alignment horizontal="center" vertical="center"/>
      <protection locked="0"/>
    </xf>
    <xf numFmtId="0" fontId="17" fillId="5" borderId="85" xfId="0" applyFont="1" applyFill="1" applyBorder="1" applyAlignment="1">
      <alignment horizontal="center" vertical="center"/>
    </xf>
    <xf numFmtId="0" fontId="17" fillId="6" borderId="83" xfId="0" applyFont="1" applyFill="1" applyBorder="1" applyAlignment="1">
      <alignment horizontal="center" vertical="center"/>
    </xf>
    <xf numFmtId="0" fontId="17" fillId="6" borderId="141" xfId="0" applyFont="1" applyFill="1" applyBorder="1" applyAlignment="1">
      <alignment horizontal="center" vertical="center"/>
    </xf>
    <xf numFmtId="0" fontId="17" fillId="5" borderId="83" xfId="0" applyFont="1" applyFill="1" applyBorder="1" applyAlignment="1">
      <alignment horizontal="center" vertical="center"/>
    </xf>
    <xf numFmtId="0" fontId="17" fillId="6" borderId="94" xfId="0" applyFont="1" applyFill="1" applyBorder="1" applyAlignment="1">
      <alignment horizontal="center" vertical="center"/>
    </xf>
    <xf numFmtId="49" fontId="17" fillId="10" borderId="9" xfId="0" applyNumberFormat="1" applyFont="1" applyFill="1" applyBorder="1" applyAlignment="1">
      <alignment horizontal="center" vertical="center" wrapText="1"/>
    </xf>
    <xf numFmtId="49" fontId="17" fillId="32" borderId="0" xfId="0" applyNumberFormat="1" applyFont="1" applyFill="1" applyAlignment="1">
      <alignment horizontal="center" vertical="center" wrapText="1"/>
    </xf>
    <xf numFmtId="49" fontId="17" fillId="32" borderId="90" xfId="0" applyNumberFormat="1" applyFont="1" applyFill="1" applyBorder="1" applyAlignment="1">
      <alignment horizontal="center" vertical="center" wrapText="1"/>
    </xf>
    <xf numFmtId="49" fontId="17" fillId="10" borderId="0" xfId="0" applyNumberFormat="1" applyFont="1" applyFill="1" applyAlignment="1">
      <alignment horizontal="center" vertical="center" wrapText="1"/>
    </xf>
    <xf numFmtId="49" fontId="17" fillId="32" borderId="10" xfId="0" applyNumberFormat="1" applyFont="1" applyFill="1" applyBorder="1" applyAlignment="1">
      <alignment horizontal="center" vertical="center" wrapText="1"/>
    </xf>
    <xf numFmtId="49" fontId="19" fillId="10" borderId="0" xfId="0" applyNumberFormat="1" applyFont="1" applyFill="1" applyAlignment="1">
      <alignment horizontal="center" vertical="center" wrapText="1"/>
    </xf>
    <xf numFmtId="49" fontId="19" fillId="32" borderId="0" xfId="0" applyNumberFormat="1" applyFont="1" applyFill="1" applyAlignment="1">
      <alignment horizontal="center" vertical="center" wrapText="1"/>
    </xf>
    <xf numFmtId="49" fontId="19" fillId="32" borderId="220" xfId="0" applyNumberFormat="1" applyFont="1" applyFill="1" applyBorder="1" applyAlignment="1">
      <alignment horizontal="center" vertical="center" wrapText="1"/>
    </xf>
    <xf numFmtId="49" fontId="19" fillId="10" borderId="78" xfId="0" applyNumberFormat="1" applyFont="1" applyFill="1" applyBorder="1" applyAlignment="1">
      <alignment horizontal="center" vertical="center" wrapText="1"/>
    </xf>
    <xf numFmtId="49" fontId="19" fillId="32" borderId="90" xfId="0" applyNumberFormat="1" applyFont="1" applyFill="1" applyBorder="1" applyAlignment="1">
      <alignment horizontal="center" vertical="center" wrapText="1"/>
    </xf>
    <xf numFmtId="49" fontId="19" fillId="0" borderId="0" xfId="0" applyNumberFormat="1" applyFont="1" applyAlignment="1">
      <alignment horizontal="center" vertical="center" wrapText="1"/>
    </xf>
    <xf numFmtId="49" fontId="19" fillId="0" borderId="220" xfId="0" applyNumberFormat="1" applyFont="1" applyBorder="1" applyAlignment="1">
      <alignment horizontal="center" vertical="center" wrapText="1"/>
    </xf>
    <xf numFmtId="49" fontId="19" fillId="0" borderId="78" xfId="0" applyNumberFormat="1" applyFont="1" applyBorder="1" applyAlignment="1">
      <alignment horizontal="center" vertical="center" wrapText="1"/>
    </xf>
    <xf numFmtId="49" fontId="19" fillId="0" borderId="90" xfId="0" applyNumberFormat="1" applyFont="1" applyBorder="1" applyAlignment="1">
      <alignment horizontal="center" vertical="center" wrapText="1"/>
    </xf>
    <xf numFmtId="49" fontId="73" fillId="10" borderId="0" xfId="0" applyNumberFormat="1" applyFont="1" applyFill="1" applyAlignment="1">
      <alignment horizontal="center" vertical="center" wrapText="1"/>
    </xf>
    <xf numFmtId="49" fontId="73" fillId="32" borderId="0" xfId="0" applyNumberFormat="1" applyFont="1" applyFill="1" applyAlignment="1">
      <alignment horizontal="center" vertical="center" wrapText="1"/>
    </xf>
    <xf numFmtId="49" fontId="73" fillId="32" borderId="220" xfId="0" applyNumberFormat="1" applyFont="1" applyFill="1" applyBorder="1" applyAlignment="1">
      <alignment horizontal="center" vertical="center" wrapText="1"/>
    </xf>
    <xf numFmtId="49" fontId="73" fillId="10" borderId="78" xfId="0" applyNumberFormat="1" applyFont="1" applyFill="1" applyBorder="1" applyAlignment="1">
      <alignment horizontal="center" vertical="center" wrapText="1"/>
    </xf>
    <xf numFmtId="49" fontId="73" fillId="32" borderId="90" xfId="0" applyNumberFormat="1" applyFont="1" applyFill="1" applyBorder="1" applyAlignment="1">
      <alignment horizontal="center" vertical="center" wrapText="1"/>
    </xf>
    <xf numFmtId="49" fontId="73" fillId="0" borderId="0" xfId="0" applyNumberFormat="1" applyFont="1" applyAlignment="1">
      <alignment horizontal="center" vertical="center" wrapText="1"/>
    </xf>
    <xf numFmtId="49" fontId="73" fillId="0" borderId="220" xfId="0" applyNumberFormat="1" applyFont="1" applyBorder="1" applyAlignment="1">
      <alignment horizontal="center" vertical="center" wrapText="1"/>
    </xf>
    <xf numFmtId="49" fontId="73" fillId="0" borderId="78" xfId="0" applyNumberFormat="1" applyFont="1" applyBorder="1" applyAlignment="1">
      <alignment horizontal="center" vertical="center" wrapText="1"/>
    </xf>
    <xf numFmtId="49" fontId="73" fillId="0" borderId="90" xfId="0" applyNumberFormat="1" applyFont="1" applyBorder="1" applyAlignment="1">
      <alignment horizontal="center" vertical="center" wrapText="1"/>
    </xf>
    <xf numFmtId="0" fontId="1" fillId="9" borderId="200" xfId="0" applyFont="1" applyFill="1" applyBorder="1" applyAlignment="1">
      <alignment horizontal="center" vertical="center"/>
    </xf>
    <xf numFmtId="0" fontId="1" fillId="97" borderId="190" xfId="0" applyFont="1" applyFill="1" applyBorder="1" applyAlignment="1">
      <alignment horizontal="center" vertical="center"/>
    </xf>
    <xf numFmtId="0" fontId="1" fillId="97" borderId="27" xfId="0" applyFont="1" applyFill="1" applyBorder="1" applyAlignment="1">
      <alignment horizontal="center" vertical="center"/>
    </xf>
    <xf numFmtId="49" fontId="17" fillId="10" borderId="11" xfId="0" applyNumberFormat="1" applyFont="1" applyFill="1" applyBorder="1" applyAlignment="1">
      <alignment horizontal="center" vertical="center" wrapText="1"/>
    </xf>
    <xf numFmtId="49" fontId="17" fillId="32" borderId="14" xfId="0" applyNumberFormat="1" applyFont="1" applyFill="1" applyBorder="1" applyAlignment="1">
      <alignment horizontal="center" vertical="center" wrapText="1"/>
    </xf>
    <xf numFmtId="49" fontId="17" fillId="32" borderId="96" xfId="0" applyNumberFormat="1" applyFont="1" applyFill="1" applyBorder="1" applyAlignment="1">
      <alignment horizontal="center" vertical="center" wrapText="1"/>
    </xf>
    <xf numFmtId="49" fontId="73" fillId="10" borderId="14" xfId="0" applyNumberFormat="1" applyFont="1" applyFill="1" applyBorder="1" applyAlignment="1">
      <alignment horizontal="center" vertical="center" wrapText="1"/>
    </xf>
    <xf numFmtId="49" fontId="73" fillId="32" borderId="14" xfId="0" applyNumberFormat="1" applyFont="1" applyFill="1" applyBorder="1" applyAlignment="1">
      <alignment horizontal="center" vertical="center" wrapText="1"/>
    </xf>
    <xf numFmtId="49" fontId="73" fillId="10" borderId="98" xfId="0" applyNumberFormat="1" applyFont="1" applyFill="1" applyBorder="1" applyAlignment="1">
      <alignment horizontal="center" vertical="center" wrapText="1"/>
    </xf>
    <xf numFmtId="49" fontId="73" fillId="32" borderId="96" xfId="0" applyNumberFormat="1" applyFont="1" applyFill="1" applyBorder="1" applyAlignment="1">
      <alignment horizontal="center" vertical="center" wrapText="1"/>
    </xf>
    <xf numFmtId="49" fontId="17" fillId="10" borderId="14" xfId="0" applyNumberFormat="1" applyFont="1" applyFill="1" applyBorder="1" applyAlignment="1">
      <alignment horizontal="center" vertical="center" wrapText="1"/>
    </xf>
    <xf numFmtId="49" fontId="17" fillId="32" borderId="12" xfId="0" applyNumberFormat="1" applyFont="1" applyFill="1" applyBorder="1" applyAlignment="1">
      <alignment horizontal="center" vertical="center" wrapText="1"/>
    </xf>
    <xf numFmtId="49" fontId="17" fillId="10" borderId="82" xfId="0" applyNumberFormat="1" applyFont="1" applyFill="1" applyBorder="1" applyAlignment="1">
      <alignment horizontal="center" vertical="center" wrapText="1"/>
    </xf>
    <xf numFmtId="49" fontId="17" fillId="32" borderId="83" xfId="0" applyNumberFormat="1" applyFont="1" applyFill="1" applyBorder="1" applyAlignment="1">
      <alignment horizontal="center" vertical="center" wrapText="1"/>
    </xf>
    <xf numFmtId="49" fontId="17" fillId="32" borderId="141" xfId="0" applyNumberFormat="1" applyFont="1" applyFill="1" applyBorder="1" applyAlignment="1">
      <alignment horizontal="center" vertical="center" wrapText="1"/>
    </xf>
    <xf numFmtId="49" fontId="17" fillId="10" borderId="83" xfId="0" applyNumberFormat="1" applyFont="1" applyFill="1" applyBorder="1" applyAlignment="1">
      <alignment horizontal="center" vertical="center" wrapText="1"/>
    </xf>
    <xf numFmtId="49" fontId="17" fillId="32" borderId="94" xfId="0" applyNumberFormat="1" applyFont="1" applyFill="1" applyBorder="1" applyAlignment="1">
      <alignment horizontal="center" vertical="center" wrapText="1"/>
    </xf>
    <xf numFmtId="0" fontId="49" fillId="2" borderId="7" xfId="5" applyFont="1" applyFill="1" applyBorder="1" applyAlignment="1">
      <alignment horizontal="center" vertical="center"/>
      <protection locked="0"/>
    </xf>
    <xf numFmtId="0" fontId="49" fillId="76" borderId="13" xfId="5" applyFont="1" applyFill="1" applyBorder="1" applyAlignment="1">
      <alignment horizontal="center" vertical="center"/>
      <protection locked="0"/>
    </xf>
    <xf numFmtId="0" fontId="49" fillId="76" borderId="8" xfId="5" applyFont="1" applyFill="1" applyBorder="1" applyAlignment="1">
      <alignment horizontal="center" vertical="center"/>
      <protection locked="0"/>
    </xf>
    <xf numFmtId="0" fontId="12" fillId="9" borderId="86" xfId="3" applyFont="1" applyFill="1" applyBorder="1" applyAlignment="1">
      <alignment horizontal="center" vertical="center"/>
      <protection locked="0"/>
    </xf>
    <xf numFmtId="0" fontId="12" fillId="59" borderId="87" xfId="3" applyFont="1" applyFill="1" applyBorder="1" applyAlignment="1">
      <alignment horizontal="center" vertical="center"/>
      <protection locked="0"/>
    </xf>
    <xf numFmtId="0" fontId="12" fillId="9" borderId="88" xfId="3" applyFont="1" applyFill="1" applyBorder="1" applyAlignment="1">
      <alignment horizontal="center" vertical="center"/>
      <protection locked="0"/>
    </xf>
    <xf numFmtId="0" fontId="12" fillId="59" borderId="89" xfId="3" applyFont="1" applyFill="1" applyBorder="1" applyAlignment="1">
      <alignment horizontal="center" vertical="center"/>
      <protection locked="0"/>
    </xf>
    <xf numFmtId="0" fontId="12" fillId="9" borderId="87" xfId="3" applyFont="1" applyFill="1" applyBorder="1" applyAlignment="1">
      <alignment horizontal="center" vertical="center"/>
      <protection locked="0"/>
    </xf>
    <xf numFmtId="49" fontId="17" fillId="9" borderId="88" xfId="0" applyNumberFormat="1" applyFont="1" applyFill="1" applyBorder="1" applyAlignment="1">
      <alignment horizontal="center" vertical="center" wrapText="1"/>
    </xf>
    <xf numFmtId="49" fontId="17" fillId="59" borderId="87" xfId="0" applyNumberFormat="1" applyFont="1" applyFill="1" applyBorder="1" applyAlignment="1">
      <alignment horizontal="center" vertical="center" wrapText="1"/>
    </xf>
    <xf numFmtId="49" fontId="17" fillId="59" borderId="95" xfId="0" applyNumberFormat="1" applyFont="1" applyFill="1" applyBorder="1" applyAlignment="1">
      <alignment horizontal="center" vertical="center" wrapText="1"/>
    </xf>
    <xf numFmtId="49" fontId="73" fillId="0" borderId="9" xfId="0" applyNumberFormat="1" applyFont="1" applyBorder="1" applyAlignment="1">
      <alignment horizontal="center" vertical="center" wrapText="1"/>
    </xf>
    <xf numFmtId="49" fontId="73" fillId="0" borderId="21" xfId="0" applyNumberFormat="1" applyFont="1" applyBorder="1" applyAlignment="1">
      <alignment horizontal="center" vertical="center" wrapText="1"/>
    </xf>
    <xf numFmtId="49" fontId="73" fillId="10" borderId="9" xfId="0" applyNumberFormat="1" applyFont="1" applyFill="1" applyBorder="1" applyAlignment="1">
      <alignment horizontal="center" vertical="center" wrapText="1"/>
    </xf>
    <xf numFmtId="49" fontId="73" fillId="32" borderId="78" xfId="0" applyNumberFormat="1" applyFont="1" applyFill="1" applyBorder="1" applyAlignment="1">
      <alignment horizontal="center" vertical="center" wrapText="1"/>
    </xf>
    <xf numFmtId="49" fontId="73" fillId="32" borderId="21" xfId="0" applyNumberFormat="1" applyFont="1" applyFill="1" applyBorder="1" applyAlignment="1">
      <alignment horizontal="center" vertical="center" wrapText="1"/>
    </xf>
    <xf numFmtId="0" fontId="73" fillId="0" borderId="97" xfId="0" applyFont="1" applyBorder="1" applyAlignment="1">
      <alignment horizontal="center" vertical="center"/>
    </xf>
    <xf numFmtId="0" fontId="73" fillId="0" borderId="24" xfId="0" applyFont="1" applyBorder="1">
      <alignment vertical="center"/>
    </xf>
    <xf numFmtId="0" fontId="73" fillId="0" borderId="146" xfId="0" applyFont="1" applyBorder="1" applyAlignment="1">
      <alignment horizontal="center" vertical="center"/>
    </xf>
    <xf numFmtId="0" fontId="73" fillId="0" borderId="24" xfId="0" applyFont="1" applyBorder="1" applyAlignment="1">
      <alignment horizontal="center" vertical="center"/>
    </xf>
    <xf numFmtId="49" fontId="73" fillId="0" borderId="11" xfId="0" applyNumberFormat="1" applyFont="1" applyBorder="1" applyAlignment="1">
      <alignment horizontal="center" vertical="center" wrapText="1"/>
    </xf>
    <xf numFmtId="49" fontId="73" fillId="0" borderId="98" xfId="0" applyNumberFormat="1" applyFont="1" applyBorder="1" applyAlignment="1">
      <alignment horizontal="center" vertical="center" wrapText="1"/>
    </xf>
    <xf numFmtId="49" fontId="73" fillId="0" borderId="22" xfId="0" applyNumberFormat="1" applyFont="1" applyBorder="1" applyAlignment="1">
      <alignment horizontal="center" vertical="center" wrapText="1"/>
    </xf>
    <xf numFmtId="0" fontId="1" fillId="9" borderId="144" xfId="0" applyFont="1" applyFill="1" applyBorder="1" applyAlignment="1">
      <alignment horizontal="center" vertical="center"/>
    </xf>
    <xf numFmtId="0" fontId="1" fillId="97" borderId="145" xfId="0" applyFont="1" applyFill="1" applyBorder="1" applyAlignment="1">
      <alignment horizontal="center" vertical="center"/>
    </xf>
    <xf numFmtId="0" fontId="1" fillId="97" borderId="147" xfId="0" applyFont="1" applyFill="1" applyBorder="1" applyAlignment="1">
      <alignment horizontal="center" vertical="center"/>
    </xf>
    <xf numFmtId="0" fontId="73" fillId="0" borderId="217" xfId="0" applyFont="1" applyBorder="1" applyAlignment="1">
      <alignment horizontal="center" vertical="center"/>
    </xf>
    <xf numFmtId="0" fontId="73" fillId="0" borderId="91" xfId="0" applyFont="1" applyBorder="1" applyAlignment="1">
      <alignment horizontal="center" vertical="center"/>
    </xf>
    <xf numFmtId="0" fontId="73" fillId="0" borderId="23" xfId="0" applyFont="1" applyBorder="1" applyAlignment="1">
      <alignment horizontal="center" vertical="center"/>
    </xf>
    <xf numFmtId="49" fontId="17" fillId="9" borderId="146" xfId="0" applyNumberFormat="1" applyFont="1" applyFill="1" applyBorder="1" applyAlignment="1">
      <alignment horizontal="center" vertical="top" wrapText="1"/>
    </xf>
    <xf numFmtId="49" fontId="17" fillId="59" borderId="97" xfId="0" applyNumberFormat="1" applyFont="1" applyFill="1" applyBorder="1" applyAlignment="1">
      <alignment horizontal="center" vertical="top" wrapText="1"/>
    </xf>
    <xf numFmtId="49" fontId="17" fillId="9" borderId="97" xfId="0" applyNumberFormat="1" applyFont="1" applyFill="1" applyBorder="1" applyAlignment="1">
      <alignment horizontal="center" vertical="top"/>
    </xf>
    <xf numFmtId="49" fontId="17" fillId="59" borderId="97" xfId="0" applyNumberFormat="1" applyFont="1" applyFill="1" applyBorder="1" applyAlignment="1">
      <alignment horizontal="center" vertical="top"/>
    </xf>
    <xf numFmtId="49" fontId="17" fillId="9" borderId="97" xfId="0" applyNumberFormat="1" applyFont="1" applyFill="1" applyBorder="1" applyAlignment="1">
      <alignment horizontal="center" vertical="top" wrapText="1"/>
    </xf>
    <xf numFmtId="49" fontId="17" fillId="59" borderId="24" xfId="0" applyNumberFormat="1" applyFont="1" applyFill="1" applyBorder="1" applyAlignment="1">
      <alignment horizontal="center" vertical="top"/>
    </xf>
    <xf numFmtId="0" fontId="10" fillId="5" borderId="146" xfId="0" applyFont="1" applyFill="1" applyBorder="1" applyAlignment="1">
      <alignment horizontal="right" vertical="top"/>
    </xf>
    <xf numFmtId="0" fontId="10" fillId="6" borderId="97" xfId="0" applyFont="1" applyFill="1" applyBorder="1" applyAlignment="1">
      <alignment horizontal="right" vertical="top"/>
    </xf>
    <xf numFmtId="0" fontId="10" fillId="5" borderId="97" xfId="0" applyFont="1" applyFill="1" applyBorder="1" applyAlignment="1">
      <alignment horizontal="left" vertical="top"/>
    </xf>
    <xf numFmtId="0" fontId="10" fillId="6" borderId="97" xfId="0" applyFont="1" applyFill="1" applyBorder="1" applyAlignment="1">
      <alignment horizontal="left" vertical="top"/>
    </xf>
    <xf numFmtId="0" fontId="10" fillId="5" borderId="97" xfId="0" applyFont="1" applyFill="1" applyBorder="1" applyAlignment="1">
      <alignment horizontal="right" vertical="top"/>
    </xf>
    <xf numFmtId="174" fontId="15" fillId="5" borderId="97" xfId="0" applyNumberFormat="1" applyFont="1" applyFill="1" applyBorder="1" applyAlignment="1">
      <alignment horizontal="left" vertical="top"/>
    </xf>
    <xf numFmtId="174" fontId="15" fillId="6" borderId="97" xfId="0" applyNumberFormat="1" applyFont="1" applyFill="1" applyBorder="1" applyAlignment="1">
      <alignment horizontal="left" vertical="top"/>
    </xf>
    <xf numFmtId="174" fontId="15" fillId="6" borderId="24" xfId="0" applyNumberFormat="1" applyFont="1" applyFill="1" applyBorder="1" applyAlignment="1">
      <alignment horizontal="left" vertical="top"/>
    </xf>
    <xf numFmtId="49" fontId="17" fillId="0" borderId="217" xfId="0" applyNumberFormat="1" applyFont="1" applyBorder="1" applyAlignment="1">
      <alignment horizontal="center" vertical="center" wrapText="1"/>
    </xf>
    <xf numFmtId="49" fontId="17" fillId="0" borderId="91" xfId="0" applyNumberFormat="1" applyFont="1" applyBorder="1" applyAlignment="1">
      <alignment horizontal="center" vertical="center" wrapText="1"/>
    </xf>
    <xf numFmtId="49" fontId="17" fillId="0" borderId="84" xfId="0" applyNumberFormat="1" applyFont="1" applyBorder="1" applyAlignment="1">
      <alignment horizontal="center" vertical="center" wrapText="1"/>
    </xf>
    <xf numFmtId="49" fontId="17" fillId="0" borderId="163" xfId="0" applyNumberFormat="1" applyFont="1" applyBorder="1" applyAlignment="1">
      <alignment horizontal="center" vertical="center" wrapText="1"/>
    </xf>
    <xf numFmtId="49" fontId="17" fillId="0" borderId="23" xfId="0" applyNumberFormat="1" applyFont="1" applyBorder="1" applyAlignment="1">
      <alignment horizontal="center" vertical="center" wrapText="1"/>
    </xf>
    <xf numFmtId="49" fontId="17" fillId="10" borderId="177" xfId="0" applyNumberFormat="1" applyFont="1" applyFill="1" applyBorder="1" applyAlignment="1">
      <alignment horizontal="center" vertical="center" wrapText="1"/>
    </xf>
    <xf numFmtId="49" fontId="17" fillId="32" borderId="93" xfId="0" applyNumberFormat="1" applyFont="1" applyFill="1" applyBorder="1" applyAlignment="1">
      <alignment horizontal="center" vertical="center" wrapText="1"/>
    </xf>
    <xf numFmtId="49" fontId="17" fillId="32" borderId="78" xfId="0" applyNumberFormat="1" applyFont="1" applyFill="1" applyBorder="1" applyAlignment="1">
      <alignment horizontal="center" vertical="center" wrapText="1"/>
    </xf>
    <xf numFmtId="49" fontId="17" fillId="10" borderId="93" xfId="0" applyNumberFormat="1" applyFont="1" applyFill="1" applyBorder="1" applyAlignment="1">
      <alignment horizontal="center" vertical="center" wrapText="1"/>
    </xf>
    <xf numFmtId="49" fontId="17" fillId="10" borderId="90" xfId="0" applyNumberFormat="1" applyFont="1" applyFill="1" applyBorder="1" applyAlignment="1">
      <alignment horizontal="center" vertical="center" wrapText="1"/>
    </xf>
    <xf numFmtId="49" fontId="17" fillId="32" borderId="21" xfId="0" applyNumberFormat="1" applyFont="1" applyFill="1" applyBorder="1" applyAlignment="1">
      <alignment horizontal="center" vertical="center" wrapText="1"/>
    </xf>
    <xf numFmtId="49" fontId="17" fillId="0" borderId="177" xfId="0" applyNumberFormat="1" applyFont="1" applyBorder="1" applyAlignment="1">
      <alignment horizontal="center" vertical="center" wrapText="1"/>
    </xf>
    <xf numFmtId="49" fontId="17" fillId="0" borderId="93" xfId="0" applyNumberFormat="1" applyFont="1" applyBorder="1" applyAlignment="1">
      <alignment horizontal="center" vertical="center" wrapText="1"/>
    </xf>
    <xf numFmtId="49" fontId="17" fillId="0" borderId="78" xfId="0" applyNumberFormat="1" applyFont="1" applyBorder="1" applyAlignment="1">
      <alignment horizontal="center" vertical="center" wrapText="1"/>
    </xf>
    <xf numFmtId="49" fontId="17" fillId="0" borderId="21" xfId="0" applyNumberFormat="1" applyFont="1" applyBorder="1" applyAlignment="1">
      <alignment horizontal="center" vertical="center" wrapText="1"/>
    </xf>
    <xf numFmtId="0" fontId="17" fillId="0" borderId="146" xfId="0" applyFont="1" applyBorder="1" applyAlignment="1">
      <alignment horizontal="left" vertical="center"/>
    </xf>
    <xf numFmtId="0" fontId="17" fillId="0" borderId="24" xfId="0" applyFont="1" applyBorder="1" applyAlignment="1">
      <alignment horizontal="left" vertical="center"/>
    </xf>
    <xf numFmtId="49" fontId="17" fillId="10" borderId="78" xfId="0" applyNumberFormat="1" applyFont="1" applyFill="1" applyBorder="1" applyAlignment="1">
      <alignment horizontal="center" vertical="center" wrapText="1"/>
    </xf>
    <xf numFmtId="1" fontId="148" fillId="10" borderId="97" xfId="0" applyNumberFormat="1" applyFont="1" applyFill="1" applyBorder="1" applyAlignment="1">
      <alignment horizontal="center" vertical="center"/>
    </xf>
    <xf numFmtId="1" fontId="148" fillId="19" borderId="97" xfId="0" applyNumberFormat="1" applyFont="1" applyFill="1" applyBorder="1" applyAlignment="1">
      <alignment horizontal="center" vertical="center"/>
    </xf>
    <xf numFmtId="1" fontId="148" fillId="19" borderId="24" xfId="0" applyNumberFormat="1" applyFont="1" applyFill="1" applyBorder="1" applyAlignment="1">
      <alignment horizontal="center" vertical="center"/>
    </xf>
    <xf numFmtId="0" fontId="73" fillId="10" borderId="97" xfId="1" applyFont="1" applyFill="1" applyBorder="1" applyAlignment="1">
      <alignment horizontal="center" vertical="center"/>
      <protection locked="0"/>
    </xf>
    <xf numFmtId="0" fontId="73" fillId="32" borderId="97" xfId="1" applyFont="1" applyBorder="1" applyAlignment="1">
      <alignment horizontal="center" vertical="center"/>
      <protection locked="0"/>
    </xf>
    <xf numFmtId="0" fontId="73" fillId="32" borderId="24" xfId="1" applyFont="1" applyBorder="1" applyAlignment="1">
      <alignment horizontal="center" vertical="center"/>
      <protection locked="0"/>
    </xf>
    <xf numFmtId="0" fontId="17" fillId="0" borderId="185" xfId="0" applyFont="1" applyBorder="1" applyAlignment="1">
      <alignment horizontal="center" vertical="center"/>
    </xf>
    <xf numFmtId="0" fontId="17" fillId="0" borderId="154" xfId="0" applyFont="1" applyBorder="1" applyAlignment="1">
      <alignment horizontal="center" vertical="center"/>
    </xf>
    <xf numFmtId="49" fontId="17" fillId="0" borderId="11" xfId="0" applyNumberFormat="1" applyFont="1" applyBorder="1" applyAlignment="1">
      <alignment horizontal="center" vertical="center" wrapText="1"/>
    </xf>
    <xf numFmtId="49" fontId="17" fillId="0" borderId="14" xfId="0" applyNumberFormat="1" applyFont="1" applyBorder="1" applyAlignment="1">
      <alignment horizontal="center" vertical="center" wrapText="1"/>
    </xf>
    <xf numFmtId="49" fontId="17" fillId="0" borderId="98" xfId="0" applyNumberFormat="1" applyFont="1" applyBorder="1" applyAlignment="1">
      <alignment horizontal="center" vertical="center" wrapText="1"/>
    </xf>
    <xf numFmtId="49" fontId="17" fillId="0" borderId="96" xfId="0" applyNumberFormat="1" applyFont="1" applyBorder="1" applyAlignment="1">
      <alignment horizontal="center" vertical="center" wrapText="1"/>
    </xf>
    <xf numFmtId="49" fontId="17" fillId="0" borderId="12" xfId="0" applyNumberFormat="1" applyFont="1" applyBorder="1" applyAlignment="1">
      <alignment horizontal="center" vertical="center" wrapText="1"/>
    </xf>
    <xf numFmtId="0" fontId="12" fillId="10" borderId="185" xfId="0" applyFont="1" applyFill="1" applyBorder="1" applyAlignment="1">
      <alignment horizontal="center" vertical="center"/>
    </xf>
    <xf numFmtId="0" fontId="12" fillId="19" borderId="186" xfId="0" applyFont="1" applyFill="1" applyBorder="1" applyAlignment="1">
      <alignment horizontal="center" vertical="center"/>
    </xf>
    <xf numFmtId="0" fontId="12" fillId="10" borderId="186" xfId="0" applyFont="1" applyFill="1" applyBorder="1" applyAlignment="1">
      <alignment horizontal="center" vertical="center"/>
    </xf>
    <xf numFmtId="0" fontId="12" fillId="19" borderId="154" xfId="0" applyFont="1" applyFill="1" applyBorder="1" applyAlignment="1">
      <alignment horizontal="center" vertical="center"/>
    </xf>
    <xf numFmtId="0" fontId="148" fillId="0" borderId="0" xfId="0" applyFont="1" applyAlignment="1">
      <alignment horizontal="center" vertical="center"/>
    </xf>
    <xf numFmtId="0" fontId="109" fillId="0" borderId="0" xfId="0" applyFont="1" applyAlignment="1">
      <alignment horizontal="center" vertical="center"/>
    </xf>
    <xf numFmtId="0" fontId="176" fillId="0" borderId="0" xfId="0" applyFont="1" applyAlignment="1">
      <alignment horizontal="center" vertical="center"/>
    </xf>
    <xf numFmtId="0" fontId="4" fillId="2" borderId="144" xfId="0" applyFont="1" applyFill="1" applyBorder="1" applyAlignment="1">
      <alignment horizontal="center" vertical="center" wrapText="1"/>
    </xf>
    <xf numFmtId="0" fontId="4" fillId="76" borderId="146" xfId="0" applyFont="1" applyFill="1" applyBorder="1" applyAlignment="1">
      <alignment horizontal="center" vertical="center" wrapText="1"/>
    </xf>
    <xf numFmtId="0" fontId="4" fillId="76" borderId="185" xfId="0" applyFont="1" applyFill="1" applyBorder="1" applyAlignment="1">
      <alignment horizontal="center" vertical="center" wrapText="1"/>
    </xf>
    <xf numFmtId="0" fontId="190" fillId="10" borderId="97" xfId="0" applyFont="1" applyFill="1" applyBorder="1" applyAlignment="1">
      <alignment horizontal="center" vertical="center" wrapText="1"/>
    </xf>
    <xf numFmtId="0" fontId="73" fillId="0" borderId="146" xfId="0" applyFont="1" applyBorder="1" applyAlignment="1">
      <alignment horizontal="center" vertical="center" wrapText="1"/>
    </xf>
    <xf numFmtId="0" fontId="73" fillId="0" borderId="24" xfId="0" applyFont="1" applyBorder="1" applyAlignment="1">
      <alignment horizontal="center" vertical="center" wrapText="1"/>
    </xf>
    <xf numFmtId="0" fontId="73" fillId="0" borderId="146" xfId="0" applyFont="1" applyBorder="1" applyAlignment="1">
      <alignment horizontal="left" vertical="top" wrapText="1"/>
    </xf>
    <xf numFmtId="0" fontId="73" fillId="0" borderId="97" xfId="0" applyFont="1" applyBorder="1" applyAlignment="1">
      <alignment horizontal="left" vertical="top" wrapText="1"/>
    </xf>
    <xf numFmtId="0" fontId="73" fillId="0" borderId="197" xfId="0" applyFont="1" applyBorder="1" applyAlignment="1">
      <alignment horizontal="left" vertical="top" wrapText="1"/>
    </xf>
    <xf numFmtId="0" fontId="73" fillId="0" borderId="185" xfId="0" applyFont="1" applyBorder="1" applyAlignment="1">
      <alignment horizontal="left" vertical="top" wrapText="1"/>
    </xf>
    <xf numFmtId="0" fontId="73" fillId="0" borderId="186" xfId="0" applyFont="1" applyBorder="1" applyAlignment="1">
      <alignment horizontal="left" vertical="top" wrapText="1"/>
    </xf>
    <xf numFmtId="0" fontId="73" fillId="0" borderId="218" xfId="0" applyFont="1" applyBorder="1" applyAlignment="1">
      <alignment horizontal="left" vertical="top" wrapText="1"/>
    </xf>
    <xf numFmtId="0" fontId="155" fillId="0" borderId="89" xfId="0" applyFont="1" applyBorder="1" applyAlignment="1">
      <alignment horizontal="left" vertical="top" wrapText="1"/>
    </xf>
    <xf numFmtId="0" fontId="156" fillId="0" borderId="97" xfId="0" applyFont="1" applyBorder="1" applyAlignment="1">
      <alignment horizontal="left" vertical="top" wrapText="1"/>
    </xf>
    <xf numFmtId="0" fontId="156" fillId="0" borderId="24" xfId="0" applyFont="1" applyBorder="1" applyAlignment="1">
      <alignment horizontal="left" vertical="top" wrapText="1"/>
    </xf>
    <xf numFmtId="0" fontId="156" fillId="0" borderId="89" xfId="0" applyFont="1" applyBorder="1" applyAlignment="1">
      <alignment horizontal="left" vertical="top" wrapText="1"/>
    </xf>
    <xf numFmtId="0" fontId="156" fillId="0" borderId="193" xfId="0" applyFont="1" applyBorder="1" applyAlignment="1">
      <alignment horizontal="left" vertical="top" wrapText="1"/>
    </xf>
    <xf numFmtId="0" fontId="156" fillId="0" borderId="186" xfId="0" applyFont="1" applyBorder="1" applyAlignment="1">
      <alignment horizontal="left" vertical="top" wrapText="1"/>
    </xf>
    <xf numFmtId="0" fontId="156" fillId="0" borderId="154" xfId="0" applyFont="1" applyBorder="1" applyAlignment="1">
      <alignment horizontal="left" vertical="top" wrapText="1"/>
    </xf>
    <xf numFmtId="0" fontId="166" fillId="10" borderId="97" xfId="0" applyFont="1" applyFill="1" applyBorder="1" applyAlignment="1">
      <alignment horizontal="center" vertical="center"/>
    </xf>
    <xf numFmtId="0" fontId="166" fillId="32" borderId="24" xfId="0" applyFont="1" applyFill="1" applyBorder="1" applyAlignment="1">
      <alignment horizontal="center" vertical="center"/>
    </xf>
    <xf numFmtId="0" fontId="166" fillId="32" borderId="97" xfId="0" applyFont="1" applyFill="1" applyBorder="1" applyAlignment="1">
      <alignment horizontal="center" vertical="center"/>
    </xf>
    <xf numFmtId="0" fontId="10" fillId="10" borderId="97" xfId="0" applyFont="1" applyFill="1" applyBorder="1" applyAlignment="1">
      <alignment horizontal="center" vertical="center" wrapText="1"/>
    </xf>
    <xf numFmtId="0" fontId="10" fillId="19" borderId="24" xfId="0" applyFont="1" applyFill="1" applyBorder="1" applyAlignment="1">
      <alignment horizontal="center" vertical="center" wrapText="1"/>
    </xf>
    <xf numFmtId="0" fontId="10" fillId="19" borderId="97" xfId="0" applyFont="1" applyFill="1" applyBorder="1" applyAlignment="1">
      <alignment horizontal="center" vertical="center" wrapText="1"/>
    </xf>
    <xf numFmtId="0" fontId="191" fillId="10" borderId="97" xfId="0" applyFont="1" applyFill="1" applyBorder="1" applyAlignment="1">
      <alignment horizontal="center" vertical="center" wrapText="1"/>
    </xf>
    <xf numFmtId="0" fontId="191" fillId="19" borderId="97" xfId="0" applyFont="1" applyFill="1" applyBorder="1" applyAlignment="1">
      <alignment horizontal="center" vertical="center" wrapText="1"/>
    </xf>
    <xf numFmtId="0" fontId="17" fillId="0" borderId="146" xfId="0" applyFont="1" applyBorder="1" applyAlignment="1">
      <alignment horizontal="center" vertical="center" wrapText="1"/>
    </xf>
    <xf numFmtId="0" fontId="17" fillId="0" borderId="97" xfId="0" applyFont="1" applyBorder="1" applyAlignment="1">
      <alignment horizontal="center" vertical="center" wrapText="1"/>
    </xf>
    <xf numFmtId="0" fontId="189" fillId="0" borderId="80" xfId="0" applyFont="1" applyBorder="1" applyAlignment="1">
      <alignment horizontal="center" vertical="top" wrapText="1"/>
    </xf>
    <xf numFmtId="0" fontId="17" fillId="0" borderId="81" xfId="0" applyFont="1" applyBorder="1" applyAlignment="1">
      <alignment horizontal="center" vertical="top" wrapText="1"/>
    </xf>
    <xf numFmtId="0" fontId="17" fillId="0" borderId="163" xfId="0" applyFont="1" applyBorder="1" applyAlignment="1">
      <alignment horizontal="center" vertical="top" wrapText="1"/>
    </xf>
    <xf numFmtId="0" fontId="17" fillId="0" borderId="9" xfId="0" applyFont="1" applyBorder="1" applyAlignment="1">
      <alignment horizontal="center" vertical="top" wrapText="1"/>
    </xf>
    <xf numFmtId="0" fontId="17" fillId="0" borderId="0" xfId="0" applyFont="1" applyAlignment="1">
      <alignment horizontal="center" vertical="top" wrapText="1"/>
    </xf>
    <xf numFmtId="0" fontId="17" fillId="0" borderId="90" xfId="0" applyFont="1" applyBorder="1" applyAlignment="1">
      <alignment horizontal="center" vertical="top" wrapText="1"/>
    </xf>
    <xf numFmtId="0" fontId="17" fillId="0" borderId="82" xfId="0" applyFont="1" applyBorder="1" applyAlignment="1">
      <alignment horizontal="center" vertical="top" wrapText="1"/>
    </xf>
    <xf numFmtId="0" fontId="17" fillId="0" borderId="83" xfId="0" applyFont="1" applyBorder="1" applyAlignment="1">
      <alignment horizontal="center" vertical="top" wrapText="1"/>
    </xf>
    <xf numFmtId="0" fontId="17" fillId="0" borderId="141" xfId="0" applyFont="1" applyBorder="1" applyAlignment="1">
      <alignment horizontal="center" vertical="top" wrapText="1"/>
    </xf>
    <xf numFmtId="0" fontId="189" fillId="0" borderId="97" xfId="0" applyFont="1" applyBorder="1" applyAlignment="1">
      <alignment horizontal="center" vertical="top" wrapText="1"/>
    </xf>
    <xf numFmtId="0" fontId="17" fillId="0" borderId="97" xfId="0" applyFont="1" applyBorder="1" applyAlignment="1">
      <alignment horizontal="center" vertical="top" wrapText="1"/>
    </xf>
    <xf numFmtId="175" fontId="17" fillId="0" borderId="0" xfId="0" applyNumberFormat="1" applyFont="1" applyAlignment="1">
      <alignment vertical="center" wrapText="1"/>
    </xf>
    <xf numFmtId="175" fontId="17" fillId="0" borderId="0" xfId="0" applyNumberFormat="1" applyFont="1">
      <alignment vertical="center"/>
    </xf>
    <xf numFmtId="0" fontId="1" fillId="10" borderId="146" xfId="0" applyFont="1" applyFill="1" applyBorder="1" applyAlignment="1">
      <alignment horizontal="center" vertical="center" wrapText="1"/>
    </xf>
    <xf numFmtId="0" fontId="1" fillId="32" borderId="97" xfId="0" applyFont="1" applyFill="1" applyBorder="1" applyAlignment="1">
      <alignment horizontal="center" vertical="center" wrapText="1"/>
    </xf>
    <xf numFmtId="0" fontId="1" fillId="32" borderId="208" xfId="0" applyFont="1" applyFill="1" applyBorder="1" applyAlignment="1">
      <alignment horizontal="center" vertical="center" wrapText="1"/>
    </xf>
    <xf numFmtId="0" fontId="1" fillId="32" borderId="209" xfId="0" applyFont="1" applyFill="1" applyBorder="1" applyAlignment="1">
      <alignment horizontal="center" vertical="center" wrapText="1"/>
    </xf>
    <xf numFmtId="0" fontId="1" fillId="0" borderId="97" xfId="0" applyFont="1" applyBorder="1" applyAlignment="1">
      <alignment horizontal="center" vertical="center" wrapText="1"/>
    </xf>
    <xf numFmtId="0" fontId="1" fillId="0" borderId="209" xfId="0" applyFont="1" applyBorder="1" applyAlignment="1">
      <alignment horizontal="center" vertical="center" wrapText="1"/>
    </xf>
    <xf numFmtId="0" fontId="1" fillId="10" borderId="97" xfId="0" applyFont="1" applyFill="1" applyBorder="1" applyAlignment="1">
      <alignment horizontal="center" vertical="center" wrapText="1"/>
    </xf>
    <xf numFmtId="0" fontId="1" fillId="32" borderId="24" xfId="0" applyFont="1" applyFill="1" applyBorder="1" applyAlignment="1">
      <alignment horizontal="center" vertical="center" wrapText="1"/>
    </xf>
    <xf numFmtId="0" fontId="1" fillId="32" borderId="216" xfId="0" applyFont="1" applyFill="1" applyBorder="1" applyAlignment="1">
      <alignment horizontal="center" vertical="center" wrapText="1"/>
    </xf>
    <xf numFmtId="0" fontId="67" fillId="10" borderId="146" xfId="0" applyFont="1" applyFill="1" applyBorder="1" applyAlignment="1">
      <alignment horizontal="center" vertical="top" wrapText="1"/>
    </xf>
    <xf numFmtId="0" fontId="67" fillId="19" borderId="97" xfId="0" applyFont="1" applyFill="1" applyBorder="1" applyAlignment="1">
      <alignment horizontal="center" vertical="top" wrapText="1"/>
    </xf>
    <xf numFmtId="0" fontId="67" fillId="19" borderId="24" xfId="0" applyFont="1" applyFill="1" applyBorder="1" applyAlignment="1">
      <alignment horizontal="center" vertical="top" wrapText="1"/>
    </xf>
    <xf numFmtId="0" fontId="67" fillId="19" borderId="146" xfId="0" applyFont="1" applyFill="1" applyBorder="1" applyAlignment="1">
      <alignment horizontal="center" vertical="top" wrapText="1"/>
    </xf>
    <xf numFmtId="0" fontId="67" fillId="19" borderId="185" xfId="0" applyFont="1" applyFill="1" applyBorder="1" applyAlignment="1">
      <alignment horizontal="center" vertical="top" wrapText="1"/>
    </xf>
    <xf numFmtId="0" fontId="67" fillId="19" borderId="186" xfId="0" applyFont="1" applyFill="1" applyBorder="1" applyAlignment="1">
      <alignment horizontal="center" vertical="top" wrapText="1"/>
    </xf>
    <xf numFmtId="0" fontId="67" fillId="19" borderId="154" xfId="0" applyFont="1" applyFill="1" applyBorder="1" applyAlignment="1">
      <alignment horizontal="center" vertical="top" wrapText="1"/>
    </xf>
    <xf numFmtId="168" fontId="17" fillId="10" borderId="153" xfId="0" applyNumberFormat="1" applyFont="1" applyFill="1" applyBorder="1" applyAlignment="1">
      <alignment horizontal="center" vertical="center" wrapText="1"/>
    </xf>
    <xf numFmtId="168" fontId="17" fillId="19" borderId="211" xfId="0" applyNumberFormat="1" applyFont="1" applyFill="1" applyBorder="1" applyAlignment="1">
      <alignment horizontal="center" vertical="center" wrapText="1"/>
    </xf>
    <xf numFmtId="168" fontId="17" fillId="19" borderId="153" xfId="0" applyNumberFormat="1" applyFont="1" applyFill="1" applyBorder="1" applyAlignment="1">
      <alignment horizontal="center" vertical="center" wrapText="1"/>
    </xf>
    <xf numFmtId="49" fontId="17" fillId="0" borderId="9" xfId="0" applyNumberFormat="1" applyFont="1" applyBorder="1" applyAlignment="1">
      <alignment horizontal="left" vertical="top"/>
    </xf>
    <xf numFmtId="49" fontId="17" fillId="0" borderId="0" xfId="0" applyNumberFormat="1" applyFont="1" applyAlignment="1">
      <alignment horizontal="left" vertical="top"/>
    </xf>
    <xf numFmtId="49" fontId="17" fillId="0" borderId="10" xfId="0" applyNumberFormat="1" applyFont="1" applyBorder="1" applyAlignment="1">
      <alignment horizontal="left" vertical="top"/>
    </xf>
    <xf numFmtId="49" fontId="17" fillId="0" borderId="11" xfId="0" applyNumberFormat="1" applyFont="1" applyBorder="1" applyAlignment="1">
      <alignment horizontal="left" vertical="top"/>
    </xf>
    <xf numFmtId="49" fontId="17" fillId="0" borderId="14" xfId="0" applyNumberFormat="1" applyFont="1" applyBorder="1" applyAlignment="1">
      <alignment horizontal="left" vertical="top"/>
    </xf>
    <xf numFmtId="49" fontId="17" fillId="0" borderId="12" xfId="0" applyNumberFormat="1" applyFont="1" applyBorder="1" applyAlignment="1">
      <alignment horizontal="left" vertical="top"/>
    </xf>
    <xf numFmtId="0" fontId="15" fillId="10" borderId="145" xfId="0" applyFont="1" applyFill="1" applyBorder="1" applyAlignment="1">
      <alignment horizontal="center" vertical="center" wrapText="1"/>
    </xf>
    <xf numFmtId="0" fontId="15" fillId="19" borderId="145" xfId="0" applyFont="1" applyFill="1" applyBorder="1" applyAlignment="1">
      <alignment horizontal="center" vertical="center" wrapText="1"/>
    </xf>
    <xf numFmtId="0" fontId="15" fillId="19" borderId="147" xfId="0" applyFont="1" applyFill="1" applyBorder="1" applyAlignment="1">
      <alignment horizontal="center" vertical="center" wrapText="1"/>
    </xf>
    <xf numFmtId="0" fontId="15" fillId="19" borderId="97" xfId="0" applyFont="1" applyFill="1" applyBorder="1" applyAlignment="1">
      <alignment horizontal="center" vertical="center" wrapText="1"/>
    </xf>
    <xf numFmtId="0" fontId="15" fillId="19" borderId="24" xfId="0" applyFont="1" applyFill="1" applyBorder="1" applyAlignment="1">
      <alignment horizontal="center" vertical="center" wrapText="1"/>
    </xf>
    <xf numFmtId="0" fontId="15" fillId="19" borderId="186" xfId="0" applyFont="1" applyFill="1" applyBorder="1" applyAlignment="1">
      <alignment horizontal="center" vertical="center" wrapText="1"/>
    </xf>
    <xf numFmtId="0" fontId="15" fillId="19" borderId="154" xfId="0" applyFont="1" applyFill="1" applyBorder="1" applyAlignment="1">
      <alignment horizontal="center" vertical="center" wrapText="1"/>
    </xf>
    <xf numFmtId="0" fontId="67" fillId="10" borderId="146" xfId="0" applyFont="1" applyFill="1" applyBorder="1" applyAlignment="1">
      <alignment horizontal="left" vertical="top" wrapText="1"/>
    </xf>
    <xf numFmtId="0" fontId="67" fillId="19" borderId="97" xfId="0" applyFont="1" applyFill="1" applyBorder="1" applyAlignment="1">
      <alignment horizontal="left" vertical="top" wrapText="1"/>
    </xf>
    <xf numFmtId="0" fontId="67" fillId="19" borderId="24" xfId="0" applyFont="1" applyFill="1" applyBorder="1" applyAlignment="1">
      <alignment horizontal="left" vertical="top" wrapText="1"/>
    </xf>
    <xf numFmtId="0" fontId="67" fillId="19" borderId="146" xfId="0" applyFont="1" applyFill="1" applyBorder="1" applyAlignment="1">
      <alignment horizontal="left" vertical="top" wrapText="1"/>
    </xf>
    <xf numFmtId="0" fontId="67" fillId="19" borderId="185" xfId="0" applyFont="1" applyFill="1" applyBorder="1" applyAlignment="1">
      <alignment horizontal="left" vertical="top" wrapText="1"/>
    </xf>
    <xf numFmtId="0" fontId="67" fillId="19" borderId="186" xfId="0" applyFont="1" applyFill="1" applyBorder="1" applyAlignment="1">
      <alignment horizontal="left" vertical="top" wrapText="1"/>
    </xf>
    <xf numFmtId="0" fontId="67" fillId="19" borderId="154" xfId="0" applyFont="1" applyFill="1" applyBorder="1" applyAlignment="1">
      <alignment horizontal="left" vertical="top" wrapText="1"/>
    </xf>
    <xf numFmtId="166" fontId="167" fillId="10" borderId="9" xfId="0" applyNumberFormat="1" applyFont="1" applyFill="1" applyBorder="1" applyAlignment="1">
      <alignment horizontal="center" vertical="center"/>
    </xf>
    <xf numFmtId="166" fontId="167" fillId="32" borderId="0" xfId="0" applyNumberFormat="1" applyFont="1" applyFill="1" applyAlignment="1">
      <alignment horizontal="center" vertical="center"/>
    </xf>
    <xf numFmtId="166" fontId="167" fillId="32" borderId="9" xfId="0" applyNumberFormat="1" applyFont="1" applyFill="1" applyBorder="1" applyAlignment="1">
      <alignment horizontal="center" vertical="center"/>
    </xf>
    <xf numFmtId="0" fontId="73" fillId="10" borderId="146" xfId="0" applyFont="1" applyFill="1" applyBorder="1" applyAlignment="1">
      <alignment horizontal="center" vertical="center" wrapText="1"/>
    </xf>
    <xf numFmtId="0" fontId="73" fillId="32" borderId="146" xfId="0" applyFont="1" applyFill="1" applyBorder="1" applyAlignment="1">
      <alignment horizontal="center" vertical="center" wrapText="1"/>
    </xf>
    <xf numFmtId="49" fontId="17" fillId="0" borderId="80" xfId="0" applyNumberFormat="1" applyFont="1" applyBorder="1" applyAlignment="1">
      <alignment horizontal="left" vertical="top"/>
    </xf>
    <xf numFmtId="49" fontId="17" fillId="0" borderId="81" xfId="0" applyNumberFormat="1" applyFont="1" applyBorder="1" applyAlignment="1">
      <alignment horizontal="left" vertical="top"/>
    </xf>
    <xf numFmtId="49" fontId="17" fillId="0" borderId="163" xfId="0" applyNumberFormat="1" applyFont="1" applyBorder="1" applyAlignment="1">
      <alignment horizontal="left" vertical="top"/>
    </xf>
    <xf numFmtId="49" fontId="17" fillId="0" borderId="90" xfId="0" applyNumberFormat="1" applyFont="1" applyBorder="1" applyAlignment="1">
      <alignment horizontal="left" vertical="top"/>
    </xf>
    <xf numFmtId="49" fontId="17" fillId="0" borderId="96" xfId="0" applyNumberFormat="1" applyFont="1" applyBorder="1" applyAlignment="1">
      <alignment horizontal="left" vertical="top"/>
    </xf>
    <xf numFmtId="49" fontId="17" fillId="0" borderId="92" xfId="0" applyNumberFormat="1" applyFont="1" applyBorder="1" applyAlignment="1">
      <alignment horizontal="left" vertical="top"/>
    </xf>
    <xf numFmtId="0" fontId="10" fillId="10" borderId="97" xfId="0" applyFont="1" applyFill="1" applyBorder="1" applyAlignment="1">
      <alignment horizontal="center" vertical="center"/>
    </xf>
    <xf numFmtId="0" fontId="10" fillId="32" borderId="97" xfId="0" applyFont="1" applyFill="1" applyBorder="1" applyAlignment="1">
      <alignment horizontal="center" vertical="center"/>
    </xf>
    <xf numFmtId="0" fontId="10" fillId="32" borderId="24" xfId="0" applyFont="1" applyFill="1" applyBorder="1" applyAlignment="1">
      <alignment horizontal="center" vertical="center"/>
    </xf>
    <xf numFmtId="0" fontId="10" fillId="0" borderId="97" xfId="0" applyFont="1" applyBorder="1" applyAlignment="1">
      <alignment horizontal="center" vertical="center"/>
    </xf>
    <xf numFmtId="0" fontId="10" fillId="0" borderId="24" xfId="0" applyFont="1" applyBorder="1" applyAlignment="1">
      <alignment horizontal="center" vertical="center"/>
    </xf>
    <xf numFmtId="0" fontId="166" fillId="0" borderId="97" xfId="0" applyFont="1" applyBorder="1" applyAlignment="1">
      <alignment horizontal="center" vertical="center"/>
    </xf>
    <xf numFmtId="0" fontId="166" fillId="0" borderId="24" xfId="0" applyFont="1" applyBorder="1" applyAlignment="1">
      <alignment horizontal="center" vertical="center"/>
    </xf>
    <xf numFmtId="0" fontId="166" fillId="0" borderId="91" xfId="0" applyFont="1" applyBorder="1" applyAlignment="1">
      <alignment horizontal="center" vertical="center"/>
    </xf>
    <xf numFmtId="0" fontId="166" fillId="0" borderId="23" xfId="0" applyFont="1" applyBorder="1" applyAlignment="1">
      <alignment horizontal="center" vertical="center"/>
    </xf>
    <xf numFmtId="0" fontId="192" fillId="0" borderId="41" xfId="0" applyFont="1" applyBorder="1" applyAlignment="1">
      <alignment horizontal="left" vertical="top" wrapText="1"/>
    </xf>
    <xf numFmtId="0" fontId="170" fillId="0" borderId="41" xfId="0" applyFont="1" applyBorder="1" applyAlignment="1">
      <alignment horizontal="left" vertical="top" wrapText="1"/>
    </xf>
    <xf numFmtId="0" fontId="17" fillId="0" borderId="217" xfId="0" applyFont="1" applyBorder="1" applyAlignment="1">
      <alignment horizontal="center" vertical="center"/>
    </xf>
    <xf numFmtId="0" fontId="73" fillId="0" borderId="91" xfId="0" applyFont="1" applyBorder="1" applyAlignment="1">
      <alignment horizontal="center" vertical="center" wrapText="1"/>
    </xf>
    <xf numFmtId="0" fontId="12" fillId="5" borderId="0" xfId="0" applyFont="1" applyFill="1" applyAlignment="1">
      <alignment horizontal="center" vertical="center" wrapText="1"/>
    </xf>
    <xf numFmtId="0" fontId="12" fillId="96" borderId="0" xfId="0" applyFont="1" applyFill="1" applyAlignment="1">
      <alignment horizontal="center" vertical="center" wrapText="1"/>
    </xf>
    <xf numFmtId="0" fontId="12" fillId="96" borderId="14" xfId="0" applyFont="1" applyFill="1" applyBorder="1" applyAlignment="1">
      <alignment horizontal="center" vertical="center" wrapText="1"/>
    </xf>
    <xf numFmtId="0" fontId="17" fillId="10" borderId="146" xfId="0" applyFont="1" applyFill="1" applyBorder="1" applyAlignment="1">
      <alignment horizontal="center" vertical="center" wrapText="1"/>
    </xf>
    <xf numFmtId="0" fontId="17" fillId="19" borderId="146" xfId="0" applyFont="1" applyFill="1" applyBorder="1" applyAlignment="1">
      <alignment horizontal="center" vertical="center" wrapText="1"/>
    </xf>
    <xf numFmtId="0" fontId="73" fillId="0" borderId="185" xfId="0" applyFont="1" applyBorder="1" applyAlignment="1">
      <alignment horizontal="center" vertical="center" wrapText="1"/>
    </xf>
    <xf numFmtId="0" fontId="73" fillId="0" borderId="186" xfId="0" applyFont="1" applyBorder="1" applyAlignment="1">
      <alignment horizontal="center" vertical="center" wrapText="1"/>
    </xf>
    <xf numFmtId="0" fontId="1" fillId="0" borderId="146" xfId="0" applyFont="1" applyBorder="1" applyAlignment="1">
      <alignment horizontal="center" vertical="center" wrapText="1"/>
    </xf>
    <xf numFmtId="0" fontId="1" fillId="0" borderId="24" xfId="0" applyFont="1" applyBorder="1" applyAlignment="1">
      <alignment horizontal="center" vertical="center" wrapText="1"/>
    </xf>
    <xf numFmtId="0" fontId="17" fillId="10" borderId="200" xfId="0" applyFont="1" applyFill="1" applyBorder="1" applyAlignment="1">
      <alignment horizontal="center" vertical="center" wrapText="1"/>
    </xf>
    <xf numFmtId="0" fontId="17" fillId="32" borderId="190" xfId="0" applyFont="1" applyFill="1" applyBorder="1" applyAlignment="1">
      <alignment horizontal="center" vertical="center" wrapText="1"/>
    </xf>
    <xf numFmtId="0" fontId="17" fillId="32" borderId="146" xfId="0" applyFont="1" applyFill="1" applyBorder="1" applyAlignment="1">
      <alignment horizontal="center" vertical="center" wrapText="1"/>
    </xf>
    <xf numFmtId="0" fontId="17" fillId="32" borderId="97" xfId="0" applyFont="1" applyFill="1" applyBorder="1" applyAlignment="1">
      <alignment horizontal="center" vertical="center" wrapText="1"/>
    </xf>
    <xf numFmtId="0" fontId="189" fillId="10" borderId="190" xfId="0" applyFont="1" applyFill="1" applyBorder="1" applyAlignment="1">
      <alignment horizontal="center" vertical="center" wrapText="1"/>
    </xf>
    <xf numFmtId="0" fontId="17" fillId="0" borderId="190" xfId="0" applyFont="1" applyBorder="1" applyAlignment="1">
      <alignment horizontal="center" vertical="center" wrapText="1"/>
    </xf>
    <xf numFmtId="0" fontId="17" fillId="10" borderId="190" xfId="0" applyFont="1" applyFill="1" applyBorder="1" applyAlignment="1">
      <alignment horizontal="center" vertical="center" wrapText="1"/>
    </xf>
    <xf numFmtId="0" fontId="17" fillId="10" borderId="133" xfId="0" applyFont="1" applyFill="1" applyBorder="1" applyAlignment="1">
      <alignment horizontal="center" vertical="center" wrapText="1"/>
    </xf>
    <xf numFmtId="0" fontId="17" fillId="32" borderId="0" xfId="0" applyFont="1" applyFill="1" applyAlignment="1">
      <alignment horizontal="center" vertical="center" wrapText="1"/>
    </xf>
    <xf numFmtId="0" fontId="17" fillId="32" borderId="196" xfId="0" applyFont="1" applyFill="1" applyBorder="1" applyAlignment="1">
      <alignment horizontal="center" vertical="center" wrapText="1"/>
    </xf>
    <xf numFmtId="0" fontId="17" fillId="32" borderId="14" xfId="0" applyFont="1" applyFill="1" applyBorder="1" applyAlignment="1">
      <alignment horizontal="center" vertical="center" wrapText="1"/>
    </xf>
    <xf numFmtId="0" fontId="17" fillId="10" borderId="7" xfId="0" applyFont="1" applyFill="1" applyBorder="1" applyAlignment="1">
      <alignment horizontal="center" vertical="center"/>
    </xf>
    <xf numFmtId="0" fontId="17" fillId="32" borderId="13" xfId="0" applyFont="1" applyFill="1" applyBorder="1" applyAlignment="1">
      <alignment horizontal="center" vertical="center"/>
    </xf>
    <xf numFmtId="0" fontId="17" fillId="32" borderId="8" xfId="0" applyFont="1" applyFill="1" applyBorder="1" applyAlignment="1">
      <alignment horizontal="center" vertical="center"/>
    </xf>
    <xf numFmtId="0" fontId="17" fillId="32" borderId="9" xfId="0" applyFont="1" applyFill="1" applyBorder="1" applyAlignment="1">
      <alignment horizontal="center" vertical="center"/>
    </xf>
    <xf numFmtId="0" fontId="17" fillId="32" borderId="0" xfId="0" applyFont="1" applyFill="1" applyAlignment="1">
      <alignment horizontal="center" vertical="center"/>
    </xf>
    <xf numFmtId="0" fontId="17" fillId="32" borderId="10" xfId="0" applyFont="1" applyFill="1" applyBorder="1" applyAlignment="1">
      <alignment horizontal="center" vertical="center"/>
    </xf>
    <xf numFmtId="0" fontId="17" fillId="32" borderId="11" xfId="0" applyFont="1" applyFill="1" applyBorder="1" applyAlignment="1">
      <alignment horizontal="center" vertical="center"/>
    </xf>
    <xf numFmtId="0" fontId="17" fillId="32" borderId="14" xfId="0" applyFont="1" applyFill="1" applyBorder="1" applyAlignment="1">
      <alignment horizontal="center" vertical="center"/>
    </xf>
    <xf numFmtId="0" fontId="17" fillId="32" borderId="12" xfId="0" applyFont="1" applyFill="1" applyBorder="1" applyAlignment="1">
      <alignment horizontal="center" vertical="center"/>
    </xf>
    <xf numFmtId="0" fontId="17" fillId="32" borderId="185" xfId="0" applyFont="1" applyFill="1" applyBorder="1" applyAlignment="1">
      <alignment horizontal="center" vertical="center" wrapText="1"/>
    </xf>
    <xf numFmtId="0" fontId="17" fillId="32" borderId="186" xfId="0" applyFont="1" applyFill="1" applyBorder="1" applyAlignment="1">
      <alignment horizontal="center" vertical="center" wrapText="1"/>
    </xf>
    <xf numFmtId="0" fontId="17" fillId="0" borderId="186" xfId="0" applyFont="1" applyBorder="1" applyAlignment="1">
      <alignment horizontal="center" vertical="center" wrapText="1"/>
    </xf>
    <xf numFmtId="0" fontId="147" fillId="10" borderId="84" xfId="0" applyFont="1" applyFill="1" applyBorder="1" applyAlignment="1">
      <alignment horizontal="center" vertical="center" wrapText="1"/>
    </xf>
    <xf numFmtId="0" fontId="147" fillId="32" borderId="81" xfId="0" applyFont="1" applyFill="1" applyBorder="1" applyAlignment="1">
      <alignment horizontal="center" vertical="center" wrapText="1"/>
    </xf>
    <xf numFmtId="0" fontId="147" fillId="32" borderId="98" xfId="0" applyFont="1" applyFill="1" applyBorder="1" applyAlignment="1">
      <alignment horizontal="center" vertical="center" wrapText="1"/>
    </xf>
    <xf numFmtId="0" fontId="147" fillId="32" borderId="14" xfId="0" applyFont="1" applyFill="1" applyBorder="1" applyAlignment="1">
      <alignment horizontal="center" vertical="center" wrapText="1"/>
    </xf>
    <xf numFmtId="0" fontId="147" fillId="10" borderId="84" xfId="0" applyFont="1" applyFill="1" applyBorder="1" applyAlignment="1">
      <alignment horizontal="center" vertical="center"/>
    </xf>
    <xf numFmtId="0" fontId="165" fillId="32" borderId="81" xfId="0" applyFont="1" applyFill="1" applyBorder="1" applyAlignment="1">
      <alignment horizontal="center" vertical="center"/>
    </xf>
    <xf numFmtId="0" fontId="165" fillId="32" borderId="98" xfId="0" applyFont="1" applyFill="1" applyBorder="1" applyAlignment="1">
      <alignment horizontal="center" vertical="center"/>
    </xf>
    <xf numFmtId="0" fontId="165" fillId="32" borderId="14" xfId="0" applyFont="1" applyFill="1" applyBorder="1" applyAlignment="1">
      <alignment horizontal="center" vertical="center"/>
    </xf>
    <xf numFmtId="0" fontId="17" fillId="0" borderId="91" xfId="0" applyFont="1" applyBorder="1" applyAlignment="1">
      <alignment horizontal="center" vertical="center" wrapText="1"/>
    </xf>
    <xf numFmtId="0" fontId="17" fillId="0" borderId="84" xfId="0" applyFont="1" applyBorder="1" applyAlignment="1">
      <alignment horizontal="center" vertical="center" wrapText="1"/>
    </xf>
    <xf numFmtId="0" fontId="17" fillId="10" borderId="0" xfId="0" applyFont="1" applyFill="1" applyAlignment="1">
      <alignment horizontal="center" vertical="center" wrapText="1"/>
    </xf>
    <xf numFmtId="0" fontId="17" fillId="32" borderId="13" xfId="0" applyFont="1" applyFill="1" applyBorder="1" applyAlignment="1">
      <alignment horizontal="center" vertical="center" wrapText="1"/>
    </xf>
    <xf numFmtId="0" fontId="17" fillId="32" borderId="204" xfId="0" applyFont="1" applyFill="1" applyBorder="1" applyAlignment="1">
      <alignment horizontal="center" vertical="center" wrapText="1"/>
    </xf>
    <xf numFmtId="0" fontId="17" fillId="32" borderId="90" xfId="0" applyFont="1" applyFill="1" applyBorder="1" applyAlignment="1">
      <alignment horizontal="center" vertical="center" wrapText="1"/>
    </xf>
    <xf numFmtId="0" fontId="1" fillId="32" borderId="146" xfId="0" applyFont="1" applyFill="1" applyBorder="1" applyAlignment="1">
      <alignment horizontal="center" vertical="center" wrapText="1"/>
    </xf>
    <xf numFmtId="0" fontId="17" fillId="10" borderId="0" xfId="0" applyFont="1" applyFill="1" applyAlignment="1">
      <alignment horizontal="right" vertical="center" wrapText="1"/>
    </xf>
    <xf numFmtId="0" fontId="17" fillId="95" borderId="0" xfId="0" applyFont="1" applyFill="1" applyAlignment="1">
      <alignment horizontal="right" vertical="center" wrapText="1"/>
    </xf>
    <xf numFmtId="0" fontId="17" fillId="95" borderId="14" xfId="0" applyFont="1" applyFill="1" applyBorder="1" applyAlignment="1">
      <alignment horizontal="right" vertical="center" wrapText="1"/>
    </xf>
    <xf numFmtId="170" fontId="17" fillId="10" borderId="13" xfId="0" applyNumberFormat="1" applyFont="1" applyFill="1" applyBorder="1" applyAlignment="1">
      <alignment horizontal="left" vertical="center" wrapText="1"/>
    </xf>
    <xf numFmtId="170" fontId="17" fillId="95" borderId="204" xfId="0" applyNumberFormat="1" applyFont="1" applyFill="1" applyBorder="1" applyAlignment="1">
      <alignment horizontal="left" vertical="center" wrapText="1"/>
    </xf>
    <xf numFmtId="170" fontId="17" fillId="95" borderId="14" xfId="0" applyNumberFormat="1" applyFont="1" applyFill="1" applyBorder="1" applyAlignment="1">
      <alignment horizontal="left" vertical="center" wrapText="1"/>
    </xf>
    <xf numFmtId="170" fontId="17" fillId="95" borderId="96" xfId="0" applyNumberFormat="1" applyFont="1" applyFill="1" applyBorder="1" applyAlignment="1">
      <alignment horizontal="left" vertical="center" wrapText="1"/>
    </xf>
    <xf numFmtId="0" fontId="19" fillId="10" borderId="151" xfId="0" applyFont="1" applyFill="1" applyBorder="1" applyAlignment="1">
      <alignment horizontal="center" vertical="center"/>
    </xf>
    <xf numFmtId="0" fontId="19" fillId="32" borderId="210" xfId="0" applyFont="1" applyFill="1" applyBorder="1" applyAlignment="1">
      <alignment horizontal="center" vertical="center"/>
    </xf>
    <xf numFmtId="0" fontId="19" fillId="32" borderId="13" xfId="0" applyFont="1" applyFill="1" applyBorder="1" applyAlignment="1">
      <alignment horizontal="center" vertical="center"/>
    </xf>
    <xf numFmtId="0" fontId="19" fillId="32" borderId="204" xfId="0" applyFont="1" applyFill="1" applyBorder="1" applyAlignment="1">
      <alignment horizontal="center" vertical="center"/>
    </xf>
    <xf numFmtId="0" fontId="17" fillId="95" borderId="0" xfId="0" applyFont="1" applyFill="1" applyAlignment="1">
      <alignment horizontal="center" vertical="center" wrapText="1"/>
    </xf>
    <xf numFmtId="0" fontId="17" fillId="95" borderId="196" xfId="0" applyFont="1" applyFill="1" applyBorder="1" applyAlignment="1">
      <alignment horizontal="center" vertical="center" wrapText="1"/>
    </xf>
    <xf numFmtId="0" fontId="17" fillId="95" borderId="14"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17" fillId="96" borderId="13" xfId="0" applyFont="1" applyFill="1" applyBorder="1" applyAlignment="1">
      <alignment horizontal="center" vertical="center" wrapText="1"/>
    </xf>
    <xf numFmtId="0" fontId="17" fillId="96" borderId="0" xfId="0" applyFont="1" applyFill="1" applyAlignment="1">
      <alignment horizontal="center" vertical="center" wrapText="1"/>
    </xf>
    <xf numFmtId="0" fontId="17" fillId="96" borderId="14" xfId="0" applyFont="1" applyFill="1" applyBorder="1" applyAlignment="1">
      <alignment horizontal="center" vertical="center" wrapText="1"/>
    </xf>
    <xf numFmtId="0" fontId="171" fillId="0" borderId="0" xfId="0" applyFont="1" applyAlignment="1">
      <alignment horizontal="center" vertical="top"/>
    </xf>
    <xf numFmtId="166" fontId="10" fillId="10" borderId="146" xfId="0" applyNumberFormat="1" applyFont="1" applyFill="1" applyBorder="1" applyAlignment="1">
      <alignment horizontal="center" vertical="top" wrapText="1"/>
    </xf>
    <xf numFmtId="166" fontId="10" fillId="19" borderId="97" xfId="0" applyNumberFormat="1" applyFont="1" applyFill="1" applyBorder="1" applyAlignment="1">
      <alignment horizontal="center" vertical="top" wrapText="1"/>
    </xf>
    <xf numFmtId="166" fontId="10" fillId="19" borderId="24" xfId="0" applyNumberFormat="1" applyFont="1" applyFill="1" applyBorder="1" applyAlignment="1">
      <alignment horizontal="center" vertical="top" wrapText="1"/>
    </xf>
    <xf numFmtId="166" fontId="10" fillId="19" borderId="146" xfId="0" applyNumberFormat="1" applyFont="1" applyFill="1" applyBorder="1" applyAlignment="1">
      <alignment horizontal="center" vertical="top" wrapText="1"/>
    </xf>
    <xf numFmtId="0" fontId="171" fillId="0" borderId="0" xfId="0" applyFont="1" applyAlignment="1">
      <alignment horizontal="center" vertical="top" wrapText="1"/>
    </xf>
    <xf numFmtId="0" fontId="17" fillId="0" borderId="97" xfId="0" applyFont="1" applyBorder="1" applyAlignment="1">
      <alignment horizontal="left" vertical="center" wrapText="1"/>
    </xf>
    <xf numFmtId="0" fontId="172" fillId="0" borderId="0" xfId="0" applyFont="1" applyAlignment="1">
      <alignment horizontal="center" vertical="top"/>
    </xf>
    <xf numFmtId="166" fontId="174" fillId="10" borderId="97" xfId="1" applyNumberFormat="1" applyFont="1" applyFill="1" applyBorder="1" applyAlignment="1">
      <alignment horizontal="center" vertical="center"/>
      <protection locked="0"/>
    </xf>
    <xf numFmtId="166" fontId="174" fillId="32" borderId="97" xfId="1" applyNumberFormat="1" applyFont="1" applyBorder="1" applyAlignment="1">
      <alignment horizontal="center" vertical="center"/>
      <protection locked="0"/>
    </xf>
    <xf numFmtId="166" fontId="174" fillId="32" borderId="24" xfId="1" applyNumberFormat="1" applyFont="1" applyBorder="1" applyAlignment="1">
      <alignment horizontal="center" vertical="center"/>
      <protection locked="0"/>
    </xf>
    <xf numFmtId="0" fontId="17" fillId="0" borderId="146" xfId="0" applyFont="1" applyBorder="1" applyAlignment="1">
      <alignment horizontal="left" vertical="center" wrapText="1"/>
    </xf>
    <xf numFmtId="0" fontId="17" fillId="0" borderId="24" xfId="0" applyFont="1" applyBorder="1" applyAlignment="1">
      <alignment horizontal="center" vertical="center" wrapText="1"/>
    </xf>
    <xf numFmtId="0" fontId="31" fillId="10" borderId="146" xfId="0" applyFont="1" applyFill="1" applyBorder="1" applyAlignment="1">
      <alignment horizontal="left" vertical="top" wrapText="1"/>
    </xf>
    <xf numFmtId="0" fontId="31" fillId="19" borderId="97" xfId="0" applyFont="1" applyFill="1" applyBorder="1" applyAlignment="1">
      <alignment horizontal="left" vertical="top" wrapText="1"/>
    </xf>
    <xf numFmtId="0" fontId="31" fillId="19" borderId="24" xfId="0" applyFont="1" applyFill="1" applyBorder="1" applyAlignment="1">
      <alignment horizontal="left" vertical="top" wrapText="1"/>
    </xf>
    <xf numFmtId="0" fontId="31" fillId="19" borderId="146" xfId="0" applyFont="1" applyFill="1" applyBorder="1" applyAlignment="1">
      <alignment horizontal="left" vertical="top" wrapText="1"/>
    </xf>
    <xf numFmtId="0" fontId="31" fillId="19" borderId="217" xfId="0" applyFont="1" applyFill="1" applyBorder="1" applyAlignment="1">
      <alignment horizontal="left" vertical="top" wrapText="1"/>
    </xf>
    <xf numFmtId="0" fontId="31" fillId="19" borderId="91" xfId="0" applyFont="1" applyFill="1" applyBorder="1" applyAlignment="1">
      <alignment horizontal="left" vertical="top" wrapText="1"/>
    </xf>
    <xf numFmtId="0" fontId="31" fillId="19" borderId="23" xfId="0" applyFont="1" applyFill="1" applyBorder="1" applyAlignment="1">
      <alignment horizontal="left" vertical="top" wrapText="1"/>
    </xf>
    <xf numFmtId="49" fontId="17" fillId="0" borderId="24" xfId="0" applyNumberFormat="1" applyFont="1" applyBorder="1" applyAlignment="1">
      <alignment horizontal="center" vertical="center"/>
    </xf>
    <xf numFmtId="0" fontId="73" fillId="0" borderId="141" xfId="0" applyFont="1" applyBorder="1" applyAlignment="1">
      <alignment horizontal="left" vertical="top" wrapText="1"/>
    </xf>
    <xf numFmtId="0" fontId="73" fillId="0" borderId="190" xfId="0" applyFont="1" applyBorder="1" applyAlignment="1">
      <alignment horizontal="left" vertical="top" wrapText="1"/>
    </xf>
    <xf numFmtId="0" fontId="73" fillId="0" borderId="27" xfId="0" applyFont="1" applyBorder="1" applyAlignment="1">
      <alignment horizontal="left" vertical="top" wrapText="1"/>
    </xf>
    <xf numFmtId="0" fontId="73" fillId="0" borderId="24" xfId="0" applyFont="1" applyBorder="1" applyAlignment="1">
      <alignment horizontal="left" vertical="top" wrapText="1"/>
    </xf>
    <xf numFmtId="0" fontId="73" fillId="0" borderId="154" xfId="0" applyFont="1" applyBorder="1" applyAlignment="1">
      <alignment horizontal="left" vertical="top" wrapText="1"/>
    </xf>
    <xf numFmtId="49" fontId="17" fillId="0" borderId="200" xfId="0" applyNumberFormat="1" applyFont="1" applyBorder="1" applyAlignment="1">
      <alignment horizontal="center" vertical="center" wrapText="1"/>
    </xf>
    <xf numFmtId="49" fontId="17" fillId="0" borderId="190" xfId="0" applyNumberFormat="1" applyFont="1" applyBorder="1" applyAlignment="1">
      <alignment horizontal="center" vertical="center" wrapText="1"/>
    </xf>
    <xf numFmtId="49" fontId="17" fillId="0" borderId="85" xfId="0" applyNumberFormat="1" applyFont="1" applyBorder="1" applyAlignment="1">
      <alignment horizontal="center" vertical="center" wrapText="1"/>
    </xf>
    <xf numFmtId="49" fontId="17" fillId="0" borderId="146" xfId="0" applyNumberFormat="1" applyFont="1" applyBorder="1" applyAlignment="1">
      <alignment horizontal="center" vertical="center" wrapText="1"/>
    </xf>
    <xf numFmtId="49" fontId="17" fillId="0" borderId="97" xfId="0" applyNumberFormat="1" applyFont="1" applyBorder="1" applyAlignment="1">
      <alignment horizontal="center" vertical="center" wrapText="1"/>
    </xf>
    <xf numFmtId="49" fontId="17" fillId="0" borderId="88" xfId="0" applyNumberFormat="1" applyFont="1" applyBorder="1" applyAlignment="1">
      <alignment horizontal="center" vertical="center" wrapText="1"/>
    </xf>
    <xf numFmtId="49" fontId="17" fillId="0" borderId="185" xfId="0" applyNumberFormat="1" applyFont="1" applyBorder="1" applyAlignment="1">
      <alignment horizontal="center" vertical="center" wrapText="1"/>
    </xf>
    <xf numFmtId="49" fontId="17" fillId="0" borderId="186" xfId="0" applyNumberFormat="1" applyFont="1" applyBorder="1" applyAlignment="1">
      <alignment horizontal="center" vertical="center" wrapText="1"/>
    </xf>
    <xf numFmtId="49" fontId="17" fillId="0" borderId="152" xfId="0" applyNumberFormat="1" applyFont="1" applyBorder="1" applyAlignment="1">
      <alignment horizontal="center" vertical="center" wrapText="1"/>
    </xf>
    <xf numFmtId="49" fontId="1" fillId="0" borderId="141" xfId="0" applyNumberFormat="1" applyFont="1" applyBorder="1" applyAlignment="1">
      <alignment horizontal="center" vertical="center" wrapText="1"/>
    </xf>
    <xf numFmtId="49" fontId="1" fillId="0" borderId="190" xfId="0" applyNumberFormat="1" applyFont="1" applyBorder="1" applyAlignment="1">
      <alignment horizontal="center" vertical="center" wrapText="1"/>
    </xf>
    <xf numFmtId="49" fontId="1" fillId="0" borderId="89" xfId="0" applyNumberFormat="1" applyFont="1" applyBorder="1" applyAlignment="1">
      <alignment horizontal="center" vertical="center" wrapText="1"/>
    </xf>
    <xf numFmtId="49" fontId="1" fillId="0" borderId="97" xfId="0" applyNumberFormat="1" applyFont="1" applyBorder="1" applyAlignment="1">
      <alignment horizontal="center" vertical="center" wrapText="1"/>
    </xf>
    <xf numFmtId="49" fontId="1" fillId="0" borderId="193" xfId="0" applyNumberFormat="1" applyFont="1" applyBorder="1" applyAlignment="1">
      <alignment horizontal="center" vertical="center" wrapText="1"/>
    </xf>
    <xf numFmtId="49" fontId="1" fillId="0" borderId="186" xfId="0" applyNumberFormat="1" applyFont="1" applyBorder="1" applyAlignment="1">
      <alignment horizontal="center" vertical="center" wrapText="1"/>
    </xf>
    <xf numFmtId="0" fontId="98" fillId="2" borderId="7" xfId="0" applyFont="1" applyFill="1" applyBorder="1" applyAlignment="1">
      <alignment horizontal="center" vertical="center"/>
    </xf>
    <xf numFmtId="0" fontId="3" fillId="52" borderId="13" xfId="0" applyFont="1" applyFill="1" applyBorder="1" applyAlignment="1">
      <alignment horizontal="center" vertical="center"/>
    </xf>
    <xf numFmtId="0" fontId="3" fillId="52" borderId="8" xfId="0" applyFont="1" applyFill="1" applyBorder="1" applyAlignment="1">
      <alignment horizontal="center" vertical="center"/>
    </xf>
    <xf numFmtId="0" fontId="49" fillId="2" borderId="158" xfId="0" applyFont="1" applyFill="1" applyBorder="1" applyAlignment="1">
      <alignment horizontal="center" vertical="center"/>
    </xf>
    <xf numFmtId="0" fontId="17" fillId="52" borderId="159" xfId="0" applyFont="1" applyFill="1" applyBorder="1" applyAlignment="1">
      <alignment horizontal="center" vertical="center"/>
    </xf>
    <xf numFmtId="0" fontId="17" fillId="52" borderId="162" xfId="0" applyFont="1" applyFill="1" applyBorder="1" applyAlignment="1">
      <alignment horizontal="center" vertical="center"/>
    </xf>
    <xf numFmtId="166" fontId="3" fillId="10" borderId="9" xfId="0" applyNumberFormat="1" applyFont="1" applyFill="1" applyBorder="1" applyAlignment="1">
      <alignment horizontal="center" vertical="center"/>
    </xf>
    <xf numFmtId="166" fontId="3" fillId="19" borderId="0" xfId="0" applyNumberFormat="1" applyFont="1" applyFill="1" applyAlignment="1">
      <alignment horizontal="center" vertical="center"/>
    </xf>
    <xf numFmtId="166" fontId="3" fillId="5" borderId="0" xfId="0" applyNumberFormat="1" applyFont="1" applyFill="1" applyAlignment="1">
      <alignment horizontal="center" vertical="center"/>
    </xf>
    <xf numFmtId="166" fontId="3" fillId="6" borderId="0" xfId="0" applyNumberFormat="1" applyFont="1" applyFill="1" applyAlignment="1">
      <alignment horizontal="center" vertical="center"/>
    </xf>
    <xf numFmtId="0" fontId="17" fillId="52" borderId="13" xfId="0" applyFont="1" applyFill="1" applyBorder="1" applyAlignment="1">
      <alignment horizontal="center" vertical="center"/>
    </xf>
    <xf numFmtId="0" fontId="17" fillId="52" borderId="8" xfId="0" applyFont="1" applyFill="1" applyBorder="1" applyAlignment="1">
      <alignment horizontal="center" vertical="center"/>
    </xf>
    <xf numFmtId="166" fontId="3" fillId="10" borderId="0" xfId="0" applyNumberFormat="1" applyFont="1" applyFill="1" applyAlignment="1">
      <alignment horizontal="center" vertical="center"/>
    </xf>
    <xf numFmtId="166" fontId="3" fillId="6" borderId="14" xfId="0" applyNumberFormat="1" applyFont="1" applyFill="1" applyBorder="1" applyAlignment="1">
      <alignment horizontal="center" vertical="center"/>
    </xf>
    <xf numFmtId="49" fontId="17" fillId="5" borderId="9" xfId="0" applyNumberFormat="1" applyFont="1" applyFill="1" applyBorder="1" applyAlignment="1">
      <alignment horizontal="center" vertical="top" wrapText="1"/>
    </xf>
    <xf numFmtId="49" fontId="17" fillId="6" borderId="0" xfId="0" applyNumberFormat="1" applyFont="1" applyFill="1" applyAlignment="1">
      <alignment horizontal="center" vertical="top" wrapText="1"/>
    </xf>
    <xf numFmtId="49" fontId="17" fillId="5" borderId="0" xfId="0" applyNumberFormat="1" applyFont="1" applyFill="1" applyAlignment="1">
      <alignment horizontal="center" vertical="top" wrapText="1"/>
    </xf>
    <xf numFmtId="49" fontId="17" fillId="6" borderId="10" xfId="0" applyNumberFormat="1" applyFont="1" applyFill="1" applyBorder="1" applyAlignment="1">
      <alignment horizontal="center" vertical="top" wrapText="1"/>
    </xf>
    <xf numFmtId="166" fontId="73" fillId="10" borderId="9" xfId="0" applyNumberFormat="1" applyFont="1" applyFill="1" applyBorder="1" applyAlignment="1">
      <alignment horizontal="center" vertical="center"/>
    </xf>
    <xf numFmtId="166" fontId="73" fillId="19" borderId="0" xfId="0" applyNumberFormat="1" applyFont="1" applyFill="1" applyAlignment="1">
      <alignment horizontal="center" vertical="center"/>
    </xf>
    <xf numFmtId="166" fontId="73" fillId="10" borderId="0" xfId="0" applyNumberFormat="1" applyFont="1" applyFill="1" applyAlignment="1">
      <alignment horizontal="center" vertical="center"/>
    </xf>
    <xf numFmtId="166" fontId="73" fillId="19" borderId="10" xfId="0" applyNumberFormat="1" applyFont="1" applyFill="1" applyBorder="1" applyAlignment="1">
      <alignment horizontal="center" vertical="center"/>
    </xf>
    <xf numFmtId="166" fontId="73" fillId="10" borderId="82" xfId="0" applyNumberFormat="1" applyFont="1" applyFill="1" applyBorder="1" applyAlignment="1">
      <alignment horizontal="center" vertical="center"/>
    </xf>
    <xf numFmtId="166" fontId="73" fillId="19" borderId="83" xfId="0" applyNumberFormat="1" applyFont="1" applyFill="1" applyBorder="1" applyAlignment="1">
      <alignment horizontal="center" vertical="center"/>
    </xf>
    <xf numFmtId="166" fontId="73" fillId="10" borderId="83" xfId="0" applyNumberFormat="1" applyFont="1" applyFill="1" applyBorder="1" applyAlignment="1">
      <alignment horizontal="center" vertical="center"/>
    </xf>
    <xf numFmtId="166" fontId="73" fillId="19" borderId="94" xfId="0" applyNumberFormat="1" applyFont="1" applyFill="1" applyBorder="1" applyAlignment="1">
      <alignment horizontal="center" vertical="center"/>
    </xf>
    <xf numFmtId="0" fontId="73" fillId="5" borderId="9" xfId="0" applyFont="1" applyFill="1" applyBorder="1" applyAlignment="1">
      <alignment horizontal="center" vertical="center"/>
    </xf>
    <xf numFmtId="0" fontId="73" fillId="6" borderId="0" xfId="0" applyFont="1" applyFill="1" applyAlignment="1">
      <alignment horizontal="center" vertical="center"/>
    </xf>
    <xf numFmtId="0" fontId="73" fillId="5" borderId="0" xfId="0" applyFont="1" applyFill="1" applyAlignment="1">
      <alignment horizontal="center" vertical="center"/>
    </xf>
    <xf numFmtId="0" fontId="17" fillId="10" borderId="9" xfId="0" applyFont="1" applyFill="1" applyBorder="1" applyAlignment="1">
      <alignment horizontal="center" vertical="center"/>
    </xf>
    <xf numFmtId="0" fontId="17" fillId="19" borderId="0" xfId="0" applyFont="1" applyFill="1" applyAlignment="1">
      <alignment horizontal="center" vertical="center"/>
    </xf>
    <xf numFmtId="0" fontId="17" fillId="10" borderId="0" xfId="0" applyFont="1" applyFill="1" applyAlignment="1">
      <alignment horizontal="center" vertical="center"/>
    </xf>
    <xf numFmtId="0" fontId="19" fillId="0" borderId="11" xfId="0" applyFont="1" applyBorder="1" applyAlignment="1">
      <alignment horizontal="left" vertical="center"/>
    </xf>
    <xf numFmtId="0" fontId="19" fillId="0" borderId="14" xfId="0" applyFont="1" applyBorder="1" applyAlignment="1">
      <alignment horizontal="left" vertical="center"/>
    </xf>
    <xf numFmtId="0" fontId="19" fillId="0" borderId="12" xfId="0" applyFont="1" applyBorder="1" applyAlignment="1">
      <alignment horizontal="left" vertical="center"/>
    </xf>
    <xf numFmtId="166" fontId="17" fillId="0" borderId="9" xfId="0" applyNumberFormat="1" applyFont="1" applyBorder="1" applyAlignment="1">
      <alignment horizontal="center" vertical="center"/>
    </xf>
    <xf numFmtId="166" fontId="17" fillId="0" borderId="0" xfId="0" applyNumberFormat="1" applyFont="1" applyAlignment="1">
      <alignment horizontal="center" vertical="center"/>
    </xf>
    <xf numFmtId="166" fontId="17" fillId="0" borderId="10" xfId="0" applyNumberFormat="1" applyFont="1" applyBorder="1" applyAlignment="1">
      <alignment horizontal="center" vertical="center"/>
    </xf>
    <xf numFmtId="0" fontId="17" fillId="5" borderId="9" xfId="0" applyFont="1" applyFill="1" applyBorder="1" applyAlignment="1">
      <alignment horizontal="center" vertical="center"/>
    </xf>
    <xf numFmtId="0" fontId="17" fillId="5" borderId="0" xfId="0" applyFont="1" applyFill="1" applyAlignment="1">
      <alignment horizontal="center" vertical="center"/>
    </xf>
    <xf numFmtId="0" fontId="17" fillId="6" borderId="10" xfId="0" applyFont="1" applyFill="1" applyBorder="1" applyAlignment="1">
      <alignment horizontal="center" vertical="center"/>
    </xf>
    <xf numFmtId="166" fontId="17" fillId="10" borderId="9" xfId="0" applyNumberFormat="1" applyFont="1" applyFill="1" applyBorder="1" applyAlignment="1">
      <alignment horizontal="center" vertical="center"/>
    </xf>
    <xf numFmtId="166" fontId="17" fillId="19" borderId="0" xfId="0" applyNumberFormat="1" applyFont="1" applyFill="1" applyAlignment="1">
      <alignment horizontal="center" vertical="center"/>
    </xf>
    <xf numFmtId="166" fontId="17" fillId="10" borderId="0" xfId="0" applyNumberFormat="1" applyFont="1" applyFill="1" applyAlignment="1">
      <alignment horizontal="center" vertical="center"/>
    </xf>
    <xf numFmtId="166" fontId="17" fillId="19" borderId="10" xfId="0" applyNumberFormat="1" applyFont="1" applyFill="1" applyBorder="1" applyAlignment="1">
      <alignment horizontal="center" vertical="center"/>
    </xf>
    <xf numFmtId="166" fontId="17" fillId="0" borderId="11" xfId="0" applyNumberFormat="1" applyFont="1" applyBorder="1" applyAlignment="1">
      <alignment horizontal="center" vertical="center"/>
    </xf>
    <xf numFmtId="166" fontId="17" fillId="0" borderId="14" xfId="0" applyNumberFormat="1" applyFont="1" applyBorder="1" applyAlignment="1">
      <alignment horizontal="center" vertical="center"/>
    </xf>
    <xf numFmtId="166" fontId="17" fillId="0" borderId="12" xfId="0" applyNumberFormat="1" applyFont="1" applyBorder="1" applyAlignment="1">
      <alignment horizontal="center" vertical="center"/>
    </xf>
    <xf numFmtId="0" fontId="98" fillId="2" borderId="158" xfId="0" applyFont="1" applyFill="1" applyBorder="1" applyAlignment="1">
      <alignment horizontal="center" vertical="center"/>
    </xf>
    <xf numFmtId="0" fontId="3" fillId="52" borderId="159" xfId="0" applyFont="1" applyFill="1" applyBorder="1" applyAlignment="1">
      <alignment horizontal="center" vertical="center"/>
    </xf>
    <xf numFmtId="0" fontId="3" fillId="52" borderId="162" xfId="0" applyFont="1" applyFill="1" applyBorder="1" applyAlignment="1">
      <alignment horizontal="center" vertical="center"/>
    </xf>
    <xf numFmtId="166" fontId="17" fillId="10" borderId="78" xfId="0" applyNumberFormat="1" applyFont="1" applyFill="1" applyBorder="1" applyAlignment="1">
      <alignment horizontal="center" vertical="center"/>
    </xf>
    <xf numFmtId="166" fontId="17" fillId="0" borderId="78" xfId="0" applyNumberFormat="1" applyFont="1" applyBorder="1" applyAlignment="1">
      <alignment horizontal="center" vertical="center"/>
    </xf>
    <xf numFmtId="166" fontId="17" fillId="10" borderId="82" xfId="0" applyNumberFormat="1" applyFont="1" applyFill="1" applyBorder="1" applyAlignment="1">
      <alignment horizontal="center" vertical="center"/>
    </xf>
    <xf numFmtId="166" fontId="17" fillId="19" borderId="83" xfId="0" applyNumberFormat="1" applyFont="1" applyFill="1" applyBorder="1" applyAlignment="1">
      <alignment horizontal="center" vertical="center"/>
    </xf>
    <xf numFmtId="166" fontId="17" fillId="10" borderId="83" xfId="0" applyNumberFormat="1" applyFont="1" applyFill="1" applyBorder="1" applyAlignment="1">
      <alignment horizontal="center" vertical="center"/>
    </xf>
    <xf numFmtId="166" fontId="17" fillId="19" borderId="94" xfId="0" applyNumberFormat="1" applyFont="1" applyFill="1" applyBorder="1" applyAlignment="1">
      <alignment horizontal="center" vertical="center"/>
    </xf>
    <xf numFmtId="166" fontId="3" fillId="10" borderId="14" xfId="0" applyNumberFormat="1" applyFont="1" applyFill="1" applyBorder="1" applyAlignment="1">
      <alignment horizontal="center" vertical="center"/>
    </xf>
    <xf numFmtId="166" fontId="3" fillId="19" borderId="14" xfId="0" applyNumberFormat="1" applyFont="1" applyFill="1" applyBorder="1" applyAlignment="1">
      <alignment horizontal="center" vertical="center"/>
    </xf>
    <xf numFmtId="166" fontId="3" fillId="5" borderId="14" xfId="0" applyNumberFormat="1" applyFont="1" applyFill="1" applyBorder="1" applyAlignment="1">
      <alignment horizontal="center" vertical="center"/>
    </xf>
    <xf numFmtId="0" fontId="142" fillId="0" borderId="0" xfId="0" applyFont="1">
      <alignment vertical="center"/>
    </xf>
    <xf numFmtId="0" fontId="109" fillId="0" borderId="0" xfId="0" applyFont="1">
      <alignment vertical="center"/>
    </xf>
    <xf numFmtId="0" fontId="49" fillId="77" borderId="13" xfId="0" applyFont="1" applyFill="1" applyBorder="1" applyAlignment="1">
      <alignment horizontal="center" vertical="center"/>
    </xf>
    <xf numFmtId="0" fontId="49" fillId="77" borderId="8" xfId="0" applyFont="1" applyFill="1" applyBorder="1" applyAlignment="1">
      <alignment horizontal="center" vertical="center"/>
    </xf>
    <xf numFmtId="0" fontId="12" fillId="5" borderId="9" xfId="0" applyFont="1" applyFill="1" applyBorder="1" applyAlignment="1">
      <alignment horizontal="center" vertical="center"/>
    </xf>
    <xf numFmtId="0" fontId="12" fillId="6" borderId="0" xfId="0" applyFont="1" applyFill="1" applyAlignment="1">
      <alignment horizontal="center" vertical="center"/>
    </xf>
    <xf numFmtId="0" fontId="12" fillId="6" borderId="10" xfId="0" applyFont="1" applyFill="1" applyBorder="1" applyAlignment="1">
      <alignment horizontal="center" vertical="center"/>
    </xf>
    <xf numFmtId="0" fontId="145" fillId="0" borderId="0" xfId="0" applyFont="1">
      <alignment vertical="center"/>
    </xf>
    <xf numFmtId="0" fontId="146" fillId="0" borderId="0" xfId="0" applyFont="1">
      <alignment vertical="center"/>
    </xf>
    <xf numFmtId="0" fontId="23" fillId="0" borderId="0" xfId="0" applyFont="1">
      <alignment vertical="center"/>
    </xf>
    <xf numFmtId="0" fontId="49" fillId="2" borderId="9" xfId="0" applyFont="1" applyFill="1" applyBorder="1" applyAlignment="1">
      <alignment horizontal="center" vertical="center"/>
    </xf>
    <xf numFmtId="0" fontId="49" fillId="77" borderId="0" xfId="0" applyFont="1" applyFill="1" applyAlignment="1">
      <alignment horizontal="center" vertical="center"/>
    </xf>
    <xf numFmtId="0" fontId="49" fillId="77" borderId="10" xfId="0" applyFont="1" applyFill="1" applyBorder="1" applyAlignment="1">
      <alignment horizontal="center" vertical="center"/>
    </xf>
    <xf numFmtId="0" fontId="49" fillId="2" borderId="188" xfId="0" applyFont="1" applyFill="1" applyBorder="1" applyAlignment="1">
      <alignment horizontal="center" vertical="center"/>
    </xf>
    <xf numFmtId="0" fontId="49" fillId="77" borderId="176" xfId="0" applyFont="1" applyFill="1" applyBorder="1" applyAlignment="1">
      <alignment horizontal="center" vertical="center"/>
    </xf>
    <xf numFmtId="0" fontId="49" fillId="77" borderId="189" xfId="0" applyFont="1" applyFill="1" applyBorder="1" applyAlignment="1">
      <alignment horizontal="center" vertical="center"/>
    </xf>
    <xf numFmtId="0" fontId="17" fillId="9" borderId="173" xfId="0" applyFont="1" applyFill="1" applyBorder="1" applyAlignment="1">
      <alignment horizontal="left" vertical="center"/>
    </xf>
    <xf numFmtId="0" fontId="17" fillId="52" borderId="0" xfId="0" applyFont="1" applyFill="1" applyAlignment="1">
      <alignment horizontal="left" vertical="center"/>
    </xf>
    <xf numFmtId="0" fontId="17" fillId="9" borderId="0" xfId="0" applyFont="1" applyFill="1" applyAlignment="1">
      <alignment horizontal="center" vertical="center"/>
    </xf>
    <xf numFmtId="0" fontId="17" fillId="52" borderId="0" xfId="0" applyFont="1" applyFill="1" applyAlignment="1">
      <alignment horizontal="center" vertical="center"/>
    </xf>
    <xf numFmtId="0" fontId="17" fillId="9" borderId="0" xfId="0" applyFont="1" applyFill="1" applyAlignment="1">
      <alignment horizontal="left" vertical="center"/>
    </xf>
    <xf numFmtId="0" fontId="17" fillId="52" borderId="171" xfId="0" applyFont="1" applyFill="1" applyBorder="1" applyAlignment="1">
      <alignment horizontal="center" vertical="center"/>
    </xf>
    <xf numFmtId="0" fontId="17" fillId="0" borderId="35" xfId="0" applyFont="1" applyBorder="1" applyAlignment="1">
      <alignment horizontal="left" vertical="center"/>
    </xf>
    <xf numFmtId="0" fontId="12" fillId="0" borderId="0" xfId="0" applyFont="1" applyAlignment="1">
      <alignment horizontal="center" vertical="center"/>
    </xf>
    <xf numFmtId="0" fontId="12" fillId="0" borderId="0" xfId="0" applyFont="1" applyAlignment="1">
      <alignment horizontal="left" vertical="center"/>
    </xf>
    <xf numFmtId="0" fontId="12" fillId="0" borderId="171" xfId="0" applyFont="1" applyBorder="1" applyAlignment="1">
      <alignment horizontal="left" vertical="center"/>
    </xf>
    <xf numFmtId="0" fontId="17" fillId="0" borderId="171" xfId="0" applyFont="1" applyBorder="1" applyAlignment="1">
      <alignment horizontal="center" vertical="center"/>
    </xf>
    <xf numFmtId="0" fontId="17" fillId="10" borderId="173" xfId="0" applyFont="1" applyFill="1" applyBorder="1" applyAlignment="1">
      <alignment horizontal="center" vertical="center"/>
    </xf>
    <xf numFmtId="0" fontId="17" fillId="10" borderId="0" xfId="0" applyFont="1" applyFill="1">
      <alignment vertical="center"/>
    </xf>
    <xf numFmtId="0" fontId="17" fillId="19" borderId="0" xfId="0" applyFont="1" applyFill="1">
      <alignment vertical="center"/>
    </xf>
    <xf numFmtId="0" fontId="17" fillId="19" borderId="35" xfId="0" applyFont="1" applyFill="1" applyBorder="1">
      <alignment vertical="center"/>
    </xf>
    <xf numFmtId="0" fontId="17" fillId="10" borderId="0" xfId="0" applyFont="1" applyFill="1" applyAlignment="1">
      <alignment horizontal="left" vertical="center"/>
    </xf>
    <xf numFmtId="0" fontId="17" fillId="19" borderId="0" xfId="0" applyFont="1" applyFill="1" applyAlignment="1">
      <alignment horizontal="left" vertical="center"/>
    </xf>
    <xf numFmtId="0" fontId="17" fillId="19" borderId="35" xfId="0" applyFont="1" applyFill="1" applyBorder="1" applyAlignment="1">
      <alignment horizontal="left" vertical="center"/>
    </xf>
    <xf numFmtId="0" fontId="147" fillId="10" borderId="0" xfId="0" applyFont="1" applyFill="1" applyAlignment="1">
      <alignment horizontal="center" vertical="center"/>
    </xf>
    <xf numFmtId="0" fontId="148" fillId="19" borderId="0" xfId="0" applyFont="1" applyFill="1" applyAlignment="1">
      <alignment horizontal="center" vertical="center"/>
    </xf>
    <xf numFmtId="0" fontId="17" fillId="19" borderId="171" xfId="0" applyFont="1" applyFill="1" applyBorder="1" applyAlignment="1">
      <alignment horizontal="center" vertical="center"/>
    </xf>
    <xf numFmtId="0" fontId="12" fillId="10" borderId="0" xfId="0" applyFont="1" applyFill="1" applyAlignment="1">
      <alignment horizontal="center" vertical="center"/>
    </xf>
    <xf numFmtId="0" fontId="12" fillId="19" borderId="0" xfId="0" applyFont="1" applyFill="1" applyAlignment="1">
      <alignment horizontal="center" vertical="center"/>
    </xf>
    <xf numFmtId="0" fontId="16" fillId="10" borderId="0" xfId="0" applyFont="1" applyFill="1">
      <alignment vertical="center"/>
    </xf>
    <xf numFmtId="0" fontId="16" fillId="19" borderId="0" xfId="0" applyFont="1" applyFill="1">
      <alignment vertical="center"/>
    </xf>
    <xf numFmtId="0" fontId="16" fillId="19" borderId="171" xfId="0" applyFont="1" applyFill="1" applyBorder="1">
      <alignment vertical="center"/>
    </xf>
    <xf numFmtId="0" fontId="17" fillId="0" borderId="173" xfId="0" applyFont="1" applyBorder="1" applyAlignment="1">
      <alignment horizontal="center" vertical="center"/>
    </xf>
    <xf numFmtId="0" fontId="17" fillId="0" borderId="0" xfId="0" applyFont="1">
      <alignment vertical="center"/>
    </xf>
    <xf numFmtId="0" fontId="17" fillId="0" borderId="35" xfId="0" applyFont="1" applyBorder="1">
      <alignment vertical="center"/>
    </xf>
    <xf numFmtId="0" fontId="17" fillId="0" borderId="171" xfId="0" applyFont="1" applyBorder="1" applyAlignment="1">
      <alignment horizontal="left" vertical="center"/>
    </xf>
    <xf numFmtId="0" fontId="12" fillId="10" borderId="0" xfId="0" applyFont="1" applyFill="1">
      <alignment vertical="center"/>
    </xf>
    <xf numFmtId="0" fontId="12" fillId="19" borderId="0" xfId="0" applyFont="1" applyFill="1">
      <alignment vertical="center"/>
    </xf>
    <xf numFmtId="0" fontId="12" fillId="19" borderId="171" xfId="0" applyFont="1" applyFill="1" applyBorder="1">
      <alignment vertical="center"/>
    </xf>
    <xf numFmtId="0" fontId="12" fillId="0" borderId="173" xfId="0" applyFont="1" applyBorder="1" applyAlignment="1">
      <alignment horizontal="center" vertical="center"/>
    </xf>
    <xf numFmtId="0" fontId="12" fillId="0" borderId="0" xfId="0" applyFont="1">
      <alignment vertical="center"/>
    </xf>
    <xf numFmtId="0" fontId="12" fillId="0" borderId="35" xfId="0" applyFont="1" applyBorder="1">
      <alignment vertical="center"/>
    </xf>
    <xf numFmtId="0" fontId="12" fillId="0" borderId="35" xfId="0" applyFont="1" applyBorder="1" applyAlignment="1">
      <alignment horizontal="left" vertical="center"/>
    </xf>
    <xf numFmtId="0" fontId="17" fillId="0" borderId="171" xfId="0" applyFont="1" applyBorder="1">
      <alignment vertical="center"/>
    </xf>
    <xf numFmtId="0" fontId="12" fillId="0" borderId="166" xfId="0" applyFont="1" applyBorder="1" applyAlignment="1">
      <alignment horizontal="center" vertical="center"/>
    </xf>
    <xf numFmtId="0" fontId="12" fillId="0" borderId="166" xfId="0" applyFont="1" applyBorder="1" applyAlignment="1">
      <alignment horizontal="left" vertical="center"/>
    </xf>
    <xf numFmtId="0" fontId="12" fillId="0" borderId="192" xfId="0" applyFont="1" applyBorder="1" applyAlignment="1">
      <alignment horizontal="left" vertical="center"/>
    </xf>
    <xf numFmtId="0" fontId="147" fillId="0" borderId="166" xfId="0" applyFont="1" applyBorder="1" applyAlignment="1">
      <alignment horizontal="center" vertical="center"/>
    </xf>
    <xf numFmtId="0" fontId="148" fillId="0" borderId="166" xfId="0" applyFont="1" applyBorder="1" applyAlignment="1">
      <alignment horizontal="center" vertical="center"/>
    </xf>
    <xf numFmtId="0" fontId="12" fillId="0" borderId="166" xfId="0" applyFont="1" applyBorder="1">
      <alignment vertical="center"/>
    </xf>
    <xf numFmtId="0" fontId="12" fillId="0" borderId="172" xfId="0" applyFont="1" applyBorder="1">
      <alignment vertical="center"/>
    </xf>
    <xf numFmtId="0" fontId="12" fillId="10" borderId="173" xfId="0" applyFont="1" applyFill="1" applyBorder="1" applyAlignment="1">
      <alignment horizontal="center" vertical="center"/>
    </xf>
    <xf numFmtId="0" fontId="12" fillId="19" borderId="35" xfId="0" applyFont="1" applyFill="1" applyBorder="1">
      <alignment vertical="center"/>
    </xf>
    <xf numFmtId="0" fontId="12" fillId="10" borderId="0" xfId="0" applyFont="1" applyFill="1" applyAlignment="1">
      <alignment horizontal="left" vertical="center"/>
    </xf>
    <xf numFmtId="0" fontId="12" fillId="19" borderId="0" xfId="0" applyFont="1" applyFill="1" applyAlignment="1">
      <alignment horizontal="left" vertical="center"/>
    </xf>
    <xf numFmtId="0" fontId="12" fillId="19" borderId="35" xfId="0" applyFont="1" applyFill="1" applyBorder="1" applyAlignment="1">
      <alignment horizontal="left" vertical="center"/>
    </xf>
    <xf numFmtId="170" fontId="3" fillId="10" borderId="13" xfId="0" applyNumberFormat="1" applyFont="1" applyFill="1" applyBorder="1" applyAlignment="1">
      <alignment horizontal="left" vertical="center"/>
    </xf>
    <xf numFmtId="170" fontId="3" fillId="19" borderId="0" xfId="0" applyNumberFormat="1" applyFont="1" applyFill="1" applyAlignment="1">
      <alignment horizontal="left" vertical="center"/>
    </xf>
    <xf numFmtId="0" fontId="3" fillId="10" borderId="0" xfId="0" applyFont="1" applyFill="1" applyAlignment="1">
      <alignment horizontal="center" vertical="center"/>
    </xf>
    <xf numFmtId="0" fontId="3" fillId="19" borderId="0" xfId="0" applyFont="1" applyFill="1" applyAlignment="1">
      <alignment horizontal="center" vertical="center"/>
    </xf>
    <xf numFmtId="0" fontId="3" fillId="5" borderId="0" xfId="0" applyFont="1" applyFill="1" applyAlignment="1">
      <alignment horizontal="center" vertical="center"/>
    </xf>
    <xf numFmtId="0" fontId="3" fillId="6" borderId="14" xfId="0" applyFont="1" applyFill="1" applyBorder="1" applyAlignment="1">
      <alignment horizontal="center" vertical="center"/>
    </xf>
    <xf numFmtId="0" fontId="3" fillId="0" borderId="13" xfId="0" applyFont="1" applyBorder="1" applyAlignment="1">
      <alignment horizontal="center" vertical="center"/>
    </xf>
    <xf numFmtId="0" fontId="3" fillId="0" borderId="0" xfId="0" applyFont="1" applyAlignment="1">
      <alignment horizontal="center" vertical="center"/>
    </xf>
    <xf numFmtId="0" fontId="3" fillId="0" borderId="14" xfId="0" applyFont="1" applyBorder="1" applyAlignment="1">
      <alignment horizontal="center" vertical="center"/>
    </xf>
    <xf numFmtId="0" fontId="17" fillId="0" borderId="191" xfId="0" applyFont="1" applyBorder="1" applyAlignment="1">
      <alignment horizontal="center" vertical="center"/>
    </xf>
    <xf numFmtId="0" fontId="17" fillId="0" borderId="166" xfId="0" applyFont="1" applyBorder="1" applyAlignment="1">
      <alignment horizontal="center" vertical="center"/>
    </xf>
    <xf numFmtId="0" fontId="17" fillId="0" borderId="166" xfId="0" applyFont="1" applyBorder="1">
      <alignment vertical="center"/>
    </xf>
    <xf numFmtId="0" fontId="17" fillId="0" borderId="192" xfId="0" applyFont="1" applyBorder="1">
      <alignment vertical="center"/>
    </xf>
    <xf numFmtId="0" fontId="17" fillId="10" borderId="35" xfId="0" applyFont="1" applyFill="1" applyBorder="1">
      <alignment vertical="center"/>
    </xf>
    <xf numFmtId="166" fontId="17" fillId="10" borderId="98" xfId="0" applyNumberFormat="1" applyFont="1" applyFill="1" applyBorder="1" applyAlignment="1">
      <alignment horizontal="center" vertical="center"/>
    </xf>
    <xf numFmtId="166" fontId="17" fillId="19" borderId="14" xfId="0" applyNumberFormat="1" applyFont="1" applyFill="1" applyBorder="1" applyAlignment="1">
      <alignment horizontal="center" vertical="center"/>
    </xf>
    <xf numFmtId="166" fontId="17" fillId="19" borderId="96" xfId="0" applyNumberFormat="1" applyFont="1" applyFill="1" applyBorder="1" applyAlignment="1">
      <alignment horizontal="center" vertical="center"/>
    </xf>
    <xf numFmtId="0" fontId="17" fillId="10" borderId="13" xfId="0" applyFont="1" applyFill="1" applyBorder="1" applyAlignment="1">
      <alignment horizontal="center" vertical="center"/>
    </xf>
    <xf numFmtId="0" fontId="3" fillId="19" borderId="14" xfId="0" applyFont="1" applyFill="1" applyBorder="1" applyAlignment="1">
      <alignment horizontal="center" vertical="center"/>
    </xf>
    <xf numFmtId="0" fontId="17" fillId="0" borderId="9" xfId="0" applyFont="1" applyBorder="1" applyAlignment="1">
      <alignment horizontal="center" vertical="center"/>
    </xf>
    <xf numFmtId="0" fontId="17" fillId="0" borderId="11" xfId="0" applyFont="1" applyBorder="1" applyAlignment="1">
      <alignment horizontal="center" vertical="center"/>
    </xf>
    <xf numFmtId="0" fontId="149" fillId="2" borderId="9" xfId="0" applyFont="1" applyFill="1" applyBorder="1" applyAlignment="1">
      <alignment vertical="center" wrapText="1"/>
    </xf>
    <xf numFmtId="0" fontId="93" fillId="94" borderId="0" xfId="0" applyFont="1" applyFill="1" applyAlignment="1">
      <alignment vertical="center" wrapText="1"/>
    </xf>
    <xf numFmtId="0" fontId="149" fillId="2" borderId="0" xfId="0" applyFont="1" applyFill="1" applyAlignment="1">
      <alignment horizontal="center" vertical="center" wrapText="1"/>
    </xf>
    <xf numFmtId="0" fontId="93" fillId="94" borderId="0" xfId="0" applyFont="1" applyFill="1" applyAlignment="1">
      <alignment horizontal="center" vertical="center" wrapText="1"/>
    </xf>
    <xf numFmtId="0" fontId="149" fillId="2" borderId="0" xfId="0" applyFont="1" applyFill="1" applyAlignment="1">
      <alignment horizontal="left" vertical="center" wrapText="1"/>
    </xf>
    <xf numFmtId="0" fontId="93" fillId="94" borderId="0" xfId="0" applyFont="1" applyFill="1" applyAlignment="1">
      <alignment horizontal="left" vertical="center" wrapText="1"/>
    </xf>
    <xf numFmtId="0" fontId="93" fillId="94" borderId="10" xfId="0" applyFont="1" applyFill="1" applyBorder="1" applyAlignment="1">
      <alignment horizontal="left" vertical="center" wrapText="1"/>
    </xf>
    <xf numFmtId="0" fontId="3" fillId="10" borderId="9" xfId="0" applyFont="1" applyFill="1" applyBorder="1" applyAlignment="1">
      <alignment horizontal="center" vertical="center"/>
    </xf>
    <xf numFmtId="0" fontId="3" fillId="19" borderId="9" xfId="0" applyFont="1" applyFill="1" applyBorder="1" applyAlignment="1">
      <alignment horizontal="center" vertical="center"/>
    </xf>
    <xf numFmtId="0" fontId="3" fillId="5" borderId="9" xfId="0" applyFont="1" applyFill="1" applyBorder="1" applyAlignment="1">
      <alignment horizontal="center" vertical="center"/>
    </xf>
    <xf numFmtId="0" fontId="3" fillId="6" borderId="11" xfId="0" applyFont="1" applyFill="1" applyBorder="1" applyAlignment="1">
      <alignment horizontal="center" vertical="center"/>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right" vertical="center"/>
    </xf>
    <xf numFmtId="0" fontId="3" fillId="0" borderId="0" xfId="0" applyFont="1" applyAlignment="1">
      <alignment horizontal="right" vertical="center"/>
    </xf>
    <xf numFmtId="170" fontId="3" fillId="0" borderId="13" xfId="0" applyNumberFormat="1" applyFont="1" applyBorder="1" applyAlignment="1">
      <alignment horizontal="left" vertical="center"/>
    </xf>
    <xf numFmtId="170" fontId="3" fillId="0" borderId="0" xfId="0" applyNumberFormat="1" applyFont="1" applyAlignment="1">
      <alignment horizontal="left" vertical="center"/>
    </xf>
    <xf numFmtId="0" fontId="3" fillId="6" borderId="0" xfId="0" applyFont="1" applyFill="1" applyAlignment="1">
      <alignment horizontal="center" vertical="center"/>
    </xf>
    <xf numFmtId="0" fontId="3" fillId="10" borderId="13" xfId="0" applyFont="1" applyFill="1" applyBorder="1" applyAlignment="1">
      <alignment horizontal="center" vertical="center"/>
    </xf>
    <xf numFmtId="0" fontId="3" fillId="10" borderId="13" xfId="0" applyFont="1" applyFill="1" applyBorder="1" applyAlignment="1">
      <alignment horizontal="right" vertical="center"/>
    </xf>
    <xf numFmtId="0" fontId="3" fillId="19" borderId="0" xfId="0" applyFont="1" applyFill="1" applyAlignment="1">
      <alignment horizontal="right" vertical="center"/>
    </xf>
    <xf numFmtId="0" fontId="93" fillId="0" borderId="0" xfId="0" applyFont="1" applyAlignment="1">
      <alignment horizontal="center" vertical="center" wrapText="1"/>
    </xf>
    <xf numFmtId="0" fontId="93" fillId="0" borderId="0" xfId="0" applyFont="1" applyAlignment="1">
      <alignment horizontal="left" vertical="center" wrapText="1"/>
    </xf>
    <xf numFmtId="0" fontId="93" fillId="0" borderId="10" xfId="0" applyFont="1" applyBorder="1" applyAlignment="1">
      <alignment horizontal="left" vertical="center" wrapText="1"/>
    </xf>
    <xf numFmtId="0" fontId="144" fillId="0" borderId="0" xfId="0" applyFont="1" applyAlignment="1">
      <alignment vertical="center" wrapText="1"/>
    </xf>
    <xf numFmtId="0" fontId="144" fillId="0" borderId="0" xfId="0" applyFont="1">
      <alignment vertical="center"/>
    </xf>
    <xf numFmtId="0" fontId="63" fillId="0" borderId="0" xfId="0" applyFont="1" applyAlignment="1">
      <alignment vertical="center" wrapText="1"/>
    </xf>
    <xf numFmtId="0" fontId="63" fillId="0" borderId="0" xfId="0" applyFont="1">
      <alignment vertical="center"/>
    </xf>
    <xf numFmtId="0" fontId="12" fillId="0" borderId="187" xfId="0" applyFont="1" applyBorder="1" applyAlignment="1">
      <alignment horizontal="left" vertical="center" wrapText="1"/>
    </xf>
    <xf numFmtId="0" fontId="3" fillId="19" borderId="8" xfId="0" applyFont="1" applyFill="1" applyBorder="1" applyAlignment="1">
      <alignment horizontal="center" vertical="center"/>
    </xf>
    <xf numFmtId="0" fontId="3" fillId="19" borderId="10" xfId="0" applyFont="1" applyFill="1" applyBorder="1" applyAlignment="1">
      <alignment horizontal="center" vertical="center"/>
    </xf>
    <xf numFmtId="173" fontId="17" fillId="0" borderId="190" xfId="0" applyNumberFormat="1" applyFont="1" applyBorder="1" applyAlignment="1">
      <alignment horizontal="center" vertical="center"/>
    </xf>
    <xf numFmtId="173" fontId="17" fillId="0" borderId="10" xfId="0" applyNumberFormat="1" applyFont="1" applyBorder="1" applyAlignment="1">
      <alignment horizontal="center" vertical="center"/>
    </xf>
    <xf numFmtId="173" fontId="17" fillId="0" borderId="98" xfId="0" applyNumberFormat="1" applyFont="1" applyBorder="1" applyAlignment="1">
      <alignment horizontal="center" vertical="center"/>
    </xf>
    <xf numFmtId="173" fontId="17" fillId="0" borderId="12" xfId="0" applyNumberFormat="1" applyFont="1" applyBorder="1" applyAlignment="1">
      <alignment horizontal="center" vertical="center"/>
    </xf>
    <xf numFmtId="0" fontId="19" fillId="0" borderId="0" xfId="0" applyFont="1" applyAlignment="1">
      <alignment horizontal="left" vertical="top" wrapText="1"/>
    </xf>
    <xf numFmtId="0" fontId="19" fillId="0" borderId="10" xfId="0" applyFont="1" applyBorder="1" applyAlignment="1">
      <alignment horizontal="left" vertical="top" wrapText="1"/>
    </xf>
    <xf numFmtId="0" fontId="19" fillId="0" borderId="14" xfId="0" applyFont="1" applyBorder="1" applyAlignment="1">
      <alignment horizontal="left" vertical="top" wrapText="1"/>
    </xf>
    <xf numFmtId="0" fontId="19" fillId="0" borderId="12" xfId="0" applyFont="1" applyBorder="1" applyAlignment="1">
      <alignment horizontal="left" vertical="top" wrapText="1"/>
    </xf>
    <xf numFmtId="0" fontId="3" fillId="19" borderId="12" xfId="0" applyFont="1" applyFill="1" applyBorder="1" applyAlignment="1">
      <alignment horizontal="center" vertical="center"/>
    </xf>
    <xf numFmtId="0" fontId="93" fillId="10" borderId="9" xfId="0" applyFont="1" applyFill="1" applyBorder="1" applyAlignment="1">
      <alignment horizontal="center" vertical="center" wrapText="1"/>
    </xf>
    <xf numFmtId="0" fontId="93" fillId="19" borderId="0" xfId="0" applyFont="1" applyFill="1" applyAlignment="1">
      <alignment horizontal="center" vertical="center" wrapText="1"/>
    </xf>
    <xf numFmtId="0" fontId="93" fillId="19" borderId="9" xfId="0" applyFont="1" applyFill="1" applyBorder="1" applyAlignment="1">
      <alignment horizontal="center" vertical="center" wrapText="1"/>
    </xf>
    <xf numFmtId="0" fontId="99" fillId="10" borderId="0" xfId="0" applyFont="1" applyFill="1" applyAlignment="1">
      <alignment horizontal="center" vertical="center" wrapText="1"/>
    </xf>
    <xf numFmtId="0" fontId="99" fillId="19" borderId="0" xfId="0" applyFont="1" applyFill="1" applyAlignment="1">
      <alignment horizontal="center" vertical="center" wrapText="1"/>
    </xf>
    <xf numFmtId="0" fontId="93" fillId="0" borderId="9" xfId="0" applyFont="1" applyBorder="1" applyAlignment="1">
      <alignment horizontal="center" vertical="center" wrapText="1"/>
    </xf>
    <xf numFmtId="0" fontId="93" fillId="0" borderId="11" xfId="0" applyFont="1" applyBorder="1" applyAlignment="1">
      <alignment horizontal="center" vertical="center" wrapText="1"/>
    </xf>
    <xf numFmtId="0" fontId="93" fillId="0" borderId="14" xfId="0" applyFont="1" applyBorder="1" applyAlignment="1">
      <alignment horizontal="center" vertical="center" wrapText="1"/>
    </xf>
    <xf numFmtId="0" fontId="93" fillId="10" borderId="0" xfId="0" applyFont="1" applyFill="1" applyAlignment="1">
      <alignment horizontal="left" vertical="center" wrapText="1"/>
    </xf>
    <xf numFmtId="0" fontId="93" fillId="32" borderId="0" xfId="0" applyFont="1" applyFill="1" applyAlignment="1">
      <alignment horizontal="left" vertical="center" wrapText="1"/>
    </xf>
    <xf numFmtId="0" fontId="93" fillId="32" borderId="10" xfId="0" applyFont="1" applyFill="1" applyBorder="1" applyAlignment="1">
      <alignment horizontal="left" vertical="center" wrapText="1"/>
    </xf>
    <xf numFmtId="0" fontId="147" fillId="0" borderId="0" xfId="0" applyFont="1" applyAlignment="1">
      <alignment horizontal="center" vertical="center" wrapText="1"/>
    </xf>
    <xf numFmtId="0" fontId="148" fillId="0" borderId="0" xfId="0" applyFont="1" applyAlignment="1">
      <alignment horizontal="center" vertical="center" wrapText="1"/>
    </xf>
    <xf numFmtId="0" fontId="93" fillId="10" borderId="0" xfId="0" applyFont="1" applyFill="1" applyAlignment="1">
      <alignment horizontal="center" vertical="center" wrapText="1"/>
    </xf>
    <xf numFmtId="0" fontId="93" fillId="32" borderId="0" xfId="0" applyFont="1" applyFill="1" applyAlignment="1">
      <alignment horizontal="center" vertical="center" wrapText="1"/>
    </xf>
    <xf numFmtId="0" fontId="110" fillId="10" borderId="7" xfId="0" applyFont="1" applyFill="1" applyBorder="1" applyAlignment="1">
      <alignment horizontal="center" vertical="center"/>
    </xf>
    <xf numFmtId="0" fontId="110" fillId="32" borderId="13" xfId="0" applyFont="1" applyFill="1" applyBorder="1" applyAlignment="1">
      <alignment horizontal="center" vertical="center"/>
    </xf>
    <xf numFmtId="0" fontId="110" fillId="32" borderId="8" xfId="0" applyFont="1" applyFill="1" applyBorder="1" applyAlignment="1">
      <alignment horizontal="center" vertical="center"/>
    </xf>
    <xf numFmtId="0" fontId="110" fillId="32" borderId="11" xfId="0" applyFont="1" applyFill="1" applyBorder="1" applyAlignment="1">
      <alignment horizontal="center" vertical="center"/>
    </xf>
    <xf numFmtId="0" fontId="110" fillId="32" borderId="14" xfId="0" applyFont="1" applyFill="1" applyBorder="1" applyAlignment="1">
      <alignment horizontal="center" vertical="center"/>
    </xf>
    <xf numFmtId="0" fontId="110" fillId="32" borderId="12" xfId="0" applyFont="1" applyFill="1" applyBorder="1" applyAlignment="1">
      <alignment horizontal="center" vertical="center"/>
    </xf>
    <xf numFmtId="0" fontId="93" fillId="19" borderId="0" xfId="0" applyFont="1" applyFill="1" applyAlignment="1">
      <alignment horizontal="left" vertical="center" wrapText="1"/>
    </xf>
    <xf numFmtId="0" fontId="93" fillId="19" borderId="10" xfId="0" applyFont="1" applyFill="1" applyBorder="1" applyAlignment="1">
      <alignment horizontal="left" vertical="center" wrapText="1"/>
    </xf>
    <xf numFmtId="0" fontId="93" fillId="0" borderId="14" xfId="0" applyFont="1" applyBorder="1" applyAlignment="1">
      <alignment horizontal="left" vertical="center" wrapText="1"/>
    </xf>
    <xf numFmtId="0" fontId="93" fillId="0" borderId="12" xfId="0" applyFont="1" applyBorder="1" applyAlignment="1">
      <alignment horizontal="left" vertical="center" wrapText="1"/>
    </xf>
    <xf numFmtId="0" fontId="136" fillId="2" borderId="13" xfId="0" applyFont="1" applyFill="1" applyBorder="1" applyAlignment="1">
      <alignment horizontal="center" vertical="center" wrapText="1"/>
    </xf>
    <xf numFmtId="0" fontId="136" fillId="3" borderId="13" xfId="0" applyFont="1" applyFill="1" applyBorder="1" applyAlignment="1">
      <alignment horizontal="center" vertical="center" wrapText="1"/>
    </xf>
    <xf numFmtId="0" fontId="136" fillId="2" borderId="0" xfId="0" applyFont="1" applyFill="1" applyAlignment="1">
      <alignment horizontal="center" vertical="center"/>
    </xf>
    <xf numFmtId="0" fontId="136" fillId="3" borderId="0" xfId="0" applyFont="1" applyFill="1" applyAlignment="1">
      <alignment horizontal="center" vertical="center"/>
    </xf>
    <xf numFmtId="0" fontId="137" fillId="0" borderId="0" xfId="0" applyFont="1" applyAlignment="1">
      <alignment horizontal="center" vertical="center" wrapText="1"/>
    </xf>
    <xf numFmtId="0" fontId="138" fillId="0" borderId="0" xfId="0" applyFont="1" applyAlignment="1">
      <alignment horizontal="center" vertical="center" wrapText="1"/>
    </xf>
    <xf numFmtId="0" fontId="138" fillId="0" borderId="10" xfId="0" applyFont="1" applyBorder="1" applyAlignment="1">
      <alignment horizontal="center" vertical="center" wrapText="1"/>
    </xf>
    <xf numFmtId="0" fontId="119" fillId="90" borderId="155" xfId="5" applyFill="1" applyBorder="1" applyAlignment="1">
      <alignment horizontal="center" vertical="center" wrapText="1"/>
      <protection locked="0"/>
    </xf>
    <xf numFmtId="0" fontId="119" fillId="90" borderId="164" xfId="5" applyFill="1" applyBorder="1" applyAlignment="1">
      <alignment horizontal="center" vertical="center" wrapText="1"/>
      <protection locked="0"/>
    </xf>
    <xf numFmtId="0" fontId="92" fillId="92" borderId="148" xfId="0" applyFont="1" applyFill="1" applyBorder="1" applyAlignment="1">
      <alignment horizontal="center" vertical="center" wrapText="1"/>
    </xf>
    <xf numFmtId="0" fontId="92" fillId="92" borderId="70" xfId="0" applyFont="1" applyFill="1" applyBorder="1" applyAlignment="1">
      <alignment horizontal="center" vertical="center" wrapText="1"/>
    </xf>
    <xf numFmtId="0" fontId="117" fillId="35" borderId="0" xfId="0" applyFont="1" applyFill="1" applyAlignment="1">
      <alignment horizontal="left" vertical="center"/>
    </xf>
    <xf numFmtId="0" fontId="92" fillId="0" borderId="0" xfId="0" applyFont="1" applyAlignment="1">
      <alignment horizontal="left" vertical="center" wrapText="1"/>
    </xf>
    <xf numFmtId="0" fontId="92" fillId="10" borderId="0" xfId="0" applyFont="1" applyFill="1" applyAlignment="1">
      <alignment horizontal="left" vertical="center" wrapText="1"/>
    </xf>
    <xf numFmtId="0" fontId="92" fillId="32" borderId="0" xfId="0" applyFont="1" applyFill="1" applyAlignment="1">
      <alignment horizontal="left" vertical="center" wrapText="1"/>
    </xf>
    <xf numFmtId="0" fontId="48" fillId="90" borderId="7" xfId="5" applyFont="1" applyFill="1" applyBorder="1" applyAlignment="1">
      <alignment horizontal="center" vertical="center" wrapText="1"/>
      <protection locked="0"/>
    </xf>
    <xf numFmtId="0" fontId="48" fillId="90" borderId="13" xfId="5" applyFont="1" applyFill="1" applyBorder="1" applyAlignment="1">
      <alignment horizontal="center" vertical="center" wrapText="1"/>
      <protection locked="0"/>
    </xf>
    <xf numFmtId="0" fontId="48" fillId="90" borderId="8" xfId="5" applyFont="1" applyFill="1" applyBorder="1" applyAlignment="1">
      <alignment horizontal="center" vertical="center" wrapText="1"/>
      <protection locked="0"/>
    </xf>
    <xf numFmtId="0" fontId="67" fillId="91" borderId="7" xfId="0" applyFont="1" applyFill="1" applyBorder="1" applyAlignment="1">
      <alignment horizontal="center" vertical="center" wrapText="1"/>
    </xf>
    <xf numFmtId="0" fontId="67" fillId="91" borderId="13" xfId="0" applyFont="1" applyFill="1" applyBorder="1" applyAlignment="1">
      <alignment horizontal="center" vertical="center" wrapText="1"/>
    </xf>
    <xf numFmtId="0" fontId="67" fillId="91" borderId="8" xfId="0" applyFont="1" applyFill="1" applyBorder="1" applyAlignment="1">
      <alignment horizontal="center" vertical="center" wrapText="1"/>
    </xf>
    <xf numFmtId="0" fontId="31" fillId="0" borderId="11" xfId="0" applyFont="1" applyBorder="1" applyAlignment="1">
      <alignment horizontal="center" vertical="center" wrapText="1"/>
    </xf>
    <xf numFmtId="0" fontId="31" fillId="0" borderId="14" xfId="0" applyFont="1" applyBorder="1" applyAlignment="1">
      <alignment horizontal="center" vertical="center" wrapText="1"/>
    </xf>
    <xf numFmtId="0" fontId="31" fillId="0" borderId="12" xfId="0" applyFont="1" applyBorder="1" applyAlignment="1">
      <alignment horizontal="center" vertical="center" wrapText="1"/>
    </xf>
    <xf numFmtId="0" fontId="92" fillId="10" borderId="14" xfId="0" applyFont="1" applyFill="1" applyBorder="1" applyAlignment="1">
      <alignment horizontal="left" vertical="center" wrapText="1"/>
    </xf>
    <xf numFmtId="0" fontId="92" fillId="32" borderId="14" xfId="0" applyFont="1" applyFill="1" applyBorder="1" applyAlignment="1">
      <alignment horizontal="left" vertical="center" wrapText="1"/>
    </xf>
    <xf numFmtId="0" fontId="92" fillId="0" borderId="13" xfId="0" applyFont="1" applyBorder="1" applyAlignment="1">
      <alignment horizontal="left" vertical="center"/>
    </xf>
    <xf numFmtId="0" fontId="92" fillId="10" borderId="0" xfId="0" applyFont="1" applyFill="1" applyAlignment="1">
      <alignment horizontal="left" vertical="center"/>
    </xf>
    <xf numFmtId="0" fontId="92" fillId="93" borderId="0" xfId="0" applyFont="1" applyFill="1" applyAlignment="1">
      <alignment horizontal="left" vertical="center"/>
    </xf>
    <xf numFmtId="0" fontId="92" fillId="0" borderId="0" xfId="0" applyFont="1" applyAlignment="1">
      <alignment horizontal="left" vertical="center"/>
    </xf>
    <xf numFmtId="0" fontId="141" fillId="0" borderId="0" xfId="0" applyFont="1" applyAlignment="1">
      <alignment horizontal="center" vertical="center" wrapText="1"/>
    </xf>
    <xf numFmtId="0" fontId="84" fillId="90" borderId="144" xfId="0" applyFont="1" applyFill="1" applyBorder="1" applyAlignment="1">
      <alignment horizontal="center" vertical="center" wrapText="1"/>
    </xf>
    <xf numFmtId="0" fontId="87" fillId="90" borderId="145" xfId="0" applyFont="1" applyFill="1" applyBorder="1" applyAlignment="1">
      <alignment horizontal="center" vertical="center" wrapText="1"/>
    </xf>
    <xf numFmtId="0" fontId="92" fillId="0" borderId="14" xfId="0" applyFont="1" applyBorder="1" applyAlignment="1">
      <alignment horizontal="left" vertical="center"/>
    </xf>
    <xf numFmtId="0" fontId="85" fillId="0" borderId="146" xfId="0" applyFont="1" applyBorder="1" applyAlignment="1">
      <alignment horizontal="center" vertical="center" wrapText="1"/>
    </xf>
    <xf numFmtId="0" fontId="85" fillId="0" borderId="97" xfId="0" applyFont="1" applyBorder="1" applyAlignment="1">
      <alignment horizontal="center" vertical="center" wrapText="1"/>
    </xf>
    <xf numFmtId="0" fontId="92" fillId="10" borderId="13" xfId="0" applyFont="1" applyFill="1" applyBorder="1" applyAlignment="1">
      <alignment horizontal="left" vertical="center"/>
    </xf>
    <xf numFmtId="0" fontId="92" fillId="93" borderId="13" xfId="0" applyFont="1" applyFill="1" applyBorder="1" applyAlignment="1">
      <alignment horizontal="left" vertical="center"/>
    </xf>
    <xf numFmtId="0" fontId="85" fillId="92" borderId="146" xfId="0" applyFont="1" applyFill="1" applyBorder="1" applyAlignment="1">
      <alignment horizontal="center" vertical="center" wrapText="1"/>
    </xf>
    <xf numFmtId="0" fontId="85" fillId="19" borderId="97" xfId="0" applyFont="1" applyFill="1" applyBorder="1" applyAlignment="1">
      <alignment horizontal="center" vertical="center" wrapText="1"/>
    </xf>
    <xf numFmtId="0" fontId="85" fillId="92" borderId="185" xfId="0" applyFont="1" applyFill="1" applyBorder="1" applyAlignment="1">
      <alignment horizontal="center" vertical="center" wrapText="1"/>
    </xf>
    <xf numFmtId="0" fontId="85" fillId="19" borderId="186" xfId="0" applyFont="1" applyFill="1" applyBorder="1" applyAlignment="1">
      <alignment horizontal="center" vertical="center" wrapText="1"/>
    </xf>
    <xf numFmtId="0" fontId="92" fillId="10" borderId="14" xfId="0" applyFont="1" applyFill="1" applyBorder="1" applyAlignment="1">
      <alignment horizontal="left" vertical="center"/>
    </xf>
    <xf numFmtId="0" fontId="92" fillId="93" borderId="14" xfId="0" applyFont="1" applyFill="1" applyBorder="1" applyAlignment="1">
      <alignment horizontal="left" vertical="center"/>
    </xf>
    <xf numFmtId="49" fontId="92" fillId="0" borderId="13" xfId="0" applyNumberFormat="1" applyFont="1" applyBorder="1" applyAlignment="1">
      <alignment horizontal="left" vertical="center"/>
    </xf>
    <xf numFmtId="49" fontId="92" fillId="10" borderId="0" xfId="0" applyNumberFormat="1" applyFont="1" applyFill="1" applyAlignment="1">
      <alignment horizontal="left" vertical="center"/>
    </xf>
    <xf numFmtId="49" fontId="92" fillId="93" borderId="0" xfId="0" applyNumberFormat="1" applyFont="1" applyFill="1" applyAlignment="1">
      <alignment horizontal="left" vertical="center"/>
    </xf>
    <xf numFmtId="49" fontId="92" fillId="0" borderId="0" xfId="0" applyNumberFormat="1" applyFont="1" applyAlignment="1">
      <alignment horizontal="left" vertical="center"/>
    </xf>
    <xf numFmtId="49" fontId="92" fillId="10" borderId="14" xfId="0" applyNumberFormat="1" applyFont="1" applyFill="1" applyBorder="1" applyAlignment="1">
      <alignment horizontal="left" vertical="center"/>
    </xf>
    <xf numFmtId="49" fontId="92" fillId="93" borderId="14" xfId="0" applyNumberFormat="1" applyFont="1" applyFill="1" applyBorder="1" applyAlignment="1">
      <alignment horizontal="left" vertical="center"/>
    </xf>
    <xf numFmtId="49" fontId="117" fillId="0" borderId="0" xfId="0" applyNumberFormat="1" applyFont="1" applyAlignment="1">
      <alignment horizontal="left" vertical="center"/>
    </xf>
    <xf numFmtId="0" fontId="117" fillId="0" borderId="0" xfId="0" applyFont="1" applyAlignment="1">
      <alignment horizontal="left" vertical="center"/>
    </xf>
    <xf numFmtId="0" fontId="137" fillId="0" borderId="9" xfId="0" applyFont="1" applyBorder="1" applyAlignment="1">
      <alignment horizontal="center" vertical="center" wrapText="1" readingOrder="1"/>
    </xf>
    <xf numFmtId="0" fontId="138" fillId="0" borderId="9" xfId="0" applyFont="1" applyBorder="1" applyAlignment="1">
      <alignment horizontal="center" vertical="center" wrapText="1" readingOrder="1"/>
    </xf>
    <xf numFmtId="0" fontId="28" fillId="0" borderId="0" xfId="0" applyFont="1" applyAlignment="1">
      <alignment horizontal="center" vertical="center" wrapText="1"/>
    </xf>
    <xf numFmtId="0" fontId="28" fillId="0" borderId="0" xfId="0" applyFont="1" applyAlignment="1">
      <alignment horizontal="left" vertical="center" wrapText="1" indent="1"/>
    </xf>
    <xf numFmtId="0" fontId="87" fillId="0" borderId="0" xfId="0" applyFont="1" applyAlignment="1">
      <alignment horizontal="left" vertical="center" wrapText="1"/>
    </xf>
    <xf numFmtId="0" fontId="140" fillId="0" borderId="0" xfId="0" applyFont="1" applyAlignment="1">
      <alignment horizontal="center" vertical="center" wrapText="1"/>
    </xf>
    <xf numFmtId="0" fontId="117" fillId="0" borderId="0" xfId="0" applyFont="1" applyAlignment="1">
      <alignment horizontal="left" vertical="center" wrapText="1"/>
    </xf>
    <xf numFmtId="0" fontId="135" fillId="0" borderId="0" xfId="0" applyFont="1" applyAlignment="1">
      <alignment horizontal="center" vertical="center"/>
    </xf>
    <xf numFmtId="0" fontId="119" fillId="0" borderId="0" xfId="5" applyFill="1" applyAlignment="1">
      <alignment horizontal="center" vertical="center" wrapText="1"/>
      <protection locked="0"/>
    </xf>
    <xf numFmtId="0" fontId="49" fillId="2" borderId="0" xfId="0" applyFont="1" applyFill="1" applyAlignment="1">
      <alignment horizontal="center" vertical="center"/>
    </xf>
    <xf numFmtId="0" fontId="17" fillId="0" borderId="151" xfId="0" applyFont="1" applyBorder="1" applyAlignment="1">
      <alignment horizontal="center" vertical="center"/>
    </xf>
    <xf numFmtId="0" fontId="17" fillId="0" borderId="153" xfId="0" applyFont="1" applyBorder="1" applyAlignment="1">
      <alignment horizontal="center" vertical="center"/>
    </xf>
    <xf numFmtId="0" fontId="17" fillId="0" borderId="7" xfId="0" applyFont="1" applyBorder="1" applyAlignment="1">
      <alignment horizontal="center" vertical="center"/>
    </xf>
    <xf numFmtId="0" fontId="17" fillId="0" borderId="13" xfId="0" applyFont="1" applyBorder="1" applyAlignment="1">
      <alignment horizontal="center" vertical="center"/>
    </xf>
    <xf numFmtId="0" fontId="17" fillId="0" borderId="8" xfId="0" applyFont="1" applyBorder="1" applyAlignment="1">
      <alignment horizontal="center" vertical="center"/>
    </xf>
    <xf numFmtId="0" fontId="49" fillId="2" borderId="150" xfId="0" applyFont="1" applyFill="1" applyBorder="1" applyAlignment="1">
      <alignment horizontal="center" vertical="center"/>
    </xf>
    <xf numFmtId="0" fontId="17" fillId="52" borderId="151" xfId="0" applyFont="1" applyFill="1" applyBorder="1" applyAlignment="1">
      <alignment horizontal="center" vertical="center"/>
    </xf>
    <xf numFmtId="0" fontId="17" fillId="52" borderId="153" xfId="0" applyFont="1" applyFill="1" applyBorder="1" applyAlignment="1">
      <alignment horizontal="center" vertical="center"/>
    </xf>
    <xf numFmtId="0" fontId="17" fillId="9" borderId="13" xfId="0" applyFont="1" applyFill="1" applyBorder="1" applyAlignment="1">
      <alignment horizontal="center" vertical="center"/>
    </xf>
    <xf numFmtId="0" fontId="17" fillId="6" borderId="13" xfId="0" applyFont="1" applyFill="1" applyBorder="1" applyAlignment="1">
      <alignment horizontal="center" vertical="center"/>
    </xf>
    <xf numFmtId="0" fontId="17" fillId="6" borderId="8" xfId="0" applyFont="1" applyFill="1" applyBorder="1" applyAlignment="1">
      <alignment horizontal="center" vertical="center"/>
    </xf>
    <xf numFmtId="0" fontId="17" fillId="52" borderId="170" xfId="0" applyFont="1" applyFill="1" applyBorder="1">
      <alignment vertical="center"/>
    </xf>
    <xf numFmtId="0" fontId="17" fillId="0" borderId="0" xfId="0" applyFont="1" applyAlignment="1">
      <alignment horizontal="center" vertical="center" wrapText="1"/>
    </xf>
    <xf numFmtId="0" fontId="17" fillId="0" borderId="0" xfId="0" applyFont="1" applyAlignment="1">
      <alignment vertical="center" wrapText="1"/>
    </xf>
    <xf numFmtId="0" fontId="116" fillId="78" borderId="0" xfId="4" applyFont="1" applyFill="1" applyAlignment="1">
      <alignment horizontal="center" vertical="center"/>
      <protection locked="0"/>
    </xf>
    <xf numFmtId="0" fontId="76" fillId="56" borderId="0" xfId="4" applyFont="1" applyFill="1" applyAlignment="1">
      <alignment horizontal="center" vertical="center"/>
      <protection locked="0"/>
    </xf>
    <xf numFmtId="0" fontId="17" fillId="10" borderId="150" xfId="0" applyFont="1" applyFill="1" applyBorder="1" applyAlignment="1">
      <alignment horizontal="center" vertical="center"/>
    </xf>
    <xf numFmtId="0" fontId="12" fillId="52" borderId="151" xfId="0" applyFont="1" applyFill="1" applyBorder="1" applyAlignment="1">
      <alignment horizontal="center" vertical="center"/>
    </xf>
    <xf numFmtId="0" fontId="12" fillId="52" borderId="153" xfId="0" applyFont="1" applyFill="1" applyBorder="1" applyAlignment="1">
      <alignment horizontal="center" vertical="center"/>
    </xf>
    <xf numFmtId="0" fontId="49" fillId="76" borderId="159" xfId="0" applyFont="1" applyFill="1" applyBorder="1" applyAlignment="1">
      <alignment horizontal="center" vertical="center"/>
    </xf>
    <xf numFmtId="0" fontId="114" fillId="2" borderId="160" xfId="0" applyFont="1" applyFill="1" applyBorder="1" applyAlignment="1">
      <alignment horizontal="center" vertical="center"/>
    </xf>
    <xf numFmtId="0" fontId="114" fillId="76" borderId="161" xfId="0" applyFont="1" applyFill="1" applyBorder="1" applyAlignment="1">
      <alignment horizontal="center" vertical="center"/>
    </xf>
    <xf numFmtId="0" fontId="49" fillId="2" borderId="160" xfId="0" applyFont="1" applyFill="1" applyBorder="1" applyAlignment="1">
      <alignment horizontal="center" vertical="center"/>
    </xf>
    <xf numFmtId="0" fontId="49" fillId="76" borderId="162" xfId="0" applyFont="1" applyFill="1" applyBorder="1" applyAlignment="1">
      <alignment horizontal="center" vertical="center"/>
    </xf>
    <xf numFmtId="49" fontId="121" fillId="2" borderId="13" xfId="4" applyNumberFormat="1" applyFont="1" applyFill="1" applyBorder="1" applyAlignment="1">
      <alignment horizontal="center" vertical="top" wrapText="1"/>
      <protection locked="0"/>
    </xf>
    <xf numFmtId="49" fontId="122" fillId="80" borderId="13" xfId="4" applyNumberFormat="1" applyFont="1" applyFill="1" applyBorder="1" applyAlignment="1">
      <alignment horizontal="center" vertical="top" wrapText="1"/>
      <protection locked="0"/>
    </xf>
    <xf numFmtId="49" fontId="122" fillId="80" borderId="8" xfId="4" applyNumberFormat="1" applyFont="1" applyFill="1" applyBorder="1" applyAlignment="1">
      <alignment horizontal="center" vertical="top" wrapText="1"/>
      <protection locked="0"/>
    </xf>
    <xf numFmtId="49" fontId="92" fillId="0" borderId="0" xfId="4" applyNumberFormat="1" applyFont="1" applyAlignment="1">
      <alignment horizontal="left" vertical="center" wrapText="1"/>
      <protection locked="0"/>
    </xf>
    <xf numFmtId="49" fontId="92" fillId="0" borderId="10" xfId="4" applyNumberFormat="1" applyFont="1" applyBorder="1" applyAlignment="1">
      <alignment horizontal="left" vertical="center" wrapText="1"/>
      <protection locked="0"/>
    </xf>
    <xf numFmtId="0" fontId="67" fillId="0" borderId="0" xfId="0" applyFont="1" applyAlignment="1">
      <alignment vertical="center" wrapText="1"/>
    </xf>
    <xf numFmtId="0" fontId="67" fillId="0" borderId="10" xfId="0" applyFont="1" applyBorder="1" applyAlignment="1">
      <alignment vertical="center" wrapText="1"/>
    </xf>
    <xf numFmtId="0" fontId="17" fillId="9" borderId="7" xfId="0" applyFont="1" applyFill="1" applyBorder="1" applyAlignment="1">
      <alignment horizontal="center" vertical="center"/>
    </xf>
    <xf numFmtId="0" fontId="17" fillId="82" borderId="13" xfId="0" applyFont="1" applyFill="1" applyBorder="1" applyAlignment="1">
      <alignment horizontal="center" vertical="center"/>
    </xf>
    <xf numFmtId="0" fontId="17" fillId="82" borderId="8" xfId="0" applyFont="1" applyFill="1" applyBorder="1" applyAlignment="1">
      <alignment horizontal="center" vertical="center"/>
    </xf>
    <xf numFmtId="0" fontId="49" fillId="58" borderId="13" xfId="0" applyFont="1" applyFill="1" applyBorder="1" applyAlignment="1">
      <alignment horizontal="center" vertical="center"/>
    </xf>
    <xf numFmtId="0" fontId="49" fillId="58" borderId="8" xfId="0" applyFont="1" applyFill="1" applyBorder="1" applyAlignment="1">
      <alignment horizontal="center" vertical="center"/>
    </xf>
    <xf numFmtId="0" fontId="17" fillId="0" borderId="75" xfId="0" applyFont="1" applyBorder="1" applyAlignment="1">
      <alignment horizontal="center" vertical="center" wrapText="1"/>
    </xf>
    <xf numFmtId="0" fontId="17" fillId="0" borderId="7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49" xfId="0" applyFont="1" applyBorder="1" applyAlignment="1">
      <alignment horizontal="center" vertical="center" wrapText="1"/>
    </xf>
    <xf numFmtId="0" fontId="17" fillId="0" borderId="39" xfId="0" applyFont="1" applyBorder="1" applyAlignment="1">
      <alignment horizontal="center" vertical="center" wrapText="1"/>
    </xf>
    <xf numFmtId="0" fontId="12" fillId="5" borderId="179" xfId="0" applyFont="1" applyFill="1" applyBorder="1" applyAlignment="1">
      <alignment horizontal="center" vertical="center"/>
    </xf>
    <xf numFmtId="0" fontId="17" fillId="59" borderId="81" xfId="0" applyFont="1" applyFill="1" applyBorder="1" applyAlignment="1">
      <alignment horizontal="center" vertical="center"/>
    </xf>
    <xf numFmtId="0" fontId="17" fillId="10" borderId="180" xfId="0" applyFont="1" applyFill="1" applyBorder="1" applyAlignment="1">
      <alignment horizontal="center" vertical="center"/>
    </xf>
    <xf numFmtId="0" fontId="17" fillId="81" borderId="84" xfId="0" applyFont="1" applyFill="1" applyBorder="1" applyAlignment="1">
      <alignment horizontal="center" vertical="center"/>
    </xf>
    <xf numFmtId="0" fontId="17" fillId="59" borderId="0" xfId="0" applyFont="1" applyFill="1" applyAlignment="1">
      <alignment horizontal="center" vertical="center"/>
    </xf>
    <xf numFmtId="0" fontId="17" fillId="81" borderId="0" xfId="0" applyFont="1" applyFill="1" applyAlignment="1">
      <alignment horizontal="center" vertical="center"/>
    </xf>
    <xf numFmtId="0" fontId="12" fillId="5" borderId="82" xfId="0" applyFont="1" applyFill="1" applyBorder="1" applyAlignment="1">
      <alignment horizontal="center" vertical="center"/>
    </xf>
    <xf numFmtId="0" fontId="17" fillId="59" borderId="83" xfId="0" applyFont="1" applyFill="1" applyBorder="1" applyAlignment="1">
      <alignment horizontal="center" vertical="center"/>
    </xf>
    <xf numFmtId="0" fontId="17" fillId="10" borderId="82" xfId="0" applyFont="1" applyFill="1" applyBorder="1" applyAlignment="1">
      <alignment horizontal="center" vertical="center"/>
    </xf>
    <xf numFmtId="0" fontId="17" fillId="81" borderId="83" xfId="0" applyFont="1" applyFill="1" applyBorder="1" applyAlignment="1">
      <alignment horizontal="center" vertical="center"/>
    </xf>
    <xf numFmtId="0" fontId="12" fillId="5" borderId="146" xfId="0" applyFont="1" applyFill="1" applyBorder="1" applyAlignment="1">
      <alignment horizontal="center" vertical="center"/>
    </xf>
    <xf numFmtId="0" fontId="17" fillId="59" borderId="181" xfId="0" applyFont="1" applyFill="1" applyBorder="1" applyAlignment="1">
      <alignment horizontal="center" vertical="center"/>
    </xf>
    <xf numFmtId="0" fontId="17" fillId="81" borderId="182" xfId="0" applyFont="1" applyFill="1" applyBorder="1" applyAlignment="1">
      <alignment horizontal="center" vertical="center"/>
    </xf>
    <xf numFmtId="49" fontId="92" fillId="0" borderId="14" xfId="4" applyNumberFormat="1" applyFont="1" applyBorder="1" applyAlignment="1">
      <alignment horizontal="left" vertical="center" wrapText="1"/>
      <protection locked="0"/>
    </xf>
    <xf numFmtId="49" fontId="92" fillId="0" borderId="12" xfId="4" applyNumberFormat="1" applyFont="1" applyBorder="1" applyAlignment="1">
      <alignment horizontal="left" vertical="center" wrapText="1"/>
      <protection locked="0"/>
    </xf>
    <xf numFmtId="0" fontId="67" fillId="0" borderId="14" xfId="0" applyFont="1" applyBorder="1" applyAlignment="1">
      <alignment vertical="center" wrapText="1"/>
    </xf>
    <xf numFmtId="0" fontId="67" fillId="0" borderId="12" xfId="0" applyFont="1" applyBorder="1" applyAlignment="1">
      <alignment vertical="center" wrapText="1"/>
    </xf>
    <xf numFmtId="0" fontId="4" fillId="2" borderId="149" xfId="0" applyFont="1" applyFill="1" applyBorder="1" applyAlignment="1">
      <alignment horizontal="center" vertical="center"/>
    </xf>
    <xf numFmtId="0" fontId="4" fillId="58" borderId="13" xfId="0" applyFont="1" applyFill="1" applyBorder="1" applyAlignment="1">
      <alignment horizontal="center" vertical="center"/>
    </xf>
    <xf numFmtId="0" fontId="17" fillId="0" borderId="13"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2" xfId="0" applyFont="1" applyBorder="1" applyAlignment="1">
      <alignment horizontal="center" vertical="center" wrapText="1"/>
    </xf>
    <xf numFmtId="0" fontId="115" fillId="0" borderId="80" xfId="0" applyFont="1" applyBorder="1" applyAlignment="1">
      <alignment horizontal="center" vertical="center" wrapText="1"/>
    </xf>
    <xf numFmtId="0" fontId="115" fillId="0" borderId="81" xfId="0" applyFont="1" applyBorder="1" applyAlignment="1">
      <alignment horizontal="center" vertical="center" wrapText="1"/>
    </xf>
    <xf numFmtId="0" fontId="115" fillId="0" borderId="163" xfId="0" applyFont="1" applyBorder="1" applyAlignment="1">
      <alignment horizontal="center" vertical="center" wrapText="1"/>
    </xf>
    <xf numFmtId="0" fontId="115" fillId="0" borderId="9" xfId="0" applyFont="1" applyBorder="1" applyAlignment="1">
      <alignment horizontal="center" vertical="center" wrapText="1"/>
    </xf>
    <xf numFmtId="0" fontId="115" fillId="0" borderId="0" xfId="0" applyFont="1" applyAlignment="1">
      <alignment horizontal="center" vertical="center" wrapText="1"/>
    </xf>
    <xf numFmtId="0" fontId="115" fillId="0" borderId="90" xfId="0" applyFont="1" applyBorder="1" applyAlignment="1">
      <alignment horizontal="center" vertical="center" wrapText="1"/>
    </xf>
    <xf numFmtId="0" fontId="115" fillId="0" borderId="11" xfId="0" applyFont="1" applyBorder="1" applyAlignment="1">
      <alignment horizontal="center" vertical="center" wrapText="1"/>
    </xf>
    <xf numFmtId="0" fontId="115" fillId="0" borderId="14" xfId="0" applyFont="1" applyBorder="1" applyAlignment="1">
      <alignment horizontal="center" vertical="center" wrapText="1"/>
    </xf>
    <xf numFmtId="0" fontId="115" fillId="0" borderId="96" xfId="0" applyFont="1" applyBorder="1" applyAlignment="1">
      <alignment horizontal="center" vertical="center" wrapText="1"/>
    </xf>
    <xf numFmtId="167" fontId="23" fillId="0" borderId="84" xfId="0" applyNumberFormat="1" applyFont="1" applyBorder="1" applyAlignment="1">
      <alignment horizontal="center" vertical="center"/>
    </xf>
    <xf numFmtId="167" fontId="23" fillId="0" borderId="92" xfId="0" applyNumberFormat="1" applyFont="1" applyBorder="1" applyAlignment="1">
      <alignment horizontal="center" vertical="center"/>
    </xf>
    <xf numFmtId="167" fontId="23" fillId="0" borderId="78" xfId="0" applyNumberFormat="1" applyFont="1" applyBorder="1" applyAlignment="1">
      <alignment horizontal="center" vertical="center"/>
    </xf>
    <xf numFmtId="167" fontId="23" fillId="0" borderId="10" xfId="0" applyNumberFormat="1" applyFont="1" applyBorder="1" applyAlignment="1">
      <alignment horizontal="center" vertical="center"/>
    </xf>
    <xf numFmtId="167" fontId="23" fillId="0" borderId="98" xfId="0" applyNumberFormat="1" applyFont="1" applyBorder="1" applyAlignment="1">
      <alignment horizontal="center" vertical="center"/>
    </xf>
    <xf numFmtId="167" fontId="23" fillId="0" borderId="12" xfId="0" applyNumberFormat="1" applyFont="1" applyBorder="1" applyAlignment="1">
      <alignment horizontal="center" vertical="center"/>
    </xf>
    <xf numFmtId="0" fontId="17" fillId="10" borderId="183" xfId="0" applyFont="1" applyFill="1" applyBorder="1" applyAlignment="1">
      <alignment horizontal="center" vertical="center"/>
    </xf>
    <xf numFmtId="0" fontId="17" fillId="81" borderId="184" xfId="0" applyFont="1" applyFill="1" applyBorder="1" applyAlignment="1">
      <alignment horizontal="center" vertical="center"/>
    </xf>
    <xf numFmtId="0" fontId="4" fillId="77" borderId="8" xfId="0" applyFont="1" applyFill="1" applyBorder="1" applyAlignment="1">
      <alignment horizontal="center" vertical="center"/>
    </xf>
    <xf numFmtId="0" fontId="4" fillId="58" borderId="8" xfId="0" applyFont="1" applyFill="1" applyBorder="1" applyAlignment="1">
      <alignment horizontal="center" vertical="center"/>
    </xf>
    <xf numFmtId="0" fontId="17" fillId="77" borderId="13" xfId="0" applyFont="1" applyFill="1" applyBorder="1" applyAlignment="1">
      <alignment horizontal="center" vertical="center"/>
    </xf>
    <xf numFmtId="0" fontId="17" fillId="77" borderId="8" xfId="0" applyFont="1" applyFill="1" applyBorder="1" applyAlignment="1">
      <alignment horizontal="center" vertical="center"/>
    </xf>
    <xf numFmtId="0" fontId="98" fillId="2" borderId="144" xfId="0" applyFont="1" applyFill="1" applyBorder="1" applyAlignment="1">
      <alignment horizontal="center" vertical="center"/>
    </xf>
    <xf numFmtId="0" fontId="98" fillId="77" borderId="145" xfId="0" applyFont="1" applyFill="1" applyBorder="1" applyAlignment="1">
      <alignment horizontal="center" vertical="center"/>
    </xf>
    <xf numFmtId="0" fontId="98" fillId="77" borderId="147" xfId="0" applyFont="1" applyFill="1" applyBorder="1" applyAlignment="1">
      <alignment horizontal="center" vertical="center"/>
    </xf>
    <xf numFmtId="0" fontId="4" fillId="77" borderId="13" xfId="0" applyFont="1" applyFill="1" applyBorder="1" applyAlignment="1">
      <alignment horizontal="center" vertical="center"/>
    </xf>
    <xf numFmtId="0" fontId="3" fillId="9" borderId="146" xfId="0" applyFont="1" applyFill="1" applyBorder="1" applyAlignment="1">
      <alignment horizontal="center" vertical="center"/>
    </xf>
    <xf numFmtId="0" fontId="3" fillId="59" borderId="97" xfId="0" applyFont="1" applyFill="1" applyBorder="1" applyAlignment="1">
      <alignment horizontal="center" vertical="center"/>
    </xf>
    <xf numFmtId="0" fontId="3" fillId="9" borderId="97" xfId="0" applyFont="1" applyFill="1" applyBorder="1" applyAlignment="1">
      <alignment horizontal="center" vertical="center"/>
    </xf>
    <xf numFmtId="0" fontId="3" fillId="52" borderId="97" xfId="0" applyFont="1" applyFill="1" applyBorder="1" applyAlignment="1">
      <alignment horizontal="center" vertical="center"/>
    </xf>
    <xf numFmtId="0" fontId="3" fillId="52" borderId="24" xfId="0" applyFont="1" applyFill="1" applyBorder="1" applyAlignment="1">
      <alignment horizontal="center" vertical="center"/>
    </xf>
    <xf numFmtId="0" fontId="1" fillId="9" borderId="0" xfId="0" applyFont="1" applyFill="1" applyAlignment="1">
      <alignment horizontal="center" vertical="center"/>
    </xf>
    <xf numFmtId="0" fontId="1" fillId="59" borderId="0" xfId="0" applyFont="1" applyFill="1" applyAlignment="1">
      <alignment horizontal="center" vertical="center"/>
    </xf>
    <xf numFmtId="0" fontId="1" fillId="59" borderId="10" xfId="0" applyFont="1" applyFill="1" applyBorder="1" applyAlignment="1">
      <alignment horizontal="center" vertical="center"/>
    </xf>
    <xf numFmtId="49" fontId="1" fillId="0" borderId="0" xfId="0" applyNumberFormat="1" applyFont="1" applyAlignment="1">
      <alignment horizontal="left" vertical="top" wrapText="1"/>
    </xf>
    <xf numFmtId="49" fontId="1" fillId="0" borderId="10" xfId="0" applyNumberFormat="1" applyFont="1" applyBorder="1" applyAlignment="1">
      <alignment horizontal="left" vertical="top" wrapText="1"/>
    </xf>
    <xf numFmtId="49" fontId="1" fillId="0" borderId="0" xfId="0" applyNumberFormat="1" applyFont="1" applyAlignment="1">
      <alignment horizontal="left" vertical="center" wrapText="1"/>
    </xf>
    <xf numFmtId="49" fontId="1" fillId="0" borderId="10" xfId="0" applyNumberFormat="1" applyFont="1" applyBorder="1" applyAlignment="1">
      <alignment horizontal="left" vertical="center" wrapText="1"/>
    </xf>
    <xf numFmtId="0" fontId="3" fillId="59" borderId="88" xfId="0" applyFont="1" applyFill="1" applyBorder="1" applyAlignment="1">
      <alignment horizontal="center" vertical="center"/>
    </xf>
    <xf numFmtId="0" fontId="3" fillId="9" borderId="89" xfId="0" applyFont="1" applyFill="1" applyBorder="1" applyAlignment="1">
      <alignment horizontal="center" vertical="center"/>
    </xf>
    <xf numFmtId="0" fontId="3" fillId="59" borderId="24" xfId="0" applyFont="1" applyFill="1" applyBorder="1" applyAlignment="1">
      <alignment horizontal="center" vertical="center"/>
    </xf>
    <xf numFmtId="49" fontId="106" fillId="0" borderId="97" xfId="0" applyNumberFormat="1" applyFont="1" applyBorder="1" applyAlignment="1">
      <alignment horizontal="center" vertical="center"/>
    </xf>
    <xf numFmtId="166" fontId="107" fillId="0" borderId="97" xfId="0" applyNumberFormat="1" applyFont="1" applyBorder="1" applyAlignment="1">
      <alignment horizontal="center" vertical="center" wrapText="1"/>
    </xf>
    <xf numFmtId="166" fontId="31" fillId="0" borderId="97" xfId="0" applyNumberFormat="1" applyFont="1" applyBorder="1" applyAlignment="1">
      <alignment horizontal="left" vertical="center" wrapText="1"/>
    </xf>
    <xf numFmtId="166" fontId="31" fillId="0" borderId="81" xfId="0" applyNumberFormat="1" applyFont="1" applyBorder="1" applyAlignment="1">
      <alignment horizontal="left" vertical="center" wrapText="1"/>
    </xf>
    <xf numFmtId="166" fontId="31" fillId="0" borderId="92" xfId="0" applyNumberFormat="1" applyFont="1" applyBorder="1" applyAlignment="1">
      <alignment horizontal="left" vertical="center" wrapText="1"/>
    </xf>
    <xf numFmtId="166" fontId="31" fillId="0" borderId="0" xfId="0" applyNumberFormat="1" applyFont="1" applyAlignment="1">
      <alignment horizontal="left" vertical="center" wrapText="1"/>
    </xf>
    <xf numFmtId="166" fontId="31" fillId="0" borderId="10" xfId="0" applyNumberFormat="1" applyFont="1" applyBorder="1" applyAlignment="1">
      <alignment horizontal="left" vertical="center" wrapText="1"/>
    </xf>
    <xf numFmtId="166" fontId="2" fillId="0" borderId="80" xfId="0" applyNumberFormat="1" applyFont="1" applyBorder="1" applyAlignment="1">
      <alignment horizontal="center" vertical="center" wrapText="1"/>
    </xf>
    <xf numFmtId="166" fontId="2" fillId="0" borderId="81" xfId="0" applyNumberFormat="1" applyFont="1" applyBorder="1" applyAlignment="1">
      <alignment horizontal="center" vertical="center" wrapText="1"/>
    </xf>
    <xf numFmtId="166" fontId="2" fillId="0" borderId="9" xfId="0" applyNumberFormat="1" applyFont="1" applyBorder="1" applyAlignment="1">
      <alignment horizontal="center" vertical="center" wrapText="1"/>
    </xf>
    <xf numFmtId="166" fontId="2" fillId="0" borderId="0" xfId="0" applyNumberFormat="1" applyFont="1" applyAlignment="1">
      <alignment horizontal="center" vertical="center" wrapText="1"/>
    </xf>
    <xf numFmtId="0" fontId="3" fillId="59" borderId="89" xfId="0" applyFont="1" applyFill="1" applyBorder="1" applyAlignment="1">
      <alignment horizontal="center" vertical="center"/>
    </xf>
    <xf numFmtId="166" fontId="67" fillId="0" borderId="146" xfId="0" applyNumberFormat="1" applyFont="1" applyBorder="1" applyAlignment="1">
      <alignment horizontal="left" vertical="center" wrapText="1"/>
    </xf>
    <xf numFmtId="166" fontId="67" fillId="0" borderId="97" xfId="0" applyNumberFormat="1" applyFont="1" applyBorder="1" applyAlignment="1">
      <alignment horizontal="left" vertical="center" wrapText="1"/>
    </xf>
    <xf numFmtId="166" fontId="67" fillId="0" borderId="88" xfId="0" applyNumberFormat="1" applyFont="1" applyBorder="1" applyAlignment="1">
      <alignment horizontal="left" vertical="center" wrapText="1"/>
    </xf>
    <xf numFmtId="166" fontId="67" fillId="0" borderId="97" xfId="0" applyNumberFormat="1" applyFont="1" applyBorder="1" applyAlignment="1">
      <alignment horizontal="left" vertical="top" wrapText="1" indent="1"/>
    </xf>
    <xf numFmtId="166" fontId="67" fillId="0" borderId="89" xfId="0" applyNumberFormat="1" applyFont="1" applyBorder="1" applyAlignment="1">
      <alignment horizontal="left" vertical="top" wrapText="1" indent="1"/>
    </xf>
    <xf numFmtId="166" fontId="67" fillId="0" borderId="24" xfId="0" applyNumberFormat="1" applyFont="1" applyBorder="1" applyAlignment="1">
      <alignment horizontal="left" vertical="top" wrapText="1" inden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10" xfId="0" applyFont="1" applyBorder="1" applyAlignment="1">
      <alignment horizontal="left" vertical="center"/>
    </xf>
    <xf numFmtId="166" fontId="85" fillId="0" borderId="97" xfId="0" applyNumberFormat="1" applyFont="1" applyBorder="1" applyAlignment="1">
      <alignment horizontal="left" vertical="center" wrapText="1" indent="1"/>
    </xf>
    <xf numFmtId="166" fontId="85" fillId="0" borderId="89" xfId="0" applyNumberFormat="1" applyFont="1" applyBorder="1" applyAlignment="1">
      <alignment horizontal="left" vertical="center" wrapText="1" indent="1"/>
    </xf>
    <xf numFmtId="166" fontId="85" fillId="0" borderId="24" xfId="0" applyNumberFormat="1" applyFont="1" applyBorder="1" applyAlignment="1">
      <alignment horizontal="left" vertical="center" wrapText="1" indent="1"/>
    </xf>
    <xf numFmtId="49" fontId="1" fillId="0" borderId="9" xfId="0" applyNumberFormat="1" applyFont="1" applyBorder="1" applyAlignment="1">
      <alignment horizontal="left" vertical="center" wrapText="1"/>
    </xf>
    <xf numFmtId="49" fontId="1" fillId="0" borderId="14" xfId="0" applyNumberFormat="1" applyFont="1" applyBorder="1" applyAlignment="1">
      <alignment horizontal="left" vertical="center" wrapText="1"/>
    </xf>
    <xf numFmtId="49" fontId="1" fillId="0" borderId="12" xfId="0" applyNumberFormat="1" applyFont="1" applyBorder="1" applyAlignment="1">
      <alignment horizontal="left" vertical="center" wrapText="1"/>
    </xf>
    <xf numFmtId="0" fontId="43" fillId="0" borderId="9" xfId="0" applyFont="1" applyBorder="1" applyAlignment="1">
      <alignment horizontal="center" vertical="center"/>
    </xf>
    <xf numFmtId="0" fontId="112" fillId="0" borderId="0" xfId="0" applyFont="1" applyAlignment="1">
      <alignment horizontal="center" vertical="center"/>
    </xf>
    <xf numFmtId="0" fontId="112" fillId="0" borderId="10" xfId="0" applyFont="1" applyBorder="1" applyAlignment="1">
      <alignment horizontal="center" vertical="center"/>
    </xf>
    <xf numFmtId="0" fontId="111" fillId="10" borderId="9" xfId="0" applyFont="1" applyFill="1" applyBorder="1" applyAlignment="1">
      <alignment horizontal="center" vertical="center" wrapText="1"/>
    </xf>
    <xf numFmtId="0" fontId="111" fillId="32" borderId="0" xfId="0" applyFont="1" applyFill="1" applyAlignment="1">
      <alignment horizontal="center" vertical="center" wrapText="1"/>
    </xf>
    <xf numFmtId="0" fontId="111" fillId="32" borderId="10" xfId="0" applyFont="1" applyFill="1" applyBorder="1" applyAlignment="1">
      <alignment horizontal="center" vertical="center" wrapText="1"/>
    </xf>
    <xf numFmtId="0" fontId="111" fillId="32" borderId="9" xfId="0" applyFont="1" applyFill="1" applyBorder="1" applyAlignment="1">
      <alignment horizontal="center" vertical="center" wrapText="1"/>
    </xf>
    <xf numFmtId="166" fontId="85" fillId="0" borderId="80" xfId="0" applyNumberFormat="1" applyFont="1" applyBorder="1" applyAlignment="1">
      <alignment horizontal="left" vertical="top" wrapText="1"/>
    </xf>
    <xf numFmtId="166" fontId="85" fillId="0" borderId="81" xfId="0" applyNumberFormat="1" applyFont="1" applyBorder="1" applyAlignment="1">
      <alignment horizontal="left" vertical="top" wrapText="1"/>
    </xf>
    <xf numFmtId="166" fontId="85" fillId="0" borderId="92" xfId="0" applyNumberFormat="1" applyFont="1" applyBorder="1" applyAlignment="1">
      <alignment horizontal="left" vertical="top" wrapText="1"/>
    </xf>
    <xf numFmtId="166" fontId="85" fillId="0" borderId="9" xfId="0" applyNumberFormat="1" applyFont="1" applyBorder="1" applyAlignment="1">
      <alignment horizontal="left" vertical="top" wrapText="1"/>
    </xf>
    <xf numFmtId="166" fontId="85" fillId="0" borderId="0" xfId="0" applyNumberFormat="1" applyFont="1" applyAlignment="1">
      <alignment horizontal="left" vertical="top" wrapText="1"/>
    </xf>
    <xf numFmtId="166" fontId="85" fillId="0" borderId="10" xfId="0" applyNumberFormat="1" applyFont="1" applyBorder="1" applyAlignment="1">
      <alignment horizontal="left" vertical="top" wrapText="1"/>
    </xf>
    <xf numFmtId="166" fontId="85" fillId="0" borderId="11" xfId="0" applyNumberFormat="1" applyFont="1" applyBorder="1" applyAlignment="1">
      <alignment horizontal="left" vertical="top" wrapText="1"/>
    </xf>
    <xf numFmtId="166" fontId="85" fillId="0" borderId="14" xfId="0" applyNumberFormat="1" applyFont="1" applyBorder="1" applyAlignment="1">
      <alignment horizontal="left" vertical="top" wrapText="1"/>
    </xf>
    <xf numFmtId="166" fontId="85" fillId="0" borderId="12" xfId="0" applyNumberFormat="1" applyFont="1" applyBorder="1" applyAlignment="1">
      <alignment horizontal="left" vertical="top" wrapText="1"/>
    </xf>
    <xf numFmtId="0" fontId="21" fillId="0" borderId="15" xfId="0" applyFont="1" applyBorder="1" applyAlignment="1">
      <alignment horizontal="center" vertical="center" wrapText="1"/>
    </xf>
    <xf numFmtId="0" fontId="21" fillId="0" borderId="46"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0" xfId="0" applyFont="1" applyAlignment="1">
      <alignment horizontal="center" vertical="center" wrapText="1"/>
    </xf>
    <xf numFmtId="0" fontId="21" fillId="0" borderId="57"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4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2" xfId="0" applyFont="1" applyBorder="1" applyAlignment="1">
      <alignment horizontal="center" vertical="center" wrapText="1"/>
    </xf>
    <xf numFmtId="49" fontId="1" fillId="0" borderId="0" xfId="0" applyNumberFormat="1" applyFont="1" applyAlignment="1">
      <alignment horizontal="left" vertical="center"/>
    </xf>
    <xf numFmtId="49" fontId="1" fillId="0" borderId="10" xfId="0" applyNumberFormat="1" applyFont="1" applyBorder="1" applyAlignment="1">
      <alignment horizontal="left" vertical="center"/>
    </xf>
    <xf numFmtId="0" fontId="3" fillId="0" borderId="9" xfId="0" applyFont="1" applyBorder="1" applyAlignment="1">
      <alignment horizontal="center" vertical="top" wrapText="1"/>
    </xf>
    <xf numFmtId="0" fontId="3" fillId="0" borderId="0" xfId="0" applyFont="1" applyAlignment="1">
      <alignment horizontal="center" vertical="top"/>
    </xf>
    <xf numFmtId="0" fontId="3" fillId="0" borderId="47" xfId="0" applyFont="1" applyBorder="1" applyAlignment="1">
      <alignment horizontal="center" vertical="top"/>
    </xf>
    <xf numFmtId="0" fontId="3" fillId="0" borderId="28" xfId="0" applyFont="1" applyBorder="1" applyAlignment="1">
      <alignment horizontal="center" vertical="top"/>
    </xf>
    <xf numFmtId="0" fontId="3" fillId="0" borderId="29" xfId="0" applyFont="1" applyBorder="1" applyAlignment="1">
      <alignment horizontal="center" vertical="top"/>
    </xf>
    <xf numFmtId="0" fontId="3" fillId="0" borderId="50" xfId="0" applyFont="1" applyBorder="1" applyAlignment="1">
      <alignment horizontal="center" vertical="top"/>
    </xf>
    <xf numFmtId="0" fontId="3" fillId="0" borderId="0" xfId="0" applyFont="1" applyAlignment="1">
      <alignment horizontal="center" vertical="top" wrapText="1"/>
    </xf>
    <xf numFmtId="0" fontId="3" fillId="0" borderId="10" xfId="0" applyFont="1" applyBorder="1" applyAlignment="1">
      <alignment horizontal="center" vertical="top"/>
    </xf>
    <xf numFmtId="0" fontId="3" fillId="0" borderId="32" xfId="0" applyFont="1" applyBorder="1" applyAlignment="1">
      <alignment horizontal="center" vertical="top"/>
    </xf>
    <xf numFmtId="0" fontId="3" fillId="0" borderId="12" xfId="0" applyFont="1" applyBorder="1" applyAlignment="1">
      <alignment horizontal="center" vertical="center"/>
    </xf>
    <xf numFmtId="0" fontId="32" fillId="0" borderId="9" xfId="0" applyFont="1" applyBorder="1" applyAlignment="1">
      <alignment horizontal="center" vertical="center" wrapText="1"/>
    </xf>
    <xf numFmtId="0" fontId="32" fillId="0" borderId="0" xfId="0" applyFont="1" applyAlignment="1">
      <alignment horizontal="center" vertical="center" wrapText="1"/>
    </xf>
    <xf numFmtId="0" fontId="32" fillId="0" borderId="10" xfId="0" applyFont="1" applyBorder="1" applyAlignment="1">
      <alignment horizontal="center" vertical="center" wrapText="1"/>
    </xf>
    <xf numFmtId="0" fontId="50" fillId="0" borderId="9" xfId="0" applyFont="1" applyBorder="1" applyAlignment="1">
      <alignment horizontal="center" vertical="center"/>
    </xf>
    <xf numFmtId="0" fontId="50" fillId="0" borderId="0" xfId="0" applyFont="1" applyAlignment="1">
      <alignment horizontal="center" vertical="center"/>
    </xf>
    <xf numFmtId="0" fontId="50" fillId="0" borderId="10" xfId="0"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5" fillId="0" borderId="70" xfId="0" applyFont="1" applyBorder="1" applyAlignment="1">
      <alignment horizontal="center" vertical="center"/>
    </xf>
    <xf numFmtId="0" fontId="110" fillId="32" borderId="9" xfId="0" applyFont="1" applyFill="1" applyBorder="1" applyAlignment="1">
      <alignment horizontal="center" vertical="center"/>
    </xf>
    <xf numFmtId="0" fontId="110" fillId="32" borderId="0" xfId="0" applyFont="1" applyFill="1" applyAlignment="1">
      <alignment horizontal="center" vertical="center"/>
    </xf>
    <xf numFmtId="0" fontId="110" fillId="32" borderId="10" xfId="0" applyFont="1" applyFill="1" applyBorder="1" applyAlignment="1">
      <alignment horizontal="center" vertical="center"/>
    </xf>
    <xf numFmtId="0" fontId="3" fillId="0" borderId="15"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48" xfId="0" applyFont="1" applyBorder="1" applyAlignment="1">
      <alignment horizontal="center" vertical="top" wrapText="1"/>
    </xf>
    <xf numFmtId="0" fontId="3" fillId="0" borderId="49" xfId="0" applyFont="1" applyBorder="1" applyAlignment="1">
      <alignment horizontal="center" vertical="top"/>
    </xf>
    <xf numFmtId="0" fontId="15" fillId="0" borderId="0" xfId="0" applyFont="1" applyAlignment="1">
      <alignment horizontal="center" vertical="center" wrapText="1"/>
    </xf>
    <xf numFmtId="0" fontId="15" fillId="0" borderId="10"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148" xfId="0" applyFont="1" applyBorder="1" applyAlignment="1">
      <alignment horizontal="center" vertical="center" wrapText="1"/>
    </xf>
    <xf numFmtId="0" fontId="15" fillId="0" borderId="148" xfId="0" applyFont="1" applyBorder="1" applyAlignment="1">
      <alignment horizontal="center" vertical="center"/>
    </xf>
    <xf numFmtId="0" fontId="15" fillId="0" borderId="9" xfId="0" applyFont="1" applyBorder="1" applyAlignment="1">
      <alignment horizontal="center" vertical="center" wrapText="1"/>
    </xf>
    <xf numFmtId="0" fontId="15" fillId="0" borderId="11" xfId="0" applyFont="1" applyBorder="1" applyAlignment="1">
      <alignment horizontal="center" vertical="center" wrapText="1"/>
    </xf>
    <xf numFmtId="0" fontId="23" fillId="10" borderId="7" xfId="0" applyFont="1" applyFill="1" applyBorder="1" applyAlignment="1">
      <alignment horizontal="center" vertical="center"/>
    </xf>
    <xf numFmtId="0" fontId="23" fillId="32" borderId="13" xfId="0" applyFont="1" applyFill="1" applyBorder="1" applyAlignment="1">
      <alignment horizontal="center" vertical="center"/>
    </xf>
    <xf numFmtId="0" fontId="23" fillId="32" borderId="8" xfId="0" applyFont="1" applyFill="1" applyBorder="1" applyAlignment="1">
      <alignment horizontal="center" vertical="center"/>
    </xf>
    <xf numFmtId="0" fontId="23" fillId="32" borderId="9" xfId="0" applyFont="1" applyFill="1" applyBorder="1" applyAlignment="1">
      <alignment horizontal="center" vertical="center"/>
    </xf>
    <xf numFmtId="0" fontId="23" fillId="32" borderId="0" xfId="0" applyFont="1" applyFill="1" applyAlignment="1">
      <alignment horizontal="center" vertical="center"/>
    </xf>
    <xf numFmtId="0" fontId="23" fillId="32" borderId="10" xfId="0" applyFont="1" applyFill="1" applyBorder="1" applyAlignment="1">
      <alignment horizontal="center" vertical="center"/>
    </xf>
    <xf numFmtId="0" fontId="23" fillId="32" borderId="11" xfId="0" applyFont="1" applyFill="1" applyBorder="1" applyAlignment="1">
      <alignment horizontal="center" vertical="center"/>
    </xf>
    <xf numFmtId="0" fontId="23" fillId="32" borderId="14" xfId="0" applyFont="1" applyFill="1" applyBorder="1" applyAlignment="1">
      <alignment horizontal="center" vertical="center"/>
    </xf>
    <xf numFmtId="0" fontId="23" fillId="32" borderId="12" xfId="0" applyFont="1" applyFill="1" applyBorder="1" applyAlignment="1">
      <alignment horizontal="center" vertical="center"/>
    </xf>
    <xf numFmtId="0" fontId="24" fillId="10" borderId="7" xfId="0" applyFont="1" applyFill="1" applyBorder="1" applyAlignment="1">
      <alignment horizontal="center" vertical="center"/>
    </xf>
    <xf numFmtId="0" fontId="24" fillId="32" borderId="13" xfId="0" applyFont="1" applyFill="1" applyBorder="1" applyAlignment="1">
      <alignment horizontal="center" vertical="center"/>
    </xf>
    <xf numFmtId="0" fontId="24" fillId="32" borderId="8" xfId="0" applyFont="1" applyFill="1" applyBorder="1" applyAlignment="1">
      <alignment horizontal="center" vertical="center"/>
    </xf>
    <xf numFmtId="0" fontId="24" fillId="32" borderId="9" xfId="0" applyFont="1" applyFill="1" applyBorder="1" applyAlignment="1">
      <alignment horizontal="center" vertical="center"/>
    </xf>
    <xf numFmtId="0" fontId="24" fillId="32" borderId="0" xfId="0" applyFont="1" applyFill="1" applyAlignment="1">
      <alignment horizontal="center" vertical="center"/>
    </xf>
    <xf numFmtId="0" fontId="24" fillId="32" borderId="10" xfId="0" applyFont="1" applyFill="1" applyBorder="1" applyAlignment="1">
      <alignment horizontal="center" vertical="center"/>
    </xf>
    <xf numFmtId="0" fontId="21" fillId="0" borderId="47" xfId="0" applyFont="1" applyBorder="1" applyAlignment="1">
      <alignment horizontal="center" vertical="center" wrapText="1"/>
    </xf>
    <xf numFmtId="0" fontId="24" fillId="10" borderId="9" xfId="0" applyFont="1" applyFill="1" applyBorder="1" applyAlignment="1">
      <alignment horizontal="center" vertical="center"/>
    </xf>
    <xf numFmtId="0" fontId="24" fillId="32" borderId="28" xfId="0" applyFont="1" applyFill="1" applyBorder="1" applyAlignment="1">
      <alignment horizontal="center" vertical="center"/>
    </xf>
    <xf numFmtId="0" fontId="24" fillId="32" borderId="29" xfId="0" applyFont="1" applyFill="1" applyBorder="1" applyAlignment="1">
      <alignment horizontal="center" vertical="center"/>
    </xf>
    <xf numFmtId="0" fontId="24" fillId="32" borderId="32" xfId="0" applyFont="1" applyFill="1" applyBorder="1" applyAlignment="1">
      <alignment horizontal="center" vertical="center"/>
    </xf>
    <xf numFmtId="0" fontId="92" fillId="9" borderId="0" xfId="0" applyFont="1" applyFill="1" applyAlignment="1">
      <alignment horizontal="center" vertical="center"/>
    </xf>
    <xf numFmtId="0" fontId="92" fillId="52" borderId="0" xfId="0" applyFont="1" applyFill="1" applyAlignment="1">
      <alignment horizontal="center" vertical="center"/>
    </xf>
    <xf numFmtId="0" fontId="92" fillId="52" borderId="10" xfId="0" applyFont="1" applyFill="1" applyBorder="1" applyAlignment="1">
      <alignment horizontal="center" vertical="center"/>
    </xf>
    <xf numFmtId="0" fontId="91" fillId="2" borderId="7" xfId="0" applyFont="1" applyFill="1" applyBorder="1" applyAlignment="1">
      <alignment horizontal="center" vertical="center"/>
    </xf>
    <xf numFmtId="0" fontId="91" fillId="61" borderId="13" xfId="0" applyFont="1" applyFill="1" applyBorder="1" applyAlignment="1">
      <alignment horizontal="center" vertical="center"/>
    </xf>
    <xf numFmtId="0" fontId="91" fillId="61" borderId="8" xfId="0" applyFont="1" applyFill="1" applyBorder="1" applyAlignment="1">
      <alignment horizontal="center" vertical="center"/>
    </xf>
    <xf numFmtId="0" fontId="92" fillId="9" borderId="82" xfId="0" applyFont="1" applyFill="1" applyBorder="1" applyAlignment="1">
      <alignment horizontal="center" vertical="center" wrapText="1"/>
    </xf>
    <xf numFmtId="0" fontId="92" fillId="52" borderId="83" xfId="0" applyFont="1" applyFill="1" applyBorder="1" applyAlignment="1">
      <alignment horizontal="center" vertical="center" wrapText="1"/>
    </xf>
    <xf numFmtId="0" fontId="92" fillId="9" borderId="83" xfId="0" applyFont="1" applyFill="1" applyBorder="1" applyAlignment="1">
      <alignment horizontal="center" vertical="center"/>
    </xf>
    <xf numFmtId="0" fontId="92" fillId="52" borderId="83" xfId="0" applyFont="1" applyFill="1" applyBorder="1" applyAlignment="1">
      <alignment horizontal="center" vertical="center"/>
    </xf>
    <xf numFmtId="0" fontId="92" fillId="52" borderId="94" xfId="0" applyFont="1" applyFill="1" applyBorder="1" applyAlignment="1">
      <alignment horizontal="center" vertical="center"/>
    </xf>
    <xf numFmtId="0" fontId="1" fillId="9" borderId="13" xfId="0" applyFont="1" applyFill="1" applyBorder="1" applyAlignment="1">
      <alignment horizontal="center" vertical="center"/>
    </xf>
    <xf numFmtId="0" fontId="1" fillId="75" borderId="13" xfId="0" applyFont="1" applyFill="1" applyBorder="1" applyAlignment="1">
      <alignment horizontal="center" vertical="center"/>
    </xf>
    <xf numFmtId="49" fontId="1" fillId="0" borderId="0" xfId="0" applyNumberFormat="1" applyFont="1" applyAlignment="1">
      <alignment horizontal="center" vertical="center"/>
    </xf>
    <xf numFmtId="0" fontId="100" fillId="10" borderId="9" xfId="0" applyFont="1" applyFill="1" applyBorder="1" applyAlignment="1">
      <alignment horizontal="center" vertical="center"/>
    </xf>
    <xf numFmtId="0" fontId="100" fillId="32" borderId="0" xfId="0" applyFont="1" applyFill="1" applyAlignment="1">
      <alignment horizontal="center" vertical="center"/>
    </xf>
    <xf numFmtId="49" fontId="1" fillId="10" borderId="0" xfId="0" applyNumberFormat="1" applyFont="1" applyFill="1" applyAlignment="1">
      <alignment horizontal="center" vertical="center"/>
    </xf>
    <xf numFmtId="49" fontId="1" fillId="19" borderId="0" xfId="0" applyNumberFormat="1" applyFont="1" applyFill="1" applyAlignment="1">
      <alignment horizontal="center" vertical="center"/>
    </xf>
    <xf numFmtId="0" fontId="100" fillId="0" borderId="9" xfId="0" applyFont="1" applyBorder="1" applyAlignment="1">
      <alignment horizontal="center" vertical="center"/>
    </xf>
    <xf numFmtId="0" fontId="100" fillId="0" borderId="0" xfId="0" applyFont="1" applyAlignment="1">
      <alignment horizontal="center" vertical="center"/>
    </xf>
    <xf numFmtId="49" fontId="1" fillId="5" borderId="0" xfId="0" applyNumberFormat="1" applyFont="1" applyFill="1" applyAlignment="1">
      <alignment horizontal="center" vertical="center"/>
    </xf>
    <xf numFmtId="49" fontId="1" fillId="6" borderId="0" xfId="0" applyNumberFormat="1" applyFont="1" applyFill="1" applyAlignment="1">
      <alignment horizontal="center" vertical="center"/>
    </xf>
    <xf numFmtId="0" fontId="101" fillId="5" borderId="9" xfId="0" applyFont="1" applyFill="1" applyBorder="1" applyAlignment="1">
      <alignment horizontal="center" vertical="center"/>
    </xf>
    <xf numFmtId="0" fontId="101" fillId="6" borderId="0" xfId="0" applyFont="1" applyFill="1" applyAlignment="1">
      <alignment horizontal="center" vertical="center"/>
    </xf>
    <xf numFmtId="0" fontId="90" fillId="0" borderId="1" xfId="0" applyFont="1" applyBorder="1" applyAlignment="1">
      <alignment horizontal="center" vertical="center" wrapText="1"/>
    </xf>
    <xf numFmtId="0" fontId="90" fillId="0" borderId="2" xfId="0" applyFont="1" applyBorder="1" applyAlignment="1">
      <alignment horizontal="center" vertical="center" wrapText="1"/>
    </xf>
    <xf numFmtId="0" fontId="90" fillId="67" borderId="0" xfId="0" applyFont="1" applyFill="1" applyAlignment="1">
      <alignment horizontal="center" vertical="center"/>
    </xf>
    <xf numFmtId="0" fontId="90" fillId="67" borderId="114" xfId="0" applyFont="1" applyFill="1" applyBorder="1" applyAlignment="1">
      <alignment horizontal="center" vertical="center"/>
    </xf>
    <xf numFmtId="0" fontId="90" fillId="70" borderId="0" xfId="0" applyFont="1" applyFill="1" applyAlignment="1">
      <alignment horizontal="center" vertical="center" wrapText="1"/>
    </xf>
    <xf numFmtId="0" fontId="90" fillId="71" borderId="0" xfId="0" applyFont="1" applyFill="1" applyAlignment="1">
      <alignment horizontal="center" vertical="center" wrapText="1"/>
    </xf>
    <xf numFmtId="0" fontId="90" fillId="74" borderId="0" xfId="0" applyFont="1" applyFill="1" applyAlignment="1">
      <alignment horizontal="center" vertical="center" wrapText="1"/>
    </xf>
    <xf numFmtId="0" fontId="90" fillId="62" borderId="0" xfId="0" applyFont="1" applyFill="1" applyAlignment="1">
      <alignment horizontal="center" vertical="center" wrapText="1"/>
    </xf>
    <xf numFmtId="0" fontId="90" fillId="63" borderId="0" xfId="0" applyFont="1" applyFill="1" applyAlignment="1">
      <alignment horizontal="center" vertical="center"/>
    </xf>
    <xf numFmtId="0" fontId="90" fillId="66" borderId="0" xfId="0" applyFont="1" applyFill="1" applyAlignment="1">
      <alignment horizontal="center" vertical="center"/>
    </xf>
    <xf numFmtId="0" fontId="90" fillId="68" borderId="0" xfId="0" applyFont="1" applyFill="1" applyAlignment="1">
      <alignment horizontal="center" vertical="center"/>
    </xf>
    <xf numFmtId="0" fontId="25" fillId="0" borderId="78" xfId="0" applyFont="1" applyBorder="1" applyAlignment="1">
      <alignment horizontal="center"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0" fontId="25" fillId="0" borderId="84" xfId="0" applyFont="1" applyBorder="1" applyAlignment="1">
      <alignment horizontal="center" vertical="center"/>
    </xf>
    <xf numFmtId="0" fontId="25" fillId="0" borderId="81" xfId="0" applyFont="1" applyBorder="1" applyAlignment="1">
      <alignment horizontal="center" vertical="center"/>
    </xf>
    <xf numFmtId="0" fontId="25" fillId="0" borderId="92" xfId="0" applyFont="1" applyBorder="1" applyAlignment="1">
      <alignment horizontal="center" vertical="center"/>
    </xf>
    <xf numFmtId="0" fontId="94"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94" fillId="0" borderId="2" xfId="0" applyFont="1" applyBorder="1" applyAlignment="1">
      <alignment horizontal="center" vertical="center" wrapText="1"/>
    </xf>
    <xf numFmtId="0" fontId="94" fillId="0" borderId="61" xfId="0" applyFont="1" applyBorder="1" applyAlignment="1">
      <alignment horizontal="center" vertical="center" wrapText="1"/>
    </xf>
    <xf numFmtId="0" fontId="94" fillId="0" borderId="3" xfId="0" applyFont="1" applyBorder="1" applyAlignment="1">
      <alignment horizontal="center" vertical="center" wrapText="1"/>
    </xf>
    <xf numFmtId="49" fontId="1" fillId="10" borderId="14" xfId="0" applyNumberFormat="1" applyFont="1" applyFill="1" applyBorder="1" applyAlignment="1">
      <alignment horizontal="center" vertical="center"/>
    </xf>
    <xf numFmtId="49" fontId="1" fillId="19" borderId="14" xfId="0" applyNumberFormat="1" applyFont="1" applyFill="1" applyBorder="1" applyAlignment="1">
      <alignment horizontal="center" vertical="center"/>
    </xf>
    <xf numFmtId="0" fontId="93" fillId="0" borderId="9" xfId="0" applyFont="1" applyBorder="1" applyAlignment="1">
      <alignment horizontal="center" vertical="center"/>
    </xf>
    <xf numFmtId="0" fontId="93" fillId="10" borderId="9" xfId="0" applyFont="1" applyFill="1" applyBorder="1" applyAlignment="1">
      <alignment horizontal="center" vertical="center"/>
    </xf>
    <xf numFmtId="0" fontId="93" fillId="32" borderId="9" xfId="0" applyFont="1" applyFill="1" applyBorder="1" applyAlignment="1">
      <alignment horizontal="center" vertical="center"/>
    </xf>
    <xf numFmtId="0" fontId="93" fillId="0" borderId="11" xfId="0" applyFont="1" applyBorder="1" applyAlignment="1">
      <alignment horizontal="center" vertical="center"/>
    </xf>
    <xf numFmtId="0" fontId="93" fillId="0" borderId="0" xfId="0" applyFont="1" applyAlignment="1">
      <alignment horizontal="center" vertical="center"/>
    </xf>
    <xf numFmtId="0" fontId="93" fillId="10" borderId="0" xfId="0" applyFont="1" applyFill="1" applyAlignment="1">
      <alignment horizontal="center" vertical="center"/>
    </xf>
    <xf numFmtId="0" fontId="93" fillId="32" borderId="0" xfId="0" applyFont="1" applyFill="1" applyAlignment="1">
      <alignment horizontal="center" vertical="center"/>
    </xf>
    <xf numFmtId="0" fontId="93" fillId="0" borderId="14" xfId="0" applyFont="1" applyBorder="1" applyAlignment="1">
      <alignment horizontal="center" vertical="center"/>
    </xf>
    <xf numFmtId="0" fontId="90" fillId="10" borderId="0" xfId="0" applyFont="1" applyFill="1" applyAlignment="1">
      <alignment horizontal="center" vertical="center"/>
    </xf>
    <xf numFmtId="0" fontId="90" fillId="32" borderId="0" xfId="0" applyFont="1" applyFill="1" applyAlignment="1">
      <alignment horizontal="center" vertical="center"/>
    </xf>
    <xf numFmtId="0" fontId="102" fillId="0" borderId="9" xfId="0" applyFont="1" applyBorder="1" applyAlignment="1">
      <alignment horizontal="center" vertical="center" wrapText="1"/>
    </xf>
    <xf numFmtId="0" fontId="102" fillId="0" borderId="0" xfId="0" applyFont="1" applyAlignment="1">
      <alignment horizontal="center" vertical="center" wrapText="1"/>
    </xf>
    <xf numFmtId="0" fontId="102" fillId="0" borderId="10" xfId="0" applyFont="1" applyBorder="1" applyAlignment="1">
      <alignment horizontal="center" vertical="center" wrapText="1"/>
    </xf>
    <xf numFmtId="0" fontId="102" fillId="0" borderId="11" xfId="0" applyFont="1" applyBorder="1" applyAlignment="1">
      <alignment horizontal="center" vertical="center" wrapText="1"/>
    </xf>
    <xf numFmtId="0" fontId="102" fillId="0" borderId="14" xfId="0" applyFont="1" applyBorder="1" applyAlignment="1">
      <alignment horizontal="center" vertical="center" wrapText="1"/>
    </xf>
    <xf numFmtId="0" fontId="102"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8" xfId="0" applyFont="1" applyBorder="1" applyAlignment="1">
      <alignment horizontal="center" vertical="center" wrapText="1"/>
    </xf>
    <xf numFmtId="0" fontId="1" fillId="0" borderId="0" xfId="0" applyFont="1" applyAlignment="1">
      <alignment horizontal="center" vertical="center" wrapText="1"/>
    </xf>
    <xf numFmtId="0" fontId="1" fillId="0" borderId="90" xfId="0" applyFont="1" applyBorder="1" applyAlignment="1">
      <alignment horizontal="center" vertical="center" wrapText="1"/>
    </xf>
    <xf numFmtId="0" fontId="1" fillId="0" borderId="82" xfId="0" applyFont="1" applyBorder="1" applyAlignment="1">
      <alignment horizontal="center" vertical="center" wrapText="1"/>
    </xf>
    <xf numFmtId="0" fontId="1" fillId="0" borderId="85" xfId="0" applyFont="1" applyBorder="1" applyAlignment="1">
      <alignment horizontal="center" vertical="center" wrapText="1"/>
    </xf>
    <xf numFmtId="0" fontId="1" fillId="0" borderId="83" xfId="0" applyFont="1" applyBorder="1" applyAlignment="1">
      <alignment horizontal="center" vertical="center" wrapText="1"/>
    </xf>
    <xf numFmtId="0" fontId="1" fillId="0" borderId="141" xfId="0" applyFont="1" applyBorder="1" applyAlignment="1">
      <alignment horizontal="center" vertical="center" wrapText="1"/>
    </xf>
    <xf numFmtId="0" fontId="2" fillId="10" borderId="7" xfId="0" applyFont="1" applyFill="1" applyBorder="1" applyAlignment="1">
      <alignment horizontal="center" vertical="center"/>
    </xf>
    <xf numFmtId="0" fontId="2" fillId="32" borderId="13" xfId="0" applyFont="1" applyFill="1" applyBorder="1" applyAlignment="1">
      <alignment horizontal="center" vertical="center"/>
    </xf>
    <xf numFmtId="0" fontId="2" fillId="32" borderId="8" xfId="0" applyFont="1" applyFill="1" applyBorder="1" applyAlignment="1">
      <alignment horizontal="center" vertical="center"/>
    </xf>
    <xf numFmtId="0" fontId="2" fillId="32" borderId="82" xfId="0" applyFont="1" applyFill="1" applyBorder="1" applyAlignment="1">
      <alignment horizontal="center" vertical="center"/>
    </xf>
    <xf numFmtId="0" fontId="2" fillId="32" borderId="83" xfId="0" applyFont="1" applyFill="1" applyBorder="1" applyAlignment="1">
      <alignment horizontal="center" vertical="center"/>
    </xf>
    <xf numFmtId="0" fontId="2" fillId="32" borderId="94" xfId="0" applyFont="1" applyFill="1" applyBorder="1" applyAlignment="1">
      <alignment horizontal="center" vertical="center"/>
    </xf>
    <xf numFmtId="0" fontId="2" fillId="32" borderId="9" xfId="0" applyFont="1" applyFill="1" applyBorder="1" applyAlignment="1">
      <alignment horizontal="center" vertical="center"/>
    </xf>
    <xf numFmtId="0" fontId="2" fillId="32" borderId="0" xfId="0" applyFont="1" applyFill="1" applyAlignment="1">
      <alignment horizontal="center" vertical="center"/>
    </xf>
    <xf numFmtId="0" fontId="2" fillId="32" borderId="10" xfId="0" applyFont="1" applyFill="1" applyBorder="1" applyAlignment="1">
      <alignment horizontal="center" vertical="center"/>
    </xf>
    <xf numFmtId="0" fontId="94" fillId="10" borderId="0" xfId="0" applyFont="1" applyFill="1" applyAlignment="1">
      <alignment horizontal="center" vertical="center" wrapText="1"/>
    </xf>
    <xf numFmtId="0" fontId="94" fillId="32" borderId="0" xfId="0" applyFont="1" applyFill="1" applyAlignment="1">
      <alignment horizontal="center" vertical="center"/>
    </xf>
    <xf numFmtId="0" fontId="94" fillId="32" borderId="138" xfId="0" applyFont="1" applyFill="1" applyBorder="1" applyAlignment="1">
      <alignment horizontal="center" vertical="center"/>
    </xf>
    <xf numFmtId="0" fontId="94" fillId="5" borderId="133" xfId="0" applyFont="1" applyFill="1" applyBorder="1" applyAlignment="1">
      <alignment horizontal="center" vertical="center"/>
    </xf>
    <xf numFmtId="0" fontId="94" fillId="6" borderId="0" xfId="0" applyFont="1" applyFill="1" applyAlignment="1">
      <alignment horizontal="center" vertical="center"/>
    </xf>
    <xf numFmtId="0" fontId="94" fillId="6" borderId="133" xfId="0" applyFont="1" applyFill="1" applyBorder="1" applyAlignment="1">
      <alignment horizontal="center" vertical="center"/>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82" xfId="0" applyFont="1" applyBorder="1" applyAlignment="1">
      <alignment horizontal="left" vertical="center" wrapText="1"/>
    </xf>
    <xf numFmtId="0" fontId="3" fillId="0" borderId="83" xfId="0" applyFont="1" applyBorder="1" applyAlignment="1">
      <alignment horizontal="left" vertical="center" wrapText="1"/>
    </xf>
    <xf numFmtId="0" fontId="3" fillId="0" borderId="11" xfId="0" applyFont="1" applyBorder="1" applyAlignment="1">
      <alignment horizontal="left" vertical="center" wrapText="1"/>
    </xf>
    <xf numFmtId="0" fontId="3" fillId="0" borderId="14" xfId="0" applyFont="1" applyBorder="1" applyAlignment="1">
      <alignment horizontal="left" vertical="center" wrapText="1"/>
    </xf>
    <xf numFmtId="0" fontId="17" fillId="0" borderId="78" xfId="0" applyFont="1" applyBorder="1" applyAlignment="1">
      <alignment horizontal="center" vertical="center" wrapText="1"/>
    </xf>
    <xf numFmtId="0" fontId="17" fillId="0" borderId="88" xfId="0" applyFont="1" applyBorder="1" applyAlignment="1">
      <alignment horizontal="center" vertical="center" wrapText="1"/>
    </xf>
    <xf numFmtId="0" fontId="17" fillId="0" borderId="87" xfId="0" applyFont="1" applyBorder="1" applyAlignment="1">
      <alignment horizontal="center" vertical="center" wrapText="1"/>
    </xf>
    <xf numFmtId="0" fontId="17" fillId="0" borderId="89" xfId="0" applyFont="1" applyBorder="1" applyAlignment="1">
      <alignment horizontal="center" vertical="center" wrapText="1"/>
    </xf>
    <xf numFmtId="0" fontId="17" fillId="0" borderId="94" xfId="0" applyFont="1" applyBorder="1" applyAlignment="1">
      <alignment horizontal="center" vertical="center" wrapText="1"/>
    </xf>
    <xf numFmtId="0" fontId="17" fillId="0" borderId="142" xfId="0" applyFont="1" applyBorder="1" applyAlignment="1">
      <alignment horizontal="center" vertical="center" wrapText="1"/>
    </xf>
    <xf numFmtId="0" fontId="17" fillId="0" borderId="143"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98"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94"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46" xfId="0" applyFont="1" applyBorder="1" applyAlignment="1">
      <alignment horizontal="center" vertical="center"/>
    </xf>
    <xf numFmtId="0" fontId="3" fillId="0" borderId="16" xfId="0" applyFont="1" applyBorder="1" applyAlignment="1">
      <alignment horizontal="center" vertical="center"/>
    </xf>
    <xf numFmtId="0" fontId="3" fillId="0" borderId="49" xfId="0" applyFont="1" applyBorder="1" applyAlignment="1">
      <alignment horizontal="center" vertical="center"/>
    </xf>
    <xf numFmtId="0" fontId="3" fillId="0" borderId="29" xfId="0" applyFont="1" applyBorder="1" applyAlignment="1">
      <alignment horizontal="center" vertical="center"/>
    </xf>
    <xf numFmtId="0" fontId="3" fillId="0" borderId="32" xfId="0" applyFont="1" applyBorder="1" applyAlignment="1">
      <alignment horizontal="center" vertical="center"/>
    </xf>
    <xf numFmtId="0" fontId="3" fillId="0" borderId="57" xfId="0" applyFont="1" applyBorder="1" applyAlignment="1">
      <alignment horizontal="center" vertical="center"/>
    </xf>
    <xf numFmtId="0" fontId="3" fillId="0" borderId="60" xfId="0" applyFont="1" applyBorder="1" applyAlignment="1">
      <alignment horizontal="center" vertical="center"/>
    </xf>
    <xf numFmtId="0" fontId="99" fillId="0" borderId="0" xfId="0" applyFont="1" applyAlignment="1">
      <alignment horizontal="center" vertical="center" wrapText="1"/>
    </xf>
    <xf numFmtId="0" fontId="4" fillId="2" borderId="7" xfId="0" applyFont="1" applyFill="1" applyBorder="1" applyAlignment="1">
      <alignment horizontal="center" vertical="center" wrapText="1"/>
    </xf>
    <xf numFmtId="0" fontId="4" fillId="75" borderId="13" xfId="0" applyFont="1" applyFill="1" applyBorder="1" applyAlignment="1">
      <alignment horizontal="center" vertical="center" wrapText="1"/>
    </xf>
    <xf numFmtId="0" fontId="4" fillId="75" borderId="9" xfId="0" applyFont="1" applyFill="1" applyBorder="1" applyAlignment="1">
      <alignment horizontal="center" vertical="center" wrapText="1"/>
    </xf>
    <xf numFmtId="0" fontId="4" fillId="75" borderId="0" xfId="0" applyFont="1" applyFill="1" applyAlignment="1">
      <alignment horizontal="center" vertical="center" wrapText="1"/>
    </xf>
    <xf numFmtId="0" fontId="4" fillId="75" borderId="11" xfId="0" applyFont="1" applyFill="1" applyBorder="1" applyAlignment="1">
      <alignment horizontal="center" vertical="center" wrapText="1"/>
    </xf>
    <xf numFmtId="0" fontId="4" fillId="75" borderId="14" xfId="0" applyFont="1" applyFill="1" applyBorder="1" applyAlignment="1">
      <alignment horizontal="center" vertical="center" wrapText="1"/>
    </xf>
    <xf numFmtId="0" fontId="94" fillId="10" borderId="120" xfId="0" applyFont="1" applyFill="1" applyBorder="1" applyAlignment="1">
      <alignment horizontal="center" vertical="center" wrapText="1"/>
    </xf>
    <xf numFmtId="0" fontId="94" fillId="32" borderId="120" xfId="0" applyFont="1" applyFill="1" applyBorder="1" applyAlignment="1">
      <alignment horizontal="center" vertical="center"/>
    </xf>
    <xf numFmtId="0" fontId="94" fillId="32" borderId="125" xfId="0" applyFont="1" applyFill="1" applyBorder="1" applyAlignment="1">
      <alignment horizontal="center" vertical="center"/>
    </xf>
    <xf numFmtId="0" fontId="94" fillId="10" borderId="133" xfId="0" applyFont="1" applyFill="1" applyBorder="1" applyAlignment="1">
      <alignment horizontal="center" vertical="center"/>
    </xf>
    <xf numFmtId="0" fontId="94" fillId="32" borderId="133" xfId="0" applyFont="1" applyFill="1" applyBorder="1" applyAlignment="1">
      <alignment horizontal="center" vertical="center"/>
    </xf>
    <xf numFmtId="0" fontId="94" fillId="32" borderId="134" xfId="0" applyFont="1" applyFill="1" applyBorder="1" applyAlignment="1">
      <alignment horizontal="center" vertical="center"/>
    </xf>
    <xf numFmtId="0" fontId="94" fillId="32" borderId="135" xfId="0" applyFont="1" applyFill="1" applyBorder="1" applyAlignment="1">
      <alignment horizontal="center" vertical="center"/>
    </xf>
    <xf numFmtId="0" fontId="94" fillId="32" borderId="139" xfId="0" applyFont="1" applyFill="1" applyBorder="1" applyAlignment="1">
      <alignment horizontal="center" vertical="center"/>
    </xf>
    <xf numFmtId="0" fontId="90" fillId="73" borderId="0" xfId="0" applyFont="1" applyFill="1" applyAlignment="1">
      <alignment horizontal="center" vertical="center"/>
    </xf>
    <xf numFmtId="0" fontId="94" fillId="6" borderId="119" xfId="0" applyFont="1" applyFill="1" applyBorder="1" applyAlignment="1">
      <alignment horizontal="center" vertical="center"/>
    </xf>
    <xf numFmtId="0" fontId="93" fillId="32" borderId="10" xfId="0" applyFont="1" applyFill="1" applyBorder="1" applyAlignment="1">
      <alignment horizontal="center" vertical="center" wrapText="1"/>
    </xf>
    <xf numFmtId="0" fontId="90" fillId="64" borderId="0" xfId="0" applyFont="1" applyFill="1" applyAlignment="1">
      <alignment horizontal="center" vertical="center" wrapText="1"/>
    </xf>
    <xf numFmtId="0" fontId="90" fillId="4" borderId="0" xfId="0" applyFont="1" applyFill="1" applyAlignment="1">
      <alignment horizontal="center" vertical="center" wrapText="1"/>
    </xf>
    <xf numFmtId="0" fontId="90" fillId="4" borderId="0" xfId="0" applyFont="1" applyFill="1" applyAlignment="1">
      <alignment horizontal="center" vertical="center"/>
    </xf>
    <xf numFmtId="0" fontId="94" fillId="5" borderId="0" xfId="0" applyFont="1" applyFill="1" applyAlignment="1">
      <alignment horizontal="center" vertical="center" wrapText="1"/>
    </xf>
    <xf numFmtId="0" fontId="94" fillId="6" borderId="138" xfId="0" applyFont="1" applyFill="1" applyBorder="1" applyAlignment="1">
      <alignment horizontal="center" vertical="center"/>
    </xf>
    <xf numFmtId="0" fontId="94" fillId="10" borderId="119" xfId="0" applyFont="1" applyFill="1" applyBorder="1" applyAlignment="1">
      <alignment horizontal="center" vertical="center"/>
    </xf>
    <xf numFmtId="0" fontId="93" fillId="0" borderId="10" xfId="0" applyFont="1" applyBorder="1" applyAlignment="1">
      <alignment horizontal="center" vertical="center" wrapText="1"/>
    </xf>
    <xf numFmtId="0" fontId="93" fillId="0" borderId="12" xfId="0" applyFont="1" applyBorder="1" applyAlignment="1">
      <alignment horizontal="center" vertical="center" wrapText="1"/>
    </xf>
    <xf numFmtId="0" fontId="91" fillId="72" borderId="0" xfId="0" applyFont="1" applyFill="1" applyAlignment="1">
      <alignment horizontal="center" vertical="center" wrapText="1"/>
    </xf>
    <xf numFmtId="0" fontId="56" fillId="0" borderId="0" xfId="0" applyFont="1" applyAlignment="1">
      <alignment horizontal="center" vertical="center"/>
    </xf>
    <xf numFmtId="0" fontId="90" fillId="10" borderId="9" xfId="0" applyFont="1" applyFill="1" applyBorder="1" applyAlignment="1">
      <alignment horizontal="center" vertical="center"/>
    </xf>
    <xf numFmtId="0" fontId="90" fillId="32" borderId="11" xfId="0" applyFont="1" applyFill="1" applyBorder="1" applyAlignment="1">
      <alignment horizontal="center" vertical="center"/>
    </xf>
    <xf numFmtId="0" fontId="90" fillId="32" borderId="14" xfId="0" applyFont="1" applyFill="1" applyBorder="1" applyAlignment="1">
      <alignment horizontal="center" vertical="center"/>
    </xf>
    <xf numFmtId="0" fontId="90" fillId="10" borderId="97" xfId="0" applyFont="1" applyFill="1" applyBorder="1" applyAlignment="1">
      <alignment horizontal="center" vertical="center"/>
    </xf>
    <xf numFmtId="0" fontId="90" fillId="32" borderId="98" xfId="0" applyFont="1" applyFill="1" applyBorder="1" applyAlignment="1">
      <alignment horizontal="center" vertical="center"/>
    </xf>
    <xf numFmtId="0" fontId="90" fillId="0" borderId="78" xfId="0" applyFont="1" applyBorder="1" applyAlignment="1">
      <alignment horizontal="center" vertical="center"/>
    </xf>
    <xf numFmtId="0" fontId="90" fillId="0" borderId="0" xfId="0" applyFont="1" applyAlignment="1">
      <alignment horizontal="center" vertical="center"/>
    </xf>
    <xf numFmtId="0" fontId="90" fillId="0" borderId="90" xfId="0" applyFont="1" applyBorder="1" applyAlignment="1">
      <alignment horizontal="center" vertical="center"/>
    </xf>
    <xf numFmtId="0" fontId="90" fillId="0" borderId="98" xfId="0" applyFont="1" applyBorder="1" applyAlignment="1">
      <alignment horizontal="center" vertical="center"/>
    </xf>
    <xf numFmtId="0" fontId="90" fillId="0" borderId="14" xfId="0" applyFont="1" applyBorder="1" applyAlignment="1">
      <alignment horizontal="center" vertical="center"/>
    </xf>
    <xf numFmtId="0" fontId="90" fillId="0" borderId="96" xfId="0" applyFont="1" applyBorder="1" applyAlignment="1">
      <alignment horizontal="center" vertical="center"/>
    </xf>
    <xf numFmtId="0" fontId="90" fillId="10" borderId="93" xfId="0" applyFont="1" applyFill="1" applyBorder="1" applyAlignment="1">
      <alignment horizontal="center" vertical="center"/>
    </xf>
    <xf numFmtId="0" fontId="90" fillId="32" borderId="121" xfId="0" applyFont="1" applyFill="1" applyBorder="1" applyAlignment="1">
      <alignment horizontal="center" vertical="center"/>
    </xf>
    <xf numFmtId="0" fontId="90" fillId="10" borderId="78" xfId="0" applyFont="1" applyFill="1" applyBorder="1" applyAlignment="1">
      <alignment horizontal="center" vertical="center"/>
    </xf>
    <xf numFmtId="0" fontId="90" fillId="0" borderId="10" xfId="0" applyFont="1" applyBorder="1" applyAlignment="1">
      <alignment horizontal="center" vertical="center"/>
    </xf>
    <xf numFmtId="0" fontId="90" fillId="0" borderId="12" xfId="0" applyFont="1" applyBorder="1" applyAlignment="1">
      <alignment horizontal="center" vertical="center"/>
    </xf>
    <xf numFmtId="0" fontId="93" fillId="32" borderId="10" xfId="0" applyFont="1" applyFill="1" applyBorder="1" applyAlignment="1">
      <alignment horizontal="center" vertical="center"/>
    </xf>
    <xf numFmtId="0" fontId="92" fillId="9" borderId="9" xfId="0" applyFont="1" applyFill="1" applyBorder="1" applyAlignment="1">
      <alignment horizontal="center" vertical="center" wrapText="1"/>
    </xf>
    <xf numFmtId="0" fontId="92" fillId="52" borderId="0" xfId="0" applyFont="1" applyFill="1" applyAlignment="1">
      <alignment horizontal="center" vertical="center" wrapText="1"/>
    </xf>
    <xf numFmtId="0" fontId="90" fillId="0" borderId="39" xfId="0" applyFont="1" applyBorder="1" applyAlignment="1">
      <alignment horizontal="center" vertical="center" wrapText="1"/>
    </xf>
    <xf numFmtId="0" fontId="90" fillId="0" borderId="0" xfId="0" applyFont="1" applyAlignment="1">
      <alignment horizontal="center" vertical="center" wrapText="1"/>
    </xf>
    <xf numFmtId="0" fontId="90" fillId="0" borderId="35" xfId="0" applyFont="1" applyBorder="1" applyAlignment="1">
      <alignment horizontal="center" vertical="center" wrapText="1"/>
    </xf>
    <xf numFmtId="0" fontId="90" fillId="0" borderId="40" xfId="0" applyFont="1" applyBorder="1" applyAlignment="1">
      <alignment horizontal="center" vertical="center" wrapText="1"/>
    </xf>
    <xf numFmtId="0" fontId="90" fillId="0" borderId="34" xfId="0" applyFont="1" applyBorder="1" applyAlignment="1">
      <alignment horizontal="center" vertical="center" wrapText="1"/>
    </xf>
    <xf numFmtId="0" fontId="90" fillId="0" borderId="36" xfId="0" applyFont="1" applyBorder="1" applyAlignment="1">
      <alignment horizontal="center" vertical="center" wrapText="1"/>
    </xf>
    <xf numFmtId="0" fontId="93" fillId="0" borderId="10" xfId="0" applyFont="1" applyBorder="1" applyAlignment="1">
      <alignment horizontal="center" vertical="center"/>
    </xf>
    <xf numFmtId="0" fontId="93" fillId="56" borderId="0" xfId="0" applyFont="1" applyFill="1" applyAlignment="1">
      <alignment horizontal="center" vertical="center" wrapText="1"/>
    </xf>
    <xf numFmtId="0" fontId="90" fillId="0" borderId="38" xfId="0" applyFont="1" applyBorder="1" applyAlignment="1">
      <alignment horizontal="center" vertical="center"/>
    </xf>
    <xf numFmtId="0" fontId="90" fillId="0" borderId="31" xfId="0" applyFont="1" applyBorder="1" applyAlignment="1">
      <alignment horizontal="center" vertical="center"/>
    </xf>
    <xf numFmtId="0" fontId="90" fillId="0" borderId="39" xfId="0" applyFont="1" applyBorder="1" applyAlignment="1">
      <alignment horizontal="center" vertical="center"/>
    </xf>
    <xf numFmtId="0" fontId="90" fillId="0" borderId="40" xfId="0" applyFont="1" applyBorder="1" applyAlignment="1">
      <alignment horizontal="center" vertical="center"/>
    </xf>
    <xf numFmtId="0" fontId="90" fillId="0" borderId="34" xfId="0" applyFont="1" applyBorder="1" applyAlignment="1">
      <alignment horizontal="center" vertical="center"/>
    </xf>
    <xf numFmtId="0" fontId="90" fillId="0" borderId="38" xfId="0" applyFont="1" applyBorder="1" applyAlignment="1">
      <alignment horizontal="center" vertical="center" wrapText="1"/>
    </xf>
    <xf numFmtId="0" fontId="90" fillId="0" borderId="31" xfId="0" applyFont="1" applyBorder="1" applyAlignment="1">
      <alignment horizontal="center" vertical="center" wrapText="1"/>
    </xf>
    <xf numFmtId="0" fontId="90" fillId="0" borderId="6" xfId="0" applyFont="1" applyBorder="1" applyAlignment="1">
      <alignment horizontal="center" vertical="center"/>
    </xf>
    <xf numFmtId="0" fontId="90" fillId="0" borderId="35" xfId="0" applyFont="1" applyBorder="1" applyAlignment="1">
      <alignment horizontal="center" vertical="center"/>
    </xf>
    <xf numFmtId="0" fontId="90" fillId="0" borderId="122" xfId="0" applyFont="1" applyBorder="1" applyAlignment="1">
      <alignment horizontal="center" vertical="center"/>
    </xf>
    <xf numFmtId="0" fontId="90" fillId="0" borderId="36" xfId="0" applyFont="1" applyBorder="1" applyAlignment="1">
      <alignment horizontal="center" vertical="center"/>
    </xf>
    <xf numFmtId="0" fontId="103" fillId="5" borderId="0" xfId="0" applyFont="1" applyFill="1" applyAlignment="1">
      <alignment horizontal="center" vertical="center"/>
    </xf>
    <xf numFmtId="0" fontId="104" fillId="6" borderId="0" xfId="0" applyFont="1" applyFill="1" applyAlignment="1">
      <alignment horizontal="center" vertical="center"/>
    </xf>
    <xf numFmtId="0" fontId="104" fillId="6" borderId="138" xfId="0" applyFont="1" applyFill="1" applyBorder="1" applyAlignment="1">
      <alignment horizontal="center" vertical="center"/>
    </xf>
    <xf numFmtId="0" fontId="90" fillId="0" borderId="5" xfId="0" applyFont="1" applyBorder="1" applyAlignment="1">
      <alignment horizontal="center" vertical="center" wrapText="1"/>
    </xf>
    <xf numFmtId="0" fontId="22" fillId="0" borderId="57" xfId="0" applyFont="1" applyBorder="1" applyAlignment="1">
      <alignment horizontal="center" vertical="center"/>
    </xf>
    <xf numFmtId="0" fontId="22" fillId="0" borderId="46" xfId="0" applyFont="1" applyBorder="1" applyAlignment="1">
      <alignment horizontal="center" vertical="center"/>
    </xf>
    <xf numFmtId="0" fontId="22" fillId="0" borderId="16" xfId="0" applyFont="1" applyBorder="1" applyAlignment="1">
      <alignment horizontal="center" vertical="center"/>
    </xf>
    <xf numFmtId="0" fontId="22" fillId="0" borderId="49" xfId="0" applyFont="1" applyBorder="1" applyAlignment="1">
      <alignment horizontal="center" vertical="center"/>
    </xf>
    <xf numFmtId="0" fontId="22" fillId="0" borderId="29" xfId="0" applyFont="1" applyBorder="1" applyAlignment="1">
      <alignment horizontal="center" vertical="center"/>
    </xf>
    <xf numFmtId="0" fontId="22" fillId="0" borderId="32" xfId="0" applyFont="1" applyBorder="1" applyAlignment="1">
      <alignment horizontal="center" vertical="center"/>
    </xf>
    <xf numFmtId="0" fontId="3" fillId="0" borderId="136" xfId="0" applyFont="1" applyBorder="1" applyAlignment="1">
      <alignment horizontal="center" vertical="center"/>
    </xf>
    <xf numFmtId="0" fontId="3" fillId="0" borderId="137" xfId="0" applyFont="1" applyBorder="1" applyAlignment="1">
      <alignment horizontal="center" vertical="center"/>
    </xf>
    <xf numFmtId="0" fontId="3" fillId="0" borderId="140" xfId="0" applyFont="1" applyBorder="1" applyAlignment="1">
      <alignment horizontal="center" vertical="center"/>
    </xf>
    <xf numFmtId="0" fontId="3" fillId="0" borderId="48" xfId="0" applyFont="1" applyBorder="1" applyAlignment="1">
      <alignment horizontal="center" vertical="center"/>
    </xf>
    <xf numFmtId="0" fontId="3" fillId="0" borderId="10" xfId="0" applyFont="1" applyBorder="1" applyAlignment="1">
      <alignment horizontal="center" vertical="center"/>
    </xf>
    <xf numFmtId="0" fontId="93" fillId="64" borderId="0" xfId="0" applyFont="1" applyFill="1" applyAlignment="1">
      <alignment horizontal="center" vertical="center"/>
    </xf>
    <xf numFmtId="0" fontId="94" fillId="0" borderId="0" xfId="0" applyFont="1" applyAlignment="1">
      <alignment horizontal="center" vertical="center"/>
    </xf>
    <xf numFmtId="0" fontId="94" fillId="0" borderId="131" xfId="0" applyFont="1" applyBorder="1" applyAlignment="1">
      <alignment horizontal="center" vertical="center"/>
    </xf>
    <xf numFmtId="0" fontId="90" fillId="69" borderId="0" xfId="0" applyFont="1" applyFill="1" applyAlignment="1">
      <alignment horizontal="center" vertical="center" wrapText="1"/>
    </xf>
    <xf numFmtId="0" fontId="90" fillId="70" borderId="0" xfId="0" applyFont="1" applyFill="1" applyAlignment="1">
      <alignment horizontal="center" vertical="center"/>
    </xf>
    <xf numFmtId="0" fontId="90" fillId="71" borderId="0" xfId="0" applyFont="1" applyFill="1" applyAlignment="1">
      <alignment horizontal="center" vertical="center"/>
    </xf>
    <xf numFmtId="0" fontId="90" fillId="74" borderId="0" xfId="0" applyFont="1" applyFill="1" applyAlignment="1">
      <alignment horizontal="center" vertical="center"/>
    </xf>
    <xf numFmtId="0" fontId="90" fillId="56" borderId="0" xfId="0" applyFont="1" applyFill="1" applyAlignment="1">
      <alignment horizontal="center" vertical="center" wrapText="1"/>
    </xf>
    <xf numFmtId="0" fontId="90" fillId="65" borderId="0" xfId="0" applyFont="1" applyFill="1" applyAlignment="1">
      <alignment horizontal="center" vertical="center" wrapText="1"/>
    </xf>
    <xf numFmtId="0" fontId="90" fillId="65" borderId="0" xfId="0" applyFont="1" applyFill="1" applyAlignment="1">
      <alignment horizontal="center" vertical="center"/>
    </xf>
    <xf numFmtId="0" fontId="1" fillId="0" borderId="15" xfId="0" applyFont="1" applyBorder="1" applyAlignment="1">
      <alignment horizontal="center" vertical="center"/>
    </xf>
    <xf numFmtId="0" fontId="1" fillId="0" borderId="46" xfId="0" applyFont="1" applyBorder="1" applyAlignment="1">
      <alignment horizontal="center" vertical="center"/>
    </xf>
    <xf numFmtId="0" fontId="1" fillId="0" borderId="57" xfId="0" applyFont="1" applyBorder="1" applyAlignment="1">
      <alignment horizontal="center" vertical="center"/>
    </xf>
    <xf numFmtId="0" fontId="1" fillId="0" borderId="51" xfId="0" applyFont="1" applyBorder="1" applyAlignment="1">
      <alignment horizontal="center" vertical="center"/>
    </xf>
    <xf numFmtId="0" fontId="1" fillId="0" borderId="16" xfId="0" applyFont="1" applyBorder="1" applyAlignment="1">
      <alignment horizontal="center" vertical="center"/>
    </xf>
    <xf numFmtId="0" fontId="100" fillId="0" borderId="11" xfId="0" applyFont="1" applyBorder="1" applyAlignment="1">
      <alignment horizontal="center" vertical="center"/>
    </xf>
    <xf numFmtId="0" fontId="100" fillId="0" borderId="14" xfId="0" applyFont="1" applyBorder="1" applyAlignment="1">
      <alignment horizontal="center" vertical="center"/>
    </xf>
    <xf numFmtId="0" fontId="13" fillId="0" borderId="14" xfId="0" applyFont="1" applyBorder="1" applyAlignment="1">
      <alignment horizontal="center" vertical="center"/>
    </xf>
    <xf numFmtId="0" fontId="13" fillId="0" borderId="0" xfId="0" applyFont="1" applyAlignment="1">
      <alignment horizontal="center" vertical="center"/>
    </xf>
    <xf numFmtId="0" fontId="17" fillId="10" borderId="14" xfId="0" applyFont="1" applyFill="1" applyBorder="1" applyAlignment="1">
      <alignment horizontal="center" vertical="center"/>
    </xf>
    <xf numFmtId="0" fontId="17" fillId="59" borderId="13" xfId="0" applyFont="1" applyFill="1" applyBorder="1" applyAlignment="1">
      <alignment horizontal="center" vertical="center"/>
    </xf>
    <xf numFmtId="0" fontId="17" fillId="59" borderId="8" xfId="0" applyFont="1" applyFill="1" applyBorder="1" applyAlignment="1">
      <alignment horizontal="center" vertical="center"/>
    </xf>
    <xf numFmtId="0" fontId="25" fillId="9" borderId="7" xfId="0" applyFont="1" applyFill="1" applyBorder="1" applyAlignment="1">
      <alignment horizontal="center" vertical="center"/>
    </xf>
    <xf numFmtId="0" fontId="25" fillId="59" borderId="13" xfId="0" applyFont="1" applyFill="1" applyBorder="1" applyAlignment="1">
      <alignment horizontal="center" vertical="center"/>
    </xf>
    <xf numFmtId="0" fontId="25" fillId="59" borderId="8" xfId="0" applyFont="1" applyFill="1" applyBorder="1" applyAlignment="1">
      <alignment horizontal="center" vertical="center"/>
    </xf>
    <xf numFmtId="0" fontId="17" fillId="0" borderId="9" xfId="0" applyFont="1" applyBorder="1" applyAlignment="1">
      <alignment horizontal="left" vertical="center" wrapText="1"/>
    </xf>
    <xf numFmtId="0" fontId="17" fillId="0" borderId="0" xfId="0" applyFont="1" applyAlignment="1">
      <alignment horizontal="left" vertical="center" wrapText="1"/>
    </xf>
    <xf numFmtId="0" fontId="17" fillId="0" borderId="10" xfId="0" applyFont="1" applyBorder="1" applyAlignment="1">
      <alignment horizontal="left" vertical="center" wrapText="1"/>
    </xf>
    <xf numFmtId="0" fontId="17" fillId="9" borderId="9" xfId="0" applyFont="1" applyFill="1" applyBorder="1" applyAlignment="1">
      <alignment horizontal="center" vertical="center"/>
    </xf>
    <xf numFmtId="0" fontId="17" fillId="59" borderId="10" xfId="0" applyFont="1" applyFill="1" applyBorder="1" applyAlignment="1">
      <alignment horizontal="center" vertical="center"/>
    </xf>
    <xf numFmtId="0" fontId="17" fillId="0" borderId="11" xfId="0" applyFont="1" applyBorder="1" applyAlignment="1">
      <alignment horizontal="left" vertical="center" wrapText="1"/>
    </xf>
    <xf numFmtId="0" fontId="17" fillId="0" borderId="14" xfId="0" applyFont="1" applyBorder="1" applyAlignment="1">
      <alignment horizontal="left" vertical="center" wrapText="1"/>
    </xf>
    <xf numFmtId="0" fontId="17" fillId="0" borderId="12" xfId="0" applyFont="1" applyBorder="1" applyAlignment="1">
      <alignment horizontal="left" vertical="center" wrapText="1"/>
    </xf>
    <xf numFmtId="0" fontId="82" fillId="0" borderId="0" xfId="0" applyFont="1" applyAlignment="1">
      <alignment horizontal="left" vertical="center" indent="4"/>
    </xf>
    <xf numFmtId="0" fontId="83" fillId="0" borderId="0" xfId="0" applyFont="1" applyAlignment="1">
      <alignment horizontal="left" vertical="center" indent="4"/>
    </xf>
    <xf numFmtId="0" fontId="84" fillId="2" borderId="7" xfId="0" applyFont="1" applyFill="1" applyBorder="1" applyAlignment="1">
      <alignment horizontal="center" vertical="center"/>
    </xf>
    <xf numFmtId="0" fontId="85" fillId="52" borderId="13" xfId="0" applyFont="1" applyFill="1" applyBorder="1" applyAlignment="1">
      <alignment horizontal="center" vertical="center"/>
    </xf>
    <xf numFmtId="0" fontId="85" fillId="52" borderId="8" xfId="0" applyFont="1" applyFill="1" applyBorder="1" applyAlignment="1">
      <alignment horizontal="center" vertical="center"/>
    </xf>
    <xf numFmtId="0" fontId="67" fillId="9" borderId="9" xfId="0" applyFont="1" applyFill="1" applyBorder="1" applyAlignment="1">
      <alignment horizontal="center" vertical="center"/>
    </xf>
    <xf numFmtId="0" fontId="67" fillId="6" borderId="0" xfId="0" applyFont="1" applyFill="1" applyAlignment="1">
      <alignment horizontal="center" vertical="center"/>
    </xf>
    <xf numFmtId="0" fontId="67" fillId="0" borderId="9" xfId="0" applyFont="1" applyBorder="1" applyAlignment="1">
      <alignment horizontal="left" vertical="center" indent="1"/>
    </xf>
    <xf numFmtId="0" fontId="67" fillId="0" borderId="0" xfId="0" applyFont="1" applyAlignment="1">
      <alignment horizontal="left" vertical="center" indent="1"/>
    </xf>
    <xf numFmtId="0" fontId="67" fillId="0" borderId="9" xfId="0" applyFont="1" applyBorder="1" applyAlignment="1">
      <alignment horizontal="left" vertical="center" wrapText="1" indent="1"/>
    </xf>
    <xf numFmtId="0" fontId="67" fillId="0" borderId="0" xfId="0" applyFont="1" applyAlignment="1">
      <alignment horizontal="left" vertical="center" wrapText="1" indent="1"/>
    </xf>
    <xf numFmtId="0" fontId="67" fillId="0" borderId="9" xfId="0" applyFont="1" applyBorder="1" applyAlignment="1">
      <alignment horizontal="left" vertical="top" indent="1"/>
    </xf>
    <xf numFmtId="0" fontId="67" fillId="0" borderId="0" xfId="0" applyFont="1" applyAlignment="1">
      <alignment horizontal="left" vertical="top" indent="1"/>
    </xf>
    <xf numFmtId="0" fontId="67" fillId="10" borderId="9" xfId="0" applyFont="1" applyFill="1" applyBorder="1" applyAlignment="1">
      <alignment horizontal="left" vertical="center" indent="1"/>
    </xf>
    <xf numFmtId="0" fontId="67" fillId="19" borderId="0" xfId="0" applyFont="1" applyFill="1" applyAlignment="1">
      <alignment horizontal="left" vertical="center" indent="1"/>
    </xf>
    <xf numFmtId="0" fontId="67" fillId="10" borderId="9" xfId="0" applyFont="1" applyFill="1" applyBorder="1" applyAlignment="1">
      <alignment horizontal="left" vertical="center" wrapText="1" indent="1"/>
    </xf>
    <xf numFmtId="0" fontId="67" fillId="19" borderId="0" xfId="0" applyFont="1" applyFill="1" applyAlignment="1">
      <alignment horizontal="left" vertical="center" wrapText="1" indent="1"/>
    </xf>
    <xf numFmtId="0" fontId="31" fillId="10" borderId="9" xfId="0" applyFont="1" applyFill="1" applyBorder="1" applyAlignment="1">
      <alignment horizontal="left" vertical="top" indent="1"/>
    </xf>
    <xf numFmtId="0" fontId="31" fillId="19" borderId="0" xfId="0" applyFont="1" applyFill="1" applyAlignment="1">
      <alignment horizontal="left" vertical="top" indent="1"/>
    </xf>
    <xf numFmtId="0" fontId="67" fillId="0" borderId="11" xfId="0" applyFont="1" applyBorder="1" applyAlignment="1">
      <alignment horizontal="left" vertical="center" indent="1"/>
    </xf>
    <xf numFmtId="0" fontId="67" fillId="0" borderId="14" xfId="0" applyFont="1" applyBorder="1" applyAlignment="1">
      <alignment horizontal="left" vertical="center" indent="1"/>
    </xf>
    <xf numFmtId="0" fontId="31" fillId="0" borderId="9" xfId="0" applyFont="1" applyBorder="1" applyAlignment="1">
      <alignment horizontal="left" vertical="top" wrapText="1" indent="1"/>
    </xf>
    <xf numFmtId="0" fontId="31" fillId="0" borderId="0" xfId="0" applyFont="1" applyAlignment="1">
      <alignment horizontal="left" vertical="top" wrapText="1" indent="1"/>
    </xf>
    <xf numFmtId="0" fontId="63" fillId="0" borderId="0" xfId="0" applyFont="1" applyAlignment="1">
      <alignment horizontal="center" vertical="center"/>
    </xf>
    <xf numFmtId="0" fontId="67" fillId="10" borderId="9" xfId="0" applyFont="1" applyFill="1" applyBorder="1" applyAlignment="1">
      <alignment horizontal="left" vertical="top" wrapText="1" indent="1"/>
    </xf>
    <xf numFmtId="0" fontId="67" fillId="19" borderId="0" xfId="0" applyFont="1" applyFill="1" applyAlignment="1">
      <alignment horizontal="left" vertical="top" wrapText="1" indent="1"/>
    </xf>
    <xf numFmtId="0" fontId="67" fillId="10" borderId="9" xfId="0" applyFont="1" applyFill="1" applyBorder="1" applyAlignment="1">
      <alignment horizontal="left" vertical="top" indent="1"/>
    </xf>
    <xf numFmtId="0" fontId="67" fillId="19" borderId="0" xfId="0" applyFont="1" applyFill="1" applyAlignment="1">
      <alignment horizontal="left" vertical="top" indent="1"/>
    </xf>
    <xf numFmtId="0" fontId="67" fillId="9" borderId="9" xfId="0" applyFont="1" applyFill="1" applyBorder="1" applyAlignment="1">
      <alignment horizontal="center" vertical="center" wrapText="1"/>
    </xf>
    <xf numFmtId="0" fontId="67" fillId="6" borderId="0" xfId="0" applyFont="1" applyFill="1" applyAlignment="1">
      <alignment horizontal="center" vertical="center" wrapText="1"/>
    </xf>
    <xf numFmtId="0" fontId="67" fillId="0" borderId="11" xfId="0" applyFont="1" applyBorder="1" applyAlignment="1">
      <alignment horizontal="left" vertical="center" wrapText="1" indent="1"/>
    </xf>
    <xf numFmtId="0" fontId="67" fillId="0" borderId="14" xfId="0" applyFont="1" applyBorder="1" applyAlignment="1">
      <alignment horizontal="left" vertical="center" wrapText="1" indent="1"/>
    </xf>
    <xf numFmtId="0" fontId="67" fillId="10" borderId="11" xfId="0" applyFont="1" applyFill="1" applyBorder="1" applyAlignment="1">
      <alignment horizontal="left" vertical="center" indent="1"/>
    </xf>
    <xf numFmtId="0" fontId="67" fillId="19" borderId="14" xfId="0" applyFont="1" applyFill="1" applyBorder="1" applyAlignment="1">
      <alignment horizontal="left" vertical="center" indent="1"/>
    </xf>
    <xf numFmtId="0" fontId="67" fillId="0" borderId="11" xfId="0" applyFont="1" applyBorder="1" applyAlignment="1">
      <alignment horizontal="left" vertical="top" indent="1"/>
    </xf>
    <xf numFmtId="0" fontId="67" fillId="0" borderId="14" xfId="0" applyFont="1" applyBorder="1" applyAlignment="1">
      <alignment horizontal="left" vertical="top" indent="1"/>
    </xf>
    <xf numFmtId="0" fontId="67" fillId="0" borderId="9" xfId="0" applyFont="1" applyBorder="1" applyAlignment="1">
      <alignment horizontal="left" vertical="center"/>
    </xf>
    <xf numFmtId="0" fontId="67" fillId="0" borderId="0" xfId="0" applyFont="1" applyAlignment="1">
      <alignment horizontal="left" vertical="center"/>
    </xf>
    <xf numFmtId="0" fontId="31" fillId="10" borderId="9" xfId="0" applyFont="1" applyFill="1" applyBorder="1" applyAlignment="1">
      <alignment horizontal="left" vertical="center"/>
    </xf>
    <xf numFmtId="0" fontId="31" fillId="19" borderId="0" xfId="0" applyFont="1" applyFill="1" applyAlignment="1">
      <alignment horizontal="left" vertical="center"/>
    </xf>
    <xf numFmtId="0" fontId="48" fillId="2" borderId="7" xfId="0" applyFont="1" applyFill="1" applyBorder="1" applyAlignment="1">
      <alignment horizontal="center" vertical="center"/>
    </xf>
    <xf numFmtId="0" fontId="67" fillId="52" borderId="13" xfId="0" applyFont="1" applyFill="1" applyBorder="1" applyAlignment="1">
      <alignment horizontal="center" vertical="center"/>
    </xf>
    <xf numFmtId="0" fontId="67" fillId="52" borderId="8" xfId="0" applyFont="1" applyFill="1" applyBorder="1" applyAlignment="1">
      <alignment horizontal="center" vertical="center"/>
    </xf>
    <xf numFmtId="0" fontId="67" fillId="9" borderId="0" xfId="0" applyFont="1" applyFill="1" applyAlignment="1">
      <alignment horizontal="center" vertical="center"/>
    </xf>
    <xf numFmtId="0" fontId="67" fillId="6" borderId="10" xfId="0" applyFont="1" applyFill="1" applyBorder="1" applyAlignment="1">
      <alignment horizontal="center" vertical="center"/>
    </xf>
    <xf numFmtId="0" fontId="67" fillId="0" borderId="0" xfId="0" applyFont="1">
      <alignment vertical="center"/>
    </xf>
    <xf numFmtId="0" fontId="67" fillId="10" borderId="11" xfId="0" applyFont="1" applyFill="1" applyBorder="1" applyAlignment="1">
      <alignment horizontal="left" vertical="center"/>
    </xf>
    <xf numFmtId="0" fontId="67" fillId="19" borderId="14" xfId="0" applyFont="1" applyFill="1" applyBorder="1" applyAlignment="1">
      <alignment horizontal="left" vertical="center"/>
    </xf>
    <xf numFmtId="0" fontId="67" fillId="10" borderId="0" xfId="0" applyFont="1" applyFill="1" applyAlignment="1">
      <alignment horizontal="left" vertical="center" indent="1"/>
    </xf>
    <xf numFmtId="0" fontId="67" fillId="19" borderId="10" xfId="0" applyFont="1" applyFill="1" applyBorder="1" applyAlignment="1">
      <alignment horizontal="left" vertical="center" indent="1"/>
    </xf>
    <xf numFmtId="0" fontId="67" fillId="0" borderId="10" xfId="0" applyFont="1" applyBorder="1" applyAlignment="1">
      <alignment horizontal="left" vertical="center" indent="1"/>
    </xf>
    <xf numFmtId="0" fontId="28" fillId="5" borderId="0" xfId="0" applyFont="1" applyFill="1" applyAlignment="1">
      <alignment horizontal="left" vertical="center" indent="1"/>
    </xf>
    <xf numFmtId="0" fontId="67" fillId="60" borderId="10" xfId="0" applyFont="1" applyFill="1" applyBorder="1" applyAlignment="1">
      <alignment horizontal="left" vertical="center" indent="1"/>
    </xf>
    <xf numFmtId="0" fontId="40" fillId="0" borderId="9" xfId="0" applyFont="1" applyBorder="1" applyAlignment="1">
      <alignment horizontal="left" vertical="center"/>
    </xf>
    <xf numFmtId="0" fontId="40" fillId="0" borderId="0" xfId="0" applyFont="1" applyAlignment="1">
      <alignment horizontal="left" vertical="center"/>
    </xf>
    <xf numFmtId="0" fontId="67" fillId="10" borderId="9" xfId="0" applyFont="1" applyFill="1" applyBorder="1" applyAlignment="1">
      <alignment horizontal="left" vertical="center"/>
    </xf>
    <xf numFmtId="0" fontId="67" fillId="19" borderId="0" xfId="0" applyFont="1" applyFill="1" applyAlignment="1">
      <alignment horizontal="left" vertical="center"/>
    </xf>
    <xf numFmtId="0" fontId="67" fillId="0" borderId="12" xfId="0" applyFont="1" applyBorder="1" applyAlignment="1">
      <alignment horizontal="left" vertical="center" indent="1"/>
    </xf>
    <xf numFmtId="0" fontId="67" fillId="0" borderId="11" xfId="0" applyFont="1" applyBorder="1" applyAlignment="1">
      <alignment horizontal="left" vertical="center"/>
    </xf>
    <xf numFmtId="0" fontId="67" fillId="0" borderId="14" xfId="0" applyFont="1" applyBorder="1" applyAlignment="1">
      <alignment horizontal="left" vertical="center"/>
    </xf>
    <xf numFmtId="0" fontId="31" fillId="0" borderId="9" xfId="0" applyFont="1" applyBorder="1" applyAlignment="1">
      <alignment horizontal="left" vertical="center" indent="1"/>
    </xf>
    <xf numFmtId="0" fontId="31" fillId="0" borderId="0" xfId="0" applyFont="1" applyAlignment="1">
      <alignment horizontal="left" vertical="center" indent="1"/>
    </xf>
    <xf numFmtId="0" fontId="31" fillId="0" borderId="9" xfId="0" applyFont="1" applyBorder="1">
      <alignment vertical="center"/>
    </xf>
    <xf numFmtId="0" fontId="31" fillId="0" borderId="0" xfId="0" applyFont="1">
      <alignment vertical="center"/>
    </xf>
    <xf numFmtId="0" fontId="86" fillId="10" borderId="9" xfId="0" applyFont="1" applyFill="1" applyBorder="1">
      <alignment vertical="center"/>
    </xf>
    <xf numFmtId="0" fontId="86" fillId="19" borderId="0" xfId="0" applyFont="1" applyFill="1">
      <alignment vertical="center"/>
    </xf>
    <xf numFmtId="0" fontId="86" fillId="0" borderId="9" xfId="0" applyFont="1" applyBorder="1">
      <alignment vertical="center"/>
    </xf>
    <xf numFmtId="0" fontId="86" fillId="0" borderId="0" xfId="0" applyFont="1">
      <alignment vertical="center"/>
    </xf>
    <xf numFmtId="0" fontId="31" fillId="10" borderId="9" xfId="0" applyFont="1" applyFill="1" applyBorder="1" applyAlignment="1">
      <alignment vertical="center" wrapText="1"/>
    </xf>
    <xf numFmtId="0" fontId="31" fillId="19" borderId="0" xfId="0" applyFont="1" applyFill="1">
      <alignment vertical="center"/>
    </xf>
    <xf numFmtId="0" fontId="86" fillId="0" borderId="9" xfId="0" applyFont="1" applyBorder="1" applyAlignment="1">
      <alignment horizontal="left" vertical="center" indent="1"/>
    </xf>
    <xf numFmtId="0" fontId="86" fillId="0" borderId="0" xfId="0" applyFont="1" applyAlignment="1">
      <alignment horizontal="left" vertical="center" indent="1"/>
    </xf>
    <xf numFmtId="0" fontId="67" fillId="0" borderId="9" xfId="0" applyFont="1" applyBorder="1">
      <alignment vertical="center"/>
    </xf>
    <xf numFmtId="0" fontId="40" fillId="10" borderId="9" xfId="0" applyFont="1" applyFill="1" applyBorder="1" applyAlignment="1">
      <alignment horizontal="left" vertical="center"/>
    </xf>
    <xf numFmtId="0" fontId="40" fillId="19" borderId="0" xfId="0" applyFont="1" applyFill="1" applyAlignment="1">
      <alignment horizontal="left" vertical="center"/>
    </xf>
    <xf numFmtId="0" fontId="31" fillId="10" borderId="9" xfId="0" applyFont="1" applyFill="1" applyBorder="1">
      <alignment vertical="center"/>
    </xf>
    <xf numFmtId="0" fontId="31" fillId="10" borderId="9" xfId="0" applyFont="1" applyFill="1" applyBorder="1" applyAlignment="1">
      <alignment horizontal="left" vertical="center" indent="1"/>
    </xf>
    <xf numFmtId="0" fontId="31" fillId="19" borderId="0" xfId="0" applyFont="1" applyFill="1" applyAlignment="1">
      <alignment horizontal="left" vertical="center" indent="1"/>
    </xf>
    <xf numFmtId="0" fontId="67" fillId="10" borderId="9" xfId="0" applyFont="1" applyFill="1" applyBorder="1">
      <alignment vertical="center"/>
    </xf>
    <xf numFmtId="0" fontId="67" fillId="19" borderId="0" xfId="0" applyFont="1" applyFill="1">
      <alignment vertical="center"/>
    </xf>
    <xf numFmtId="0" fontId="31" fillId="0" borderId="11" xfId="0" applyFont="1" applyBorder="1">
      <alignment vertical="center"/>
    </xf>
    <xf numFmtId="0" fontId="31" fillId="0" borderId="14" xfId="0" applyFont="1" applyBorder="1">
      <alignment vertical="center"/>
    </xf>
    <xf numFmtId="0" fontId="86" fillId="0" borderId="9" xfId="0" applyFont="1" applyBorder="1" applyAlignment="1">
      <alignment horizontal="left" vertical="center"/>
    </xf>
    <xf numFmtId="0" fontId="86" fillId="0" borderId="0" xfId="0" applyFont="1" applyAlignment="1">
      <alignment horizontal="left" vertical="center"/>
    </xf>
    <xf numFmtId="0" fontId="40" fillId="10" borderId="9" xfId="0" applyFont="1" applyFill="1" applyBorder="1">
      <alignment vertical="center"/>
    </xf>
    <xf numFmtId="0" fontId="40" fillId="19" borderId="0" xfId="0" applyFont="1" applyFill="1">
      <alignment vertical="center"/>
    </xf>
    <xf numFmtId="0" fontId="40" fillId="0" borderId="9" xfId="0" applyFont="1" applyBorder="1">
      <alignment vertical="center"/>
    </xf>
    <xf numFmtId="0" fontId="40" fillId="0" borderId="0" xfId="0" applyFont="1">
      <alignment vertical="center"/>
    </xf>
    <xf numFmtId="0" fontId="67" fillId="10" borderId="11" xfId="0" applyFont="1" applyFill="1" applyBorder="1">
      <alignment vertical="center"/>
    </xf>
    <xf numFmtId="0" fontId="67" fillId="19" borderId="14" xfId="0" applyFont="1" applyFill="1" applyBorder="1">
      <alignment vertical="center"/>
    </xf>
    <xf numFmtId="0" fontId="84" fillId="2" borderId="9" xfId="0" applyFont="1" applyFill="1" applyBorder="1" applyAlignment="1">
      <alignment horizontal="center" vertical="center"/>
    </xf>
    <xf numFmtId="0" fontId="85" fillId="52" borderId="0" xfId="0" applyFont="1" applyFill="1" applyAlignment="1">
      <alignment horizontal="center" vertical="center"/>
    </xf>
    <xf numFmtId="0" fontId="85" fillId="52" borderId="10" xfId="0" applyFont="1" applyFill="1" applyBorder="1" applyAlignment="1">
      <alignment horizontal="center" vertical="center"/>
    </xf>
    <xf numFmtId="0" fontId="86" fillId="10" borderId="9" xfId="0" applyFont="1" applyFill="1" applyBorder="1" applyAlignment="1">
      <alignment horizontal="left" vertical="center" indent="1"/>
    </xf>
    <xf numFmtId="0" fontId="86" fillId="19" borderId="0" xfId="0" applyFont="1" applyFill="1" applyAlignment="1">
      <alignment horizontal="left" vertical="center" indent="1"/>
    </xf>
    <xf numFmtId="0" fontId="67" fillId="0" borderId="11" xfId="0" applyFont="1" applyBorder="1">
      <alignment vertical="center"/>
    </xf>
    <xf numFmtId="0" fontId="67" fillId="0" borderId="14" xfId="0" applyFont="1" applyBorder="1">
      <alignment vertical="center"/>
    </xf>
    <xf numFmtId="0" fontId="28" fillId="5" borderId="9" xfId="0" applyFont="1" applyFill="1" applyBorder="1">
      <alignment vertical="center"/>
    </xf>
    <xf numFmtId="0" fontId="67" fillId="60" borderId="0" xfId="0" applyFont="1" applyFill="1">
      <alignment vertical="center"/>
    </xf>
    <xf numFmtId="0" fontId="27" fillId="5" borderId="9" xfId="0" applyFont="1" applyFill="1" applyBorder="1">
      <alignment vertical="center"/>
    </xf>
    <xf numFmtId="0" fontId="31" fillId="60" borderId="0" xfId="0" applyFont="1" applyFill="1">
      <alignment vertical="center"/>
    </xf>
    <xf numFmtId="0" fontId="39" fillId="5" borderId="9" xfId="0" applyFont="1" applyFill="1" applyBorder="1">
      <alignment vertical="center"/>
    </xf>
    <xf numFmtId="0" fontId="86" fillId="60" borderId="0" xfId="0" applyFont="1" applyFill="1">
      <alignment vertical="center"/>
    </xf>
    <xf numFmtId="0" fontId="67" fillId="10" borderId="11" xfId="0" applyFont="1" applyFill="1" applyBorder="1" applyAlignment="1">
      <alignment horizontal="left" vertical="center" wrapText="1" indent="1"/>
    </xf>
    <xf numFmtId="0" fontId="67" fillId="19" borderId="14" xfId="0" applyFont="1" applyFill="1" applyBorder="1" applyAlignment="1">
      <alignment horizontal="left" vertical="center" wrapText="1" indent="1"/>
    </xf>
    <xf numFmtId="0" fontId="31" fillId="0" borderId="11" xfId="0" applyFont="1" applyBorder="1" applyAlignment="1">
      <alignment horizontal="left" vertical="center" indent="1"/>
    </xf>
    <xf numFmtId="0" fontId="31" fillId="0" borderId="14" xfId="0" applyFont="1" applyBorder="1" applyAlignment="1">
      <alignment horizontal="left" vertical="center" indent="1"/>
    </xf>
    <xf numFmtId="0" fontId="40" fillId="0" borderId="9" xfId="0" applyFont="1" applyBorder="1" applyAlignment="1">
      <alignment horizontal="left" vertical="center" wrapText="1"/>
    </xf>
    <xf numFmtId="0" fontId="31" fillId="0" borderId="9" xfId="0" applyFont="1" applyBorder="1" applyAlignment="1">
      <alignment horizontal="left" vertical="center"/>
    </xf>
    <xf numFmtId="0" fontId="31" fillId="0" borderId="0" xfId="0" applyFont="1" applyAlignment="1">
      <alignment horizontal="left" vertical="center"/>
    </xf>
    <xf numFmtId="0" fontId="31" fillId="0" borderId="10" xfId="0" applyFont="1" applyBorder="1" applyAlignment="1">
      <alignment horizontal="center" vertical="center"/>
    </xf>
    <xf numFmtId="0" fontId="67" fillId="0" borderId="10" xfId="0" applyFont="1" applyBorder="1" applyAlignment="1">
      <alignment horizontal="center" vertical="center"/>
    </xf>
    <xf numFmtId="0" fontId="14" fillId="0" borderId="0" xfId="0" applyFont="1" applyAlignment="1">
      <alignment horizontal="center" vertical="center" wrapText="1"/>
    </xf>
    <xf numFmtId="0" fontId="67" fillId="0" borderId="9" xfId="0" applyFont="1" applyBorder="1" applyAlignment="1">
      <alignment horizontal="center" vertical="center" wrapText="1"/>
    </xf>
    <xf numFmtId="0" fontId="67" fillId="0" borderId="0" xfId="0" applyFont="1" applyAlignment="1">
      <alignment horizontal="center" vertical="center" wrapText="1"/>
    </xf>
    <xf numFmtId="0" fontId="67" fillId="0" borderId="10" xfId="0" applyFont="1" applyBorder="1" applyAlignment="1">
      <alignment horizontal="center" vertical="center" wrapText="1"/>
    </xf>
    <xf numFmtId="0" fontId="67" fillId="0" borderId="11" xfId="0" applyFont="1" applyBorder="1" applyAlignment="1">
      <alignment horizontal="center" vertical="center" wrapText="1"/>
    </xf>
    <xf numFmtId="0" fontId="67" fillId="0" borderId="14" xfId="0" applyFont="1" applyBorder="1" applyAlignment="1">
      <alignment horizontal="center" vertical="center" wrapText="1"/>
    </xf>
    <xf numFmtId="0" fontId="67" fillId="0" borderId="12" xfId="0" applyFont="1" applyBorder="1" applyAlignment="1">
      <alignment horizontal="center" vertical="center" wrapText="1"/>
    </xf>
    <xf numFmtId="0" fontId="31" fillId="10" borderId="11" xfId="0" applyFont="1" applyFill="1" applyBorder="1" applyAlignment="1">
      <alignment horizontal="left" vertical="center" indent="1"/>
    </xf>
    <xf numFmtId="0" fontId="31" fillId="19" borderId="14" xfId="0" applyFont="1" applyFill="1" applyBorder="1" applyAlignment="1">
      <alignment horizontal="left" vertical="center" indent="1"/>
    </xf>
    <xf numFmtId="49" fontId="38" fillId="2" borderId="0" xfId="0" applyNumberFormat="1" applyFont="1" applyFill="1" applyAlignment="1">
      <alignment horizontal="center" vertical="center"/>
    </xf>
    <xf numFmtId="49" fontId="38" fillId="3" borderId="0" xfId="0" applyNumberFormat="1" applyFont="1" applyFill="1" applyAlignment="1">
      <alignment horizontal="center" vertical="center"/>
    </xf>
    <xf numFmtId="0" fontId="28" fillId="45" borderId="5" xfId="4" applyFill="1" applyBorder="1" applyAlignment="1">
      <alignment horizontal="center" vertical="center"/>
      <protection locked="0"/>
    </xf>
    <xf numFmtId="0" fontId="28" fillId="45" borderId="43" xfId="4" applyFill="1" applyBorder="1" applyAlignment="1">
      <alignment horizontal="center" vertical="center"/>
      <protection locked="0"/>
    </xf>
    <xf numFmtId="0" fontId="28" fillId="45" borderId="4" xfId="4" applyFill="1" applyBorder="1" applyAlignment="1">
      <alignment horizontal="center" vertical="center"/>
      <protection locked="0"/>
    </xf>
    <xf numFmtId="49" fontId="49" fillId="2" borderId="7" xfId="4" applyNumberFormat="1" applyFont="1" applyFill="1" applyBorder="1" applyAlignment="1">
      <alignment horizontal="center" vertical="center"/>
      <protection locked="0"/>
    </xf>
    <xf numFmtId="49" fontId="49" fillId="31" borderId="13" xfId="4" applyNumberFormat="1" applyFont="1" applyFill="1" applyBorder="1" applyAlignment="1">
      <alignment horizontal="center" vertical="center"/>
      <protection locked="0"/>
    </xf>
    <xf numFmtId="49" fontId="49" fillId="31" borderId="8" xfId="4" applyNumberFormat="1" applyFont="1" applyFill="1" applyBorder="1" applyAlignment="1">
      <alignment horizontal="center" vertical="center"/>
      <protection locked="0"/>
    </xf>
    <xf numFmtId="49" fontId="10" fillId="0" borderId="9" xfId="4" applyNumberFormat="1" applyFont="1" applyBorder="1" applyAlignment="1">
      <alignment horizontal="center" vertical="center" wrapText="1"/>
      <protection locked="0"/>
    </xf>
    <xf numFmtId="49" fontId="10" fillId="0" borderId="0" xfId="4" applyNumberFormat="1" applyFont="1" applyAlignment="1">
      <alignment horizontal="center" vertical="center" wrapText="1"/>
      <protection locked="0"/>
    </xf>
    <xf numFmtId="49" fontId="10" fillId="0" borderId="10" xfId="4" applyNumberFormat="1" applyFont="1" applyBorder="1" applyAlignment="1">
      <alignment horizontal="center" vertical="center" wrapText="1"/>
      <protection locked="0"/>
    </xf>
    <xf numFmtId="0" fontId="4" fillId="2" borderId="7" xfId="4" applyFont="1" applyFill="1" applyBorder="1" applyAlignment="1">
      <alignment horizontal="center" vertical="center"/>
      <protection locked="0"/>
    </xf>
    <xf numFmtId="0" fontId="4" fillId="31" borderId="13" xfId="4" applyFont="1" applyFill="1" applyBorder="1" applyAlignment="1">
      <alignment horizontal="center" vertical="center"/>
      <protection locked="0"/>
    </xf>
    <xf numFmtId="0" fontId="4" fillId="31" borderId="8" xfId="4" applyFont="1" applyFill="1" applyBorder="1" applyAlignment="1">
      <alignment horizontal="center" vertical="center"/>
      <protection locked="0"/>
    </xf>
    <xf numFmtId="49" fontId="12" fillId="0" borderId="9" xfId="4" applyNumberFormat="1" applyFont="1" applyBorder="1" applyAlignment="1">
      <alignment horizontal="center" vertical="center" wrapText="1"/>
      <protection locked="0"/>
    </xf>
    <xf numFmtId="49" fontId="12" fillId="0" borderId="0" xfId="4" applyNumberFormat="1" applyFont="1" applyAlignment="1">
      <alignment horizontal="center" vertical="center" wrapText="1"/>
      <protection locked="0"/>
    </xf>
    <xf numFmtId="49" fontId="12" fillId="0" borderId="10" xfId="4" applyNumberFormat="1" applyFont="1" applyBorder="1" applyAlignment="1">
      <alignment horizontal="center" vertical="center" wrapText="1"/>
      <protection locked="0"/>
    </xf>
    <xf numFmtId="0" fontId="1" fillId="9" borderId="9" xfId="4" applyFont="1" applyFill="1" applyBorder="1" applyAlignment="1">
      <alignment horizontal="center" vertical="center"/>
      <protection locked="0"/>
    </xf>
    <xf numFmtId="0" fontId="10" fillId="52" borderId="0" xfId="4" applyFont="1" applyFill="1" applyAlignment="1">
      <alignment horizontal="center" vertical="center"/>
      <protection locked="0"/>
    </xf>
    <xf numFmtId="0" fontId="1" fillId="9" borderId="0" xfId="4" applyFont="1" applyFill="1" applyAlignment="1">
      <alignment horizontal="center" vertical="center"/>
      <protection locked="0"/>
    </xf>
    <xf numFmtId="0" fontId="10" fillId="52" borderId="10" xfId="4" applyFont="1" applyFill="1" applyBorder="1" applyAlignment="1">
      <alignment horizontal="center" vertical="center"/>
      <protection locked="0"/>
    </xf>
    <xf numFmtId="0" fontId="28" fillId="0" borderId="2" xfId="4" applyBorder="1" applyAlignment="1">
      <alignment horizontal="left" vertical="center" wrapText="1"/>
      <protection locked="0"/>
    </xf>
    <xf numFmtId="0" fontId="28" fillId="0" borderId="61" xfId="4" applyBorder="1" applyAlignment="1">
      <alignment horizontal="left" vertical="center" wrapText="1"/>
      <protection locked="0"/>
    </xf>
    <xf numFmtId="0" fontId="28" fillId="0" borderId="3" xfId="4" applyBorder="1" applyAlignment="1">
      <alignment horizontal="left" vertical="center" wrapText="1"/>
      <protection locked="0"/>
    </xf>
    <xf numFmtId="0" fontId="28" fillId="41" borderId="2" xfId="4" applyFill="1" applyBorder="1" applyAlignment="1">
      <alignment horizontal="left" vertical="center" wrapText="1"/>
      <protection locked="0"/>
    </xf>
    <xf numFmtId="0" fontId="28" fillId="41" borderId="61" xfId="4" applyFill="1" applyBorder="1" applyAlignment="1">
      <alignment horizontal="left" vertical="center" wrapText="1"/>
      <protection locked="0"/>
    </xf>
    <xf numFmtId="0" fontId="28" fillId="41" borderId="3" xfId="4" applyFill="1" applyBorder="1" applyAlignment="1">
      <alignment horizontal="left" vertical="center" wrapText="1"/>
      <protection locked="0"/>
    </xf>
    <xf numFmtId="0" fontId="28" fillId="10" borderId="6" xfId="4" applyFill="1" applyBorder="1" applyAlignment="1">
      <alignment horizontal="center" vertical="center" wrapText="1"/>
      <protection locked="0"/>
    </xf>
    <xf numFmtId="0" fontId="28" fillId="32" borderId="35" xfId="4" applyFill="1" applyBorder="1" applyAlignment="1">
      <alignment horizontal="center" vertical="center" wrapText="1"/>
      <protection locked="0"/>
    </xf>
    <xf numFmtId="0" fontId="27" fillId="10" borderId="6" xfId="4" applyFont="1" applyFill="1" applyBorder="1" applyAlignment="1">
      <alignment horizontal="center" vertical="center" wrapText="1"/>
      <protection locked="0"/>
    </xf>
    <xf numFmtId="0" fontId="27" fillId="32" borderId="61" xfId="4" applyFont="1" applyFill="1" applyBorder="1" applyAlignment="1">
      <alignment horizontal="center" vertical="center" wrapText="1"/>
      <protection locked="0"/>
    </xf>
    <xf numFmtId="0" fontId="27" fillId="32" borderId="3" xfId="4" applyFont="1" applyFill="1" applyBorder="1" applyAlignment="1">
      <alignment horizontal="center" vertical="center" wrapText="1"/>
      <protection locked="0"/>
    </xf>
    <xf numFmtId="0" fontId="28" fillId="48" borderId="35" xfId="4" applyFill="1" applyBorder="1" applyAlignment="1">
      <alignment horizontal="left" vertical="center" wrapText="1"/>
      <protection locked="0"/>
    </xf>
    <xf numFmtId="0" fontId="28" fillId="48" borderId="3" xfId="4" applyFill="1" applyBorder="1" applyAlignment="1">
      <alignment horizontal="left" vertical="center" wrapText="1"/>
      <protection locked="0"/>
    </xf>
    <xf numFmtId="0" fontId="28" fillId="49" borderId="2" xfId="4" applyFill="1" applyBorder="1" applyAlignment="1">
      <alignment horizontal="center" vertical="center" wrapText="1"/>
      <protection locked="0"/>
    </xf>
    <xf numFmtId="0" fontId="28" fillId="49" borderId="61" xfId="4" applyFill="1" applyBorder="1" applyAlignment="1">
      <alignment horizontal="center" vertical="center" wrapText="1"/>
      <protection locked="0"/>
    </xf>
    <xf numFmtId="0" fontId="28" fillId="49" borderId="3" xfId="4" applyFill="1" applyBorder="1" applyAlignment="1">
      <alignment horizontal="center" vertical="center" wrapText="1"/>
      <protection locked="0"/>
    </xf>
    <xf numFmtId="0" fontId="67" fillId="50" borderId="3" xfId="4" applyFont="1" applyFill="1" applyBorder="1" applyAlignment="1">
      <alignment horizontal="center" vertical="center" wrapText="1"/>
      <protection locked="0"/>
    </xf>
    <xf numFmtId="0" fontId="28" fillId="51" borderId="1" xfId="4" applyFill="1" applyBorder="1" applyAlignment="1">
      <alignment horizontal="center" vertical="center" wrapText="1"/>
      <protection locked="0"/>
    </xf>
    <xf numFmtId="0" fontId="67" fillId="50" borderId="1" xfId="4" applyFont="1" applyFill="1" applyBorder="1" applyAlignment="1">
      <alignment horizontal="center" vertical="center" wrapText="1"/>
      <protection locked="0"/>
    </xf>
    <xf numFmtId="0" fontId="28" fillId="5" borderId="38" xfId="4" applyFill="1" applyBorder="1" applyAlignment="1">
      <alignment horizontal="center" vertical="center" wrapText="1"/>
      <protection locked="0"/>
    </xf>
    <xf numFmtId="0" fontId="28" fillId="5" borderId="6" xfId="4" applyFill="1" applyBorder="1" applyAlignment="1">
      <alignment horizontal="center" vertical="center" wrapText="1"/>
      <protection locked="0"/>
    </xf>
    <xf numFmtId="0" fontId="28" fillId="5" borderId="39" xfId="4" applyFill="1" applyBorder="1" applyAlignment="1">
      <alignment horizontal="center" vertical="center" wrapText="1"/>
      <protection locked="0"/>
    </xf>
    <xf numFmtId="0" fontId="28" fillId="5" borderId="35" xfId="4" applyFill="1" applyBorder="1" applyAlignment="1">
      <alignment horizontal="center" vertical="center" wrapText="1"/>
      <protection locked="0"/>
    </xf>
    <xf numFmtId="0" fontId="12" fillId="37" borderId="31" xfId="4" applyFont="1" applyFill="1" applyBorder="1" applyAlignment="1">
      <alignment horizontal="center" vertical="center" wrapText="1"/>
      <protection locked="0"/>
    </xf>
    <xf numFmtId="0" fontId="12" fillId="37" borderId="6" xfId="4" applyFont="1" applyFill="1" applyBorder="1" applyAlignment="1">
      <alignment horizontal="center" vertical="center" wrapText="1"/>
      <protection locked="0"/>
    </xf>
    <xf numFmtId="0" fontId="12" fillId="37" borderId="0" xfId="4" applyFont="1" applyFill="1" applyAlignment="1">
      <alignment horizontal="center" vertical="center" wrapText="1"/>
      <protection locked="0"/>
    </xf>
    <xf numFmtId="0" fontId="12" fillId="37" borderId="35" xfId="4" applyFont="1" applyFill="1" applyBorder="1" applyAlignment="1">
      <alignment horizontal="center" vertical="center" wrapText="1"/>
      <protection locked="0"/>
    </xf>
    <xf numFmtId="0" fontId="28" fillId="45" borderId="39" xfId="4" applyFill="1" applyBorder="1" applyAlignment="1">
      <alignment horizontal="center" vertical="center" wrapText="1"/>
      <protection locked="0"/>
    </xf>
    <xf numFmtId="0" fontId="28" fillId="45" borderId="35" xfId="4" applyFill="1" applyBorder="1" applyAlignment="1">
      <alignment horizontal="center" vertical="center" wrapText="1"/>
      <protection locked="0"/>
    </xf>
    <xf numFmtId="0" fontId="28" fillId="45" borderId="40" xfId="4" applyFill="1" applyBorder="1" applyAlignment="1">
      <alignment horizontal="center" vertical="center" wrapText="1"/>
      <protection locked="0"/>
    </xf>
    <xf numFmtId="0" fontId="28" fillId="45" borderId="36" xfId="4" applyFill="1" applyBorder="1" applyAlignment="1">
      <alignment horizontal="center" vertical="center" wrapText="1"/>
      <protection locked="0"/>
    </xf>
    <xf numFmtId="0" fontId="28" fillId="44" borderId="3" xfId="4" applyFill="1" applyBorder="1" applyAlignment="1">
      <alignment horizontal="center" vertical="center" wrapText="1"/>
      <protection locked="0"/>
    </xf>
    <xf numFmtId="0" fontId="28" fillId="44" borderId="5" xfId="4" applyFill="1" applyBorder="1" applyAlignment="1">
      <alignment horizontal="center" vertical="center" wrapText="1"/>
      <protection locked="0"/>
    </xf>
    <xf numFmtId="0" fontId="28" fillId="44" borderId="1" xfId="4" applyFill="1" applyBorder="1" applyAlignment="1">
      <alignment horizontal="center" vertical="center" wrapText="1"/>
      <protection locked="0"/>
    </xf>
    <xf numFmtId="0" fontId="28" fillId="44" borderId="38" xfId="4" applyFill="1" applyBorder="1" applyAlignment="1">
      <alignment horizontal="center" vertical="center" wrapText="1"/>
      <protection locked="0"/>
    </xf>
    <xf numFmtId="0" fontId="53" fillId="0" borderId="38" xfId="4" applyFont="1" applyBorder="1" applyAlignment="1">
      <alignment horizontal="center" vertical="center" wrapText="1"/>
      <protection locked="0"/>
    </xf>
    <xf numFmtId="0" fontId="53" fillId="0" borderId="6" xfId="4" applyFont="1" applyBorder="1" applyAlignment="1">
      <alignment horizontal="center" vertical="center" wrapText="1"/>
      <protection locked="0"/>
    </xf>
    <xf numFmtId="0" fontId="53" fillId="0" borderId="39" xfId="4" applyFont="1" applyBorder="1" applyAlignment="1">
      <alignment horizontal="center" vertical="center" wrapText="1"/>
      <protection locked="0"/>
    </xf>
    <xf numFmtId="0" fontId="53" fillId="0" borderId="35" xfId="4" applyFont="1" applyBorder="1" applyAlignment="1">
      <alignment horizontal="center" vertical="center" wrapText="1"/>
      <protection locked="0"/>
    </xf>
    <xf numFmtId="0" fontId="53" fillId="0" borderId="40" xfId="4" applyFont="1" applyBorder="1" applyAlignment="1">
      <alignment horizontal="center" vertical="center" wrapText="1"/>
      <protection locked="0"/>
    </xf>
    <xf numFmtId="0" fontId="53" fillId="0" borderId="36" xfId="4" applyFont="1" applyBorder="1" applyAlignment="1">
      <alignment horizontal="center" vertical="center" wrapText="1"/>
      <protection locked="0"/>
    </xf>
    <xf numFmtId="49" fontId="10" fillId="0" borderId="30" xfId="4" applyNumberFormat="1" applyFont="1" applyBorder="1" applyAlignment="1">
      <alignment horizontal="center" vertical="center"/>
      <protection locked="0"/>
    </xf>
    <xf numFmtId="49" fontId="10" fillId="0" borderId="31" xfId="4" applyNumberFormat="1" applyFont="1" applyBorder="1" applyAlignment="1">
      <alignment horizontal="center" vertical="center"/>
      <protection locked="0"/>
    </xf>
    <xf numFmtId="49" fontId="10" fillId="0" borderId="33" xfId="4" applyNumberFormat="1" applyFont="1" applyBorder="1" applyAlignment="1">
      <alignment horizontal="center" vertical="center"/>
      <protection locked="0"/>
    </xf>
    <xf numFmtId="49" fontId="12" fillId="0" borderId="9" xfId="4" applyNumberFormat="1" applyFont="1" applyBorder="1" applyAlignment="1">
      <alignment horizontal="center" vertical="center"/>
      <protection locked="0"/>
    </xf>
    <xf numFmtId="49" fontId="12" fillId="0" borderId="0" xfId="4" applyNumberFormat="1" applyFont="1" applyAlignment="1">
      <alignment horizontal="center" vertical="center"/>
      <protection locked="0"/>
    </xf>
    <xf numFmtId="49" fontId="12" fillId="0" borderId="10" xfId="4" applyNumberFormat="1" applyFont="1" applyBorder="1" applyAlignment="1">
      <alignment horizontal="center" vertical="center"/>
      <protection locked="0"/>
    </xf>
    <xf numFmtId="49" fontId="12" fillId="0" borderId="30" xfId="4" applyNumberFormat="1" applyFont="1" applyBorder="1" applyAlignment="1">
      <alignment horizontal="center" vertical="center"/>
      <protection locked="0"/>
    </xf>
    <xf numFmtId="49" fontId="12" fillId="0" borderId="31" xfId="4" applyNumberFormat="1" applyFont="1" applyBorder="1" applyAlignment="1">
      <alignment horizontal="center" vertical="center"/>
      <protection locked="0"/>
    </xf>
    <xf numFmtId="49" fontId="12" fillId="0" borderId="33" xfId="4" applyNumberFormat="1" applyFont="1" applyBorder="1" applyAlignment="1">
      <alignment horizontal="center" vertical="center"/>
      <protection locked="0"/>
    </xf>
    <xf numFmtId="49" fontId="12" fillId="0" borderId="42" xfId="4" applyNumberFormat="1" applyFont="1" applyBorder="1" applyAlignment="1">
      <alignment horizontal="center" vertical="center"/>
      <protection locked="0"/>
    </xf>
    <xf numFmtId="49" fontId="12" fillId="0" borderId="43" xfId="4" applyNumberFormat="1" applyFont="1" applyBorder="1" applyAlignment="1">
      <alignment horizontal="center" vertical="center"/>
      <protection locked="0"/>
    </xf>
    <xf numFmtId="49" fontId="12" fillId="0" borderId="44" xfId="4" applyNumberFormat="1" applyFont="1" applyBorder="1" applyAlignment="1">
      <alignment horizontal="center" vertical="center"/>
      <protection locked="0"/>
    </xf>
    <xf numFmtId="0" fontId="12" fillId="0" borderId="1" xfId="4" applyFont="1" applyBorder="1" applyAlignment="1">
      <alignment horizontal="center" vertical="center"/>
      <protection locked="0"/>
    </xf>
    <xf numFmtId="0" fontId="12" fillId="0" borderId="70" xfId="4" applyFont="1" applyBorder="1" applyAlignment="1">
      <alignment horizontal="center" vertical="center"/>
      <protection locked="0"/>
    </xf>
    <xf numFmtId="49" fontId="12" fillId="0" borderId="11" xfId="4" applyNumberFormat="1" applyFont="1" applyBorder="1" applyAlignment="1">
      <alignment horizontal="center" vertical="center"/>
      <protection locked="0"/>
    </xf>
    <xf numFmtId="49" fontId="12" fillId="0" borderId="14" xfId="4" applyNumberFormat="1" applyFont="1" applyBorder="1" applyAlignment="1">
      <alignment horizontal="center" vertical="center"/>
      <protection locked="0"/>
    </xf>
    <xf numFmtId="49" fontId="12" fillId="0" borderId="12" xfId="4" applyNumberFormat="1" applyFont="1" applyBorder="1" applyAlignment="1">
      <alignment horizontal="center" vertical="center"/>
      <protection locked="0"/>
    </xf>
    <xf numFmtId="0" fontId="68" fillId="53" borderId="13" xfId="4" applyFont="1" applyFill="1" applyBorder="1" applyAlignment="1">
      <alignment horizontal="center" vertical="center"/>
      <protection locked="0"/>
    </xf>
    <xf numFmtId="0" fontId="68" fillId="53" borderId="8" xfId="4" applyFont="1" applyFill="1" applyBorder="1" applyAlignment="1">
      <alignment horizontal="center" vertical="center"/>
      <protection locked="0"/>
    </xf>
    <xf numFmtId="49" fontId="58" fillId="10" borderId="7" xfId="4" applyNumberFormat="1" applyFont="1" applyFill="1" applyBorder="1" applyAlignment="1">
      <alignment horizontal="center" vertical="center"/>
      <protection locked="0"/>
    </xf>
    <xf numFmtId="49" fontId="58" fillId="32" borderId="8" xfId="4" applyNumberFormat="1" applyFont="1" applyFill="1" applyBorder="1" applyAlignment="1">
      <alignment horizontal="center" vertical="center"/>
      <protection locked="0"/>
    </xf>
    <xf numFmtId="49" fontId="58" fillId="32" borderId="13" xfId="4" applyNumberFormat="1" applyFont="1" applyFill="1" applyBorder="1" applyAlignment="1">
      <alignment horizontal="center" vertical="center"/>
      <protection locked="0"/>
    </xf>
    <xf numFmtId="0" fontId="58" fillId="10" borderId="7" xfId="4" applyFont="1" applyFill="1" applyBorder="1" applyAlignment="1">
      <alignment horizontal="center" vertical="center"/>
      <protection locked="0"/>
    </xf>
    <xf numFmtId="0" fontId="58" fillId="32" borderId="13" xfId="4" applyFont="1" applyFill="1" applyBorder="1" applyAlignment="1">
      <alignment horizontal="center" vertical="center"/>
      <protection locked="0"/>
    </xf>
    <xf numFmtId="0" fontId="58" fillId="32" borderId="8" xfId="4" applyFont="1" applyFill="1" applyBorder="1" applyAlignment="1">
      <alignment horizontal="center" vertical="center"/>
      <protection locked="0"/>
    </xf>
    <xf numFmtId="0" fontId="10" fillId="0" borderId="9" xfId="4" applyFont="1" applyBorder="1" applyAlignment="1">
      <alignment horizontal="center" vertical="center" wrapText="1"/>
      <protection locked="0"/>
    </xf>
    <xf numFmtId="0" fontId="10" fillId="0" borderId="0" xfId="4" applyFont="1" applyAlignment="1">
      <alignment horizontal="center" vertical="center" wrapText="1"/>
      <protection locked="0"/>
    </xf>
    <xf numFmtId="0" fontId="10" fillId="0" borderId="10" xfId="4" applyFont="1" applyBorder="1" applyAlignment="1">
      <alignment horizontal="center" vertical="center" wrapText="1"/>
      <protection locked="0"/>
    </xf>
    <xf numFmtId="0" fontId="10" fillId="0" borderId="9" xfId="4" applyFont="1" applyBorder="1" applyAlignment="1">
      <alignment horizontal="center" vertical="center"/>
      <protection locked="0"/>
    </xf>
    <xf numFmtId="0" fontId="10" fillId="0" borderId="0" xfId="4" applyFont="1" applyAlignment="1">
      <alignment horizontal="center" vertical="center"/>
      <protection locked="0"/>
    </xf>
    <xf numFmtId="49" fontId="10" fillId="0" borderId="0" xfId="4" applyNumberFormat="1" applyFont="1" applyAlignment="1">
      <alignment horizontal="center" vertical="center"/>
      <protection locked="0"/>
    </xf>
    <xf numFmtId="49" fontId="10" fillId="0" borderId="10" xfId="4" applyNumberFormat="1" applyFont="1" applyBorder="1" applyAlignment="1">
      <alignment horizontal="center" vertical="center"/>
      <protection locked="0"/>
    </xf>
    <xf numFmtId="49" fontId="58" fillId="32" borderId="9" xfId="4" applyNumberFormat="1" applyFont="1" applyFill="1" applyBorder="1" applyAlignment="1">
      <alignment horizontal="center" vertical="center"/>
      <protection locked="0"/>
    </xf>
    <xf numFmtId="49" fontId="58" fillId="32" borderId="10" xfId="4" applyNumberFormat="1" applyFont="1" applyFill="1" applyBorder="1" applyAlignment="1">
      <alignment horizontal="center" vertical="center"/>
      <protection locked="0"/>
    </xf>
    <xf numFmtId="49" fontId="10" fillId="10" borderId="0" xfId="4" applyNumberFormat="1" applyFont="1" applyFill="1" applyAlignment="1">
      <alignment horizontal="center" vertical="center"/>
      <protection locked="0"/>
    </xf>
    <xf numFmtId="49" fontId="10" fillId="32" borderId="0" xfId="4" applyNumberFormat="1" applyFont="1" applyFill="1" applyAlignment="1">
      <alignment horizontal="center" vertical="center"/>
      <protection locked="0"/>
    </xf>
    <xf numFmtId="49" fontId="10" fillId="32" borderId="10" xfId="4" applyNumberFormat="1" applyFont="1" applyFill="1" applyBorder="1" applyAlignment="1">
      <alignment horizontal="center" vertical="center"/>
      <protection locked="0"/>
    </xf>
    <xf numFmtId="49" fontId="10" fillId="32" borderId="14" xfId="4" applyNumberFormat="1" applyFont="1" applyFill="1" applyBorder="1" applyAlignment="1">
      <alignment horizontal="center" vertical="center"/>
      <protection locked="0"/>
    </xf>
    <xf numFmtId="49" fontId="10" fillId="32" borderId="12" xfId="4" applyNumberFormat="1" applyFont="1" applyFill="1" applyBorder="1" applyAlignment="1">
      <alignment horizontal="center" vertical="center"/>
      <protection locked="0"/>
    </xf>
    <xf numFmtId="49" fontId="49" fillId="2" borderId="13" xfId="4" applyNumberFormat="1" applyFont="1" applyFill="1" applyBorder="1" applyAlignment="1">
      <alignment horizontal="center" vertical="center"/>
      <protection locked="0"/>
    </xf>
    <xf numFmtId="49" fontId="49" fillId="47" borderId="13" xfId="4" applyNumberFormat="1" applyFont="1" applyFill="1" applyBorder="1" applyAlignment="1">
      <alignment horizontal="center" vertical="center"/>
      <protection locked="0"/>
    </xf>
    <xf numFmtId="49" fontId="49" fillId="47" borderId="0" xfId="4" applyNumberFormat="1" applyFont="1" applyFill="1" applyAlignment="1">
      <alignment horizontal="center" vertical="center"/>
      <protection locked="0"/>
    </xf>
    <xf numFmtId="49" fontId="10" fillId="0" borderId="9" xfId="4" applyNumberFormat="1" applyFont="1" applyBorder="1" applyAlignment="1">
      <alignment horizontal="left" vertical="center" wrapText="1"/>
      <protection locked="0"/>
    </xf>
    <xf numFmtId="49" fontId="10" fillId="0" borderId="10" xfId="4" applyNumberFormat="1" applyFont="1" applyBorder="1" applyAlignment="1">
      <alignment horizontal="left" vertical="center" wrapText="1"/>
      <protection locked="0"/>
    </xf>
    <xf numFmtId="49" fontId="10" fillId="0" borderId="11" xfId="4" applyNumberFormat="1" applyFont="1" applyBorder="1" applyAlignment="1">
      <alignment horizontal="left" vertical="center" wrapText="1"/>
      <protection locked="0"/>
    </xf>
    <xf numFmtId="49" fontId="10" fillId="0" borderId="12" xfId="4" applyNumberFormat="1" applyFont="1" applyBorder="1" applyAlignment="1">
      <alignment horizontal="left" vertical="center" wrapText="1"/>
      <protection locked="0"/>
    </xf>
    <xf numFmtId="49" fontId="58" fillId="32" borderId="0" xfId="4" applyNumberFormat="1" applyFont="1" applyFill="1" applyAlignment="1">
      <alignment horizontal="center" vertical="center"/>
      <protection locked="0"/>
    </xf>
    <xf numFmtId="49" fontId="12" fillId="10" borderId="0" xfId="4" applyNumberFormat="1" applyFont="1" applyFill="1" applyAlignment="1">
      <alignment horizontal="center" vertical="center"/>
      <protection locked="0"/>
    </xf>
    <xf numFmtId="49" fontId="12" fillId="32" borderId="0" xfId="4" applyNumberFormat="1" applyFont="1" applyFill="1" applyAlignment="1">
      <alignment horizontal="center" vertical="center"/>
      <protection locked="0"/>
    </xf>
    <xf numFmtId="49" fontId="12" fillId="32" borderId="14" xfId="4" applyNumberFormat="1" applyFont="1" applyFill="1" applyBorder="1" applyAlignment="1">
      <alignment horizontal="center" vertical="center"/>
      <protection locked="0"/>
    </xf>
    <xf numFmtId="49" fontId="10" fillId="0" borderId="0" xfId="4" applyNumberFormat="1" applyFont="1" applyAlignment="1">
      <alignment horizontal="left" vertical="center" wrapText="1"/>
      <protection locked="0"/>
    </xf>
    <xf numFmtId="49" fontId="10" fillId="0" borderId="14" xfId="4" applyNumberFormat="1" applyFont="1" applyBorder="1" applyAlignment="1">
      <alignment horizontal="left" vertical="center" wrapText="1"/>
      <protection locked="0"/>
    </xf>
    <xf numFmtId="0" fontId="12" fillId="0" borderId="1" xfId="4" applyFont="1" applyBorder="1" applyAlignment="1">
      <alignment horizontal="center" vertical="center" wrapText="1"/>
      <protection locked="0"/>
    </xf>
    <xf numFmtId="0" fontId="12" fillId="0" borderId="70" xfId="4" applyFont="1" applyBorder="1" applyAlignment="1">
      <alignment horizontal="center" vertical="center" wrapText="1"/>
      <protection locked="0"/>
    </xf>
    <xf numFmtId="49" fontId="41" fillId="10" borderId="7" xfId="4" applyNumberFormat="1" applyFont="1" applyFill="1" applyBorder="1" applyAlignment="1">
      <alignment horizontal="center" vertical="center"/>
      <protection locked="0"/>
    </xf>
    <xf numFmtId="49" fontId="41" fillId="32" borderId="13" xfId="4" applyNumberFormat="1" applyFont="1" applyFill="1" applyBorder="1" applyAlignment="1">
      <alignment horizontal="center" vertical="center"/>
      <protection locked="0"/>
    </xf>
    <xf numFmtId="49" fontId="41" fillId="32" borderId="8" xfId="4" applyNumberFormat="1" applyFont="1" applyFill="1" applyBorder="1" applyAlignment="1">
      <alignment horizontal="center" vertical="center"/>
      <protection locked="0"/>
    </xf>
    <xf numFmtId="49" fontId="41" fillId="32" borderId="9" xfId="4" applyNumberFormat="1" applyFont="1" applyFill="1" applyBorder="1" applyAlignment="1">
      <alignment horizontal="center" vertical="center"/>
      <protection locked="0"/>
    </xf>
    <xf numFmtId="49" fontId="41" fillId="32" borderId="0" xfId="4" applyNumberFormat="1" applyFont="1" applyFill="1" applyAlignment="1">
      <alignment horizontal="center" vertical="center"/>
      <protection locked="0"/>
    </xf>
    <xf numFmtId="49" fontId="41" fillId="32" borderId="10" xfId="4" applyNumberFormat="1" applyFont="1" applyFill="1" applyBorder="1" applyAlignment="1">
      <alignment horizontal="center" vertical="center"/>
      <protection locked="0"/>
    </xf>
    <xf numFmtId="49" fontId="41" fillId="32" borderId="11" xfId="4" applyNumberFormat="1" applyFont="1" applyFill="1" applyBorder="1" applyAlignment="1">
      <alignment horizontal="center" vertical="center"/>
      <protection locked="0"/>
    </xf>
    <xf numFmtId="49" fontId="41" fillId="32" borderId="14" xfId="4" applyNumberFormat="1" applyFont="1" applyFill="1" applyBorder="1" applyAlignment="1">
      <alignment horizontal="center" vertical="center"/>
      <protection locked="0"/>
    </xf>
    <xf numFmtId="49" fontId="41" fillId="32" borderId="12" xfId="4" applyNumberFormat="1" applyFont="1" applyFill="1" applyBorder="1" applyAlignment="1">
      <alignment horizontal="center" vertical="center"/>
      <protection locked="0"/>
    </xf>
    <xf numFmtId="0" fontId="12" fillId="0" borderId="84" xfId="4" applyFont="1" applyBorder="1" applyAlignment="1">
      <alignment horizontal="center" vertical="center" wrapText="1"/>
      <protection locked="0"/>
    </xf>
    <xf numFmtId="0" fontId="12" fillId="0" borderId="81" xfId="4" applyFont="1" applyBorder="1" applyAlignment="1">
      <alignment horizontal="center" vertical="center" wrapText="1"/>
      <protection locked="0"/>
    </xf>
    <xf numFmtId="0" fontId="12" fillId="0" borderId="92" xfId="4" applyFont="1" applyBorder="1" applyAlignment="1">
      <alignment horizontal="center" vertical="center" wrapText="1"/>
      <protection locked="0"/>
    </xf>
    <xf numFmtId="0" fontId="12" fillId="0" borderId="78" xfId="4" applyFont="1" applyBorder="1" applyAlignment="1">
      <alignment horizontal="center" vertical="center" wrapText="1"/>
      <protection locked="0"/>
    </xf>
    <xf numFmtId="0" fontId="12" fillId="0" borderId="0" xfId="4" applyFont="1" applyAlignment="1">
      <alignment horizontal="center" vertical="center" wrapText="1"/>
      <protection locked="0"/>
    </xf>
    <xf numFmtId="0" fontId="12" fillId="0" borderId="10" xfId="4" applyFont="1" applyBorder="1" applyAlignment="1">
      <alignment horizontal="center" vertical="center" wrapText="1"/>
      <protection locked="0"/>
    </xf>
    <xf numFmtId="0" fontId="70" fillId="0" borderId="9" xfId="4" applyFont="1" applyBorder="1" applyAlignment="1">
      <alignment horizontal="center" vertical="center"/>
      <protection locked="0"/>
    </xf>
    <xf numFmtId="0" fontId="70" fillId="0" borderId="66" xfId="4" applyFont="1" applyBorder="1" applyAlignment="1">
      <alignment horizontal="center" vertical="center"/>
      <protection locked="0"/>
    </xf>
    <xf numFmtId="0" fontId="71" fillId="10" borderId="9" xfId="4" applyFont="1" applyFill="1" applyBorder="1" applyAlignment="1">
      <alignment horizontal="center" vertical="center"/>
      <protection locked="0"/>
    </xf>
    <xf numFmtId="0" fontId="71" fillId="32" borderId="9" xfId="4" applyFont="1" applyFill="1" applyBorder="1" applyAlignment="1">
      <alignment horizontal="center" vertical="center"/>
      <protection locked="0"/>
    </xf>
    <xf numFmtId="0" fontId="71" fillId="32" borderId="66" xfId="4" applyFont="1" applyFill="1" applyBorder="1" applyAlignment="1">
      <alignment horizontal="center" vertical="center"/>
      <protection locked="0"/>
    </xf>
    <xf numFmtId="0" fontId="75" fillId="0" borderId="9" xfId="4" applyFont="1" applyBorder="1" applyAlignment="1">
      <alignment horizontal="center" vertical="center"/>
      <protection locked="0"/>
    </xf>
    <xf numFmtId="0" fontId="12" fillId="0" borderId="9" xfId="4" applyFont="1" applyBorder="1" applyAlignment="1">
      <alignment horizontal="center" vertical="center" wrapText="1"/>
      <protection locked="0"/>
    </xf>
    <xf numFmtId="0" fontId="12" fillId="0" borderId="0" xfId="4" applyFont="1" applyAlignment="1">
      <alignment horizontal="center" vertical="center"/>
      <protection locked="0"/>
    </xf>
    <xf numFmtId="0" fontId="12" fillId="0" borderId="11" xfId="4" applyFont="1" applyBorder="1" applyAlignment="1">
      <alignment horizontal="center" vertical="center"/>
      <protection locked="0"/>
    </xf>
    <xf numFmtId="0" fontId="12" fillId="0" borderId="14" xfId="4" applyFont="1" applyBorder="1" applyAlignment="1">
      <alignment horizontal="center" vertical="center"/>
      <protection locked="0"/>
    </xf>
    <xf numFmtId="0" fontId="3" fillId="50" borderId="45" xfId="4" applyFont="1" applyFill="1" applyBorder="1" applyAlignment="1">
      <alignment horizontal="center" vertical="center"/>
      <protection locked="0"/>
    </xf>
    <xf numFmtId="0" fontId="15" fillId="51" borderId="34" xfId="4" applyFont="1" applyFill="1" applyBorder="1" applyAlignment="1">
      <alignment horizontal="center" vertical="center"/>
      <protection locked="0"/>
    </xf>
    <xf numFmtId="0" fontId="10" fillId="0" borderId="11" xfId="4" applyFont="1" applyBorder="1" applyAlignment="1">
      <alignment horizontal="center" vertical="center" wrapText="1"/>
      <protection locked="0"/>
    </xf>
    <xf numFmtId="0" fontId="10" fillId="0" borderId="14" xfId="4" applyFont="1" applyBorder="1" applyAlignment="1">
      <alignment horizontal="center" vertical="center" wrapText="1"/>
      <protection locked="0"/>
    </xf>
    <xf numFmtId="0" fontId="10" fillId="0" borderId="12" xfId="4" applyFont="1" applyBorder="1" applyAlignment="1">
      <alignment horizontal="center" vertical="center" wrapText="1"/>
      <protection locked="0"/>
    </xf>
    <xf numFmtId="0" fontId="10" fillId="0" borderId="86" xfId="4" applyFont="1" applyBorder="1" applyAlignment="1">
      <alignment horizontal="center" vertical="center" wrapText="1"/>
      <protection locked="0"/>
    </xf>
    <xf numFmtId="0" fontId="10" fillId="0" borderId="87" xfId="4" applyFont="1" applyBorder="1" applyAlignment="1">
      <alignment horizontal="center" vertical="center" wrapText="1"/>
      <protection locked="0"/>
    </xf>
    <xf numFmtId="0" fontId="10" fillId="0" borderId="95" xfId="4" applyFont="1" applyBorder="1" applyAlignment="1">
      <alignment horizontal="center" vertical="center" wrapText="1"/>
      <protection locked="0"/>
    </xf>
    <xf numFmtId="0" fontId="15" fillId="0" borderId="9" xfId="4" applyFont="1" applyBorder="1" applyAlignment="1">
      <alignment horizontal="center" vertical="center" wrapText="1"/>
      <protection locked="0"/>
    </xf>
    <xf numFmtId="0" fontId="15" fillId="0" borderId="0" xfId="4" applyFont="1" applyAlignment="1">
      <alignment horizontal="center" vertical="center" wrapText="1"/>
      <protection locked="0"/>
    </xf>
    <xf numFmtId="0" fontId="15" fillId="54" borderId="86" xfId="4" applyFont="1" applyFill="1" applyBorder="1" applyAlignment="1">
      <alignment horizontal="center" vertical="center"/>
      <protection locked="0"/>
    </xf>
    <xf numFmtId="0" fontId="15" fillId="55" borderId="87" xfId="4" applyFont="1" applyFill="1" applyBorder="1" applyAlignment="1">
      <alignment horizontal="center" vertical="center"/>
      <protection locked="0"/>
    </xf>
    <xf numFmtId="0" fontId="15" fillId="54" borderId="88" xfId="4" applyFont="1" applyFill="1" applyBorder="1" applyAlignment="1">
      <alignment horizontal="center" vertical="center"/>
      <protection locked="0"/>
    </xf>
    <xf numFmtId="0" fontId="15" fillId="55" borderId="89" xfId="4" applyFont="1" applyFill="1" applyBorder="1" applyAlignment="1">
      <alignment horizontal="center" vertical="center"/>
      <protection locked="0"/>
    </xf>
    <xf numFmtId="0" fontId="15" fillId="54" borderId="87" xfId="4" applyFont="1" applyFill="1" applyBorder="1" applyAlignment="1">
      <alignment horizontal="center" vertical="center"/>
      <protection locked="0"/>
    </xf>
    <xf numFmtId="0" fontId="15" fillId="55" borderId="95" xfId="4" applyFont="1" applyFill="1" applyBorder="1" applyAlignment="1">
      <alignment horizontal="center" vertical="center"/>
      <protection locked="0"/>
    </xf>
    <xf numFmtId="0" fontId="17" fillId="50" borderId="0" xfId="4" applyFont="1" applyFill="1" applyAlignment="1">
      <alignment horizontal="center" vertical="center"/>
      <protection locked="0"/>
    </xf>
    <xf numFmtId="0" fontId="12" fillId="51" borderId="0" xfId="4" applyFont="1" applyFill="1" applyAlignment="1">
      <alignment horizontal="center" vertical="center"/>
      <protection locked="0"/>
    </xf>
    <xf numFmtId="0" fontId="15" fillId="54" borderId="80" xfId="4" applyFont="1" applyFill="1" applyBorder="1" applyAlignment="1">
      <alignment horizontal="center" vertical="center"/>
      <protection locked="0"/>
    </xf>
    <xf numFmtId="0" fontId="15" fillId="55" borderId="81" xfId="4" applyFont="1" applyFill="1" applyBorder="1" applyAlignment="1">
      <alignment horizontal="center" vertical="center"/>
      <protection locked="0"/>
    </xf>
    <xf numFmtId="0" fontId="15" fillId="55" borderId="92" xfId="4" applyFont="1" applyFill="1" applyBorder="1" applyAlignment="1">
      <alignment horizontal="center" vertical="center"/>
      <protection locked="0"/>
    </xf>
    <xf numFmtId="49" fontId="49" fillId="47" borderId="9" xfId="4" applyNumberFormat="1" applyFont="1" applyFill="1" applyBorder="1" applyAlignment="1">
      <alignment horizontal="center" vertical="center"/>
      <protection locked="0"/>
    </xf>
    <xf numFmtId="49" fontId="12" fillId="10" borderId="9" xfId="4" applyNumberFormat="1" applyFont="1" applyFill="1" applyBorder="1" applyAlignment="1">
      <alignment horizontal="center" vertical="center" wrapText="1"/>
      <protection locked="0"/>
    </xf>
    <xf numFmtId="49" fontId="12" fillId="32" borderId="9" xfId="4" applyNumberFormat="1" applyFont="1" applyFill="1" applyBorder="1" applyAlignment="1">
      <alignment horizontal="center" vertical="center" wrapText="1"/>
      <protection locked="0"/>
    </xf>
    <xf numFmtId="49" fontId="12" fillId="10" borderId="9" xfId="4" applyNumberFormat="1" applyFont="1" applyFill="1" applyBorder="1" applyAlignment="1">
      <alignment horizontal="center" vertical="center"/>
      <protection locked="0"/>
    </xf>
    <xf numFmtId="49" fontId="72" fillId="32" borderId="9" xfId="4" applyNumberFormat="1" applyFont="1" applyFill="1" applyBorder="1" applyAlignment="1">
      <alignment horizontal="center" vertical="center"/>
      <protection locked="0"/>
    </xf>
    <xf numFmtId="49" fontId="12" fillId="32" borderId="9" xfId="4" applyNumberFormat="1" applyFont="1" applyFill="1" applyBorder="1" applyAlignment="1">
      <alignment horizontal="center" vertical="center"/>
      <protection locked="0"/>
    </xf>
    <xf numFmtId="49" fontId="12" fillId="32" borderId="11" xfId="4" applyNumberFormat="1" applyFont="1" applyFill="1" applyBorder="1" applyAlignment="1">
      <alignment horizontal="center" vertical="center"/>
      <protection locked="0"/>
    </xf>
    <xf numFmtId="49" fontId="16" fillId="0" borderId="76" xfId="4" applyNumberFormat="1" applyFont="1" applyBorder="1" applyAlignment="1">
      <alignment horizontal="left" vertical="center" wrapText="1"/>
      <protection locked="0"/>
    </xf>
    <xf numFmtId="49" fontId="16" fillId="0" borderId="77" xfId="4" applyNumberFormat="1" applyFont="1" applyBorder="1" applyAlignment="1">
      <alignment horizontal="left" vertical="center" wrapText="1"/>
      <protection locked="0"/>
    </xf>
    <xf numFmtId="49" fontId="10" fillId="0" borderId="76" xfId="4" applyNumberFormat="1" applyFont="1" applyBorder="1" applyAlignment="1">
      <alignment horizontal="center" vertical="center" wrapText="1"/>
      <protection locked="0"/>
    </xf>
    <xf numFmtId="49" fontId="12" fillId="0" borderId="76" xfId="4" applyNumberFormat="1" applyFont="1" applyBorder="1" applyAlignment="1">
      <alignment horizontal="center" vertical="center"/>
      <protection locked="0"/>
    </xf>
    <xf numFmtId="49" fontId="12" fillId="0" borderId="77" xfId="4" applyNumberFormat="1" applyFont="1" applyBorder="1" applyAlignment="1">
      <alignment horizontal="center" vertical="center"/>
      <protection locked="0"/>
    </xf>
    <xf numFmtId="0" fontId="79" fillId="0" borderId="0" xfId="4" applyFont="1" applyAlignment="1">
      <alignment horizontal="right" vertical="center"/>
      <protection locked="0"/>
    </xf>
    <xf numFmtId="0" fontId="8" fillId="0" borderId="0" xfId="4" applyFont="1" applyAlignment="1">
      <alignment horizontal="center" vertical="center" wrapText="1"/>
      <protection locked="0"/>
    </xf>
    <xf numFmtId="0" fontId="63" fillId="10" borderId="10" xfId="0" applyFont="1" applyFill="1" applyBorder="1" applyAlignment="1">
      <alignment horizontal="center" vertical="center" wrapText="1"/>
    </xf>
    <xf numFmtId="0" fontId="63" fillId="32" borderId="10" xfId="0" applyFont="1" applyFill="1" applyBorder="1" applyAlignment="1">
      <alignment horizontal="center" vertical="center" wrapText="1"/>
    </xf>
    <xf numFmtId="0" fontId="34" fillId="0" borderId="4" xfId="4" applyFont="1" applyBorder="1" applyAlignment="1">
      <alignment horizontal="center" vertical="center" wrapText="1"/>
      <protection locked="0"/>
    </xf>
    <xf numFmtId="0" fontId="28" fillId="0" borderId="4" xfId="4" applyBorder="1" applyAlignment="1">
      <alignment horizontal="center" vertical="center" wrapText="1"/>
      <protection locked="0"/>
    </xf>
    <xf numFmtId="0" fontId="34" fillId="41" borderId="6" xfId="4" applyFont="1" applyFill="1" applyBorder="1" applyAlignment="1">
      <alignment horizontal="center" vertical="center" wrapText="1"/>
      <protection locked="0"/>
    </xf>
    <xf numFmtId="0" fontId="28" fillId="41" borderId="35" xfId="4" applyFill="1" applyBorder="1" applyAlignment="1">
      <alignment horizontal="center" vertical="center" wrapText="1"/>
      <protection locked="0"/>
    </xf>
    <xf numFmtId="0" fontId="28" fillId="41" borderId="36" xfId="4" applyFill="1" applyBorder="1" applyAlignment="1">
      <alignment horizontal="center" vertical="center" wrapText="1"/>
      <protection locked="0"/>
    </xf>
    <xf numFmtId="0" fontId="34" fillId="10" borderId="6" xfId="4" applyFont="1" applyFill="1" applyBorder="1" applyAlignment="1">
      <alignment horizontal="center" vertical="center" wrapText="1"/>
      <protection locked="0"/>
    </xf>
    <xf numFmtId="0" fontId="34" fillId="32" borderId="35" xfId="4" applyFont="1" applyFill="1" applyBorder="1" applyAlignment="1">
      <alignment horizontal="center" vertical="center" wrapText="1"/>
      <protection locked="0"/>
    </xf>
    <xf numFmtId="0" fontId="46" fillId="10" borderId="6" xfId="4" applyFont="1" applyFill="1" applyBorder="1" applyAlignment="1">
      <alignment horizontal="center" vertical="center" wrapText="1"/>
      <protection locked="0"/>
    </xf>
    <xf numFmtId="0" fontId="46" fillId="32" borderId="35" xfId="4" applyFont="1" applyFill="1" applyBorder="1" applyAlignment="1">
      <alignment horizontal="center" vertical="center" wrapText="1"/>
      <protection locked="0"/>
    </xf>
    <xf numFmtId="0" fontId="46" fillId="32" borderId="36" xfId="4" applyFont="1" applyFill="1" applyBorder="1" applyAlignment="1">
      <alignment horizontal="center" vertical="center" wrapText="1"/>
      <protection locked="0"/>
    </xf>
    <xf numFmtId="0" fontId="37" fillId="48" borderId="6" xfId="4" applyFont="1" applyFill="1" applyBorder="1" applyAlignment="1">
      <alignment horizontal="center" vertical="center" wrapText="1"/>
      <protection locked="0"/>
    </xf>
    <xf numFmtId="0" fontId="37" fillId="48" borderId="35" xfId="4" applyFont="1" applyFill="1" applyBorder="1" applyAlignment="1">
      <alignment horizontal="center" vertical="center" wrapText="1"/>
      <protection locked="0"/>
    </xf>
    <xf numFmtId="0" fontId="37" fillId="48" borderId="34" xfId="4" applyFont="1" applyFill="1" applyBorder="1" applyAlignment="1">
      <alignment horizontal="center" vertical="center" wrapText="1"/>
      <protection locked="0"/>
    </xf>
    <xf numFmtId="0" fontId="65" fillId="37" borderId="0" xfId="4" applyFont="1" applyFill="1" applyAlignment="1">
      <alignment horizontal="center" vertical="center" wrapText="1"/>
      <protection locked="0"/>
    </xf>
    <xf numFmtId="0" fontId="66" fillId="50" borderId="4" xfId="4" applyFont="1" applyFill="1" applyBorder="1" applyAlignment="1">
      <alignment horizontal="center" vertical="center" wrapText="1"/>
      <protection locked="0"/>
    </xf>
    <xf numFmtId="0" fontId="34" fillId="51" borderId="4" xfId="4" applyFont="1" applyFill="1" applyBorder="1" applyAlignment="1">
      <alignment horizontal="center" vertical="center" wrapText="1"/>
      <protection locked="0"/>
    </xf>
    <xf numFmtId="0" fontId="34" fillId="0" borderId="35" xfId="4" applyFont="1" applyBorder="1" applyAlignment="1">
      <alignment horizontal="center" vertical="center" wrapText="1"/>
      <protection locked="0"/>
    </xf>
    <xf numFmtId="0" fontId="34" fillId="0" borderId="36" xfId="4" applyFont="1" applyBorder="1" applyAlignment="1">
      <alignment horizontal="center" vertical="center" wrapText="1"/>
      <protection locked="0"/>
    </xf>
    <xf numFmtId="0" fontId="44" fillId="0" borderId="7" xfId="4" applyFont="1" applyBorder="1" applyAlignment="1">
      <alignment horizontal="center" vertical="center"/>
      <protection locked="0"/>
    </xf>
    <xf numFmtId="0" fontId="44" fillId="0" borderId="8" xfId="4" applyFont="1" applyBorder="1" applyAlignment="1">
      <alignment horizontal="center" vertical="center"/>
      <protection locked="0"/>
    </xf>
    <xf numFmtId="0" fontId="44" fillId="0" borderId="11" xfId="4" applyFont="1" applyBorder="1" applyAlignment="1">
      <alignment horizontal="center" vertical="center"/>
      <protection locked="0"/>
    </xf>
    <xf numFmtId="0" fontId="44" fillId="0" borderId="12" xfId="4" applyFont="1" applyBorder="1" applyAlignment="1">
      <alignment horizontal="center" vertical="center"/>
      <protection locked="0"/>
    </xf>
    <xf numFmtId="0" fontId="12" fillId="0" borderId="7" xfId="4" applyFont="1" applyBorder="1" applyAlignment="1">
      <alignment horizontal="center" vertical="center" wrapText="1"/>
      <protection locked="0"/>
    </xf>
    <xf numFmtId="0" fontId="12" fillId="0" borderId="8" xfId="4" applyFont="1" applyBorder="1" applyAlignment="1">
      <alignment horizontal="center" vertical="center"/>
      <protection locked="0"/>
    </xf>
    <xf numFmtId="0" fontId="12" fillId="0" borderId="9" xfId="4" applyFont="1" applyBorder="1" applyAlignment="1">
      <alignment horizontal="center" vertical="center"/>
      <protection locked="0"/>
    </xf>
    <xf numFmtId="0" fontId="12" fillId="0" borderId="10" xfId="4" applyFont="1" applyBorder="1" applyAlignment="1">
      <alignment horizontal="center" vertical="center"/>
      <protection locked="0"/>
    </xf>
    <xf numFmtId="0" fontId="12" fillId="0" borderId="12" xfId="4" applyFont="1" applyBorder="1" applyAlignment="1">
      <alignment horizontal="center" vertical="center"/>
      <protection locked="0"/>
    </xf>
    <xf numFmtId="0" fontId="32" fillId="0" borderId="7" xfId="4" applyFont="1" applyBorder="1" applyAlignment="1">
      <alignment horizontal="center" vertical="center" wrapText="1"/>
      <protection locked="0"/>
    </xf>
    <xf numFmtId="0" fontId="15" fillId="0" borderId="8" xfId="4" applyFont="1" applyBorder="1" applyAlignment="1">
      <alignment horizontal="center" vertical="center"/>
      <protection locked="0"/>
    </xf>
    <xf numFmtId="0" fontId="15" fillId="0" borderId="9" xfId="4" applyFont="1" applyBorder="1" applyAlignment="1">
      <alignment horizontal="center" vertical="center"/>
      <protection locked="0"/>
    </xf>
    <xf numFmtId="0" fontId="15" fillId="0" borderId="10" xfId="4" applyFont="1" applyBorder="1" applyAlignment="1">
      <alignment horizontal="center" vertical="center"/>
      <protection locked="0"/>
    </xf>
    <xf numFmtId="0" fontId="15" fillId="0" borderId="11" xfId="4" applyFont="1" applyBorder="1" applyAlignment="1">
      <alignment horizontal="center" vertical="center"/>
      <protection locked="0"/>
    </xf>
    <xf numFmtId="0" fontId="15" fillId="0" borderId="12" xfId="4" applyFont="1" applyBorder="1" applyAlignment="1">
      <alignment horizontal="center" vertical="center"/>
      <protection locked="0"/>
    </xf>
    <xf numFmtId="0" fontId="42" fillId="0" borderId="7" xfId="4" applyFont="1" applyBorder="1" applyAlignment="1">
      <alignment horizontal="center" vertical="center"/>
      <protection locked="0"/>
    </xf>
    <xf numFmtId="0" fontId="42" fillId="0" borderId="13" xfId="4" applyFont="1" applyBorder="1" applyAlignment="1">
      <alignment horizontal="center" vertical="center"/>
      <protection locked="0"/>
    </xf>
    <xf numFmtId="0" fontId="42" fillId="0" borderId="8" xfId="4" applyFont="1" applyBorder="1" applyAlignment="1">
      <alignment horizontal="center" vertical="center"/>
      <protection locked="0"/>
    </xf>
    <xf numFmtId="0" fontId="42" fillId="0" borderId="11" xfId="4" applyFont="1" applyBorder="1" applyAlignment="1">
      <alignment horizontal="center" vertical="center"/>
      <protection locked="0"/>
    </xf>
    <xf numFmtId="0" fontId="42" fillId="0" borderId="14" xfId="4" applyFont="1" applyBorder="1" applyAlignment="1">
      <alignment horizontal="center" vertical="center"/>
      <protection locked="0"/>
    </xf>
    <xf numFmtId="0" fontId="42" fillId="0" borderId="12" xfId="4" applyFont="1" applyBorder="1" applyAlignment="1">
      <alignment horizontal="center" vertical="center"/>
      <protection locked="0"/>
    </xf>
    <xf numFmtId="0" fontId="58" fillId="32" borderId="9" xfId="4" applyFont="1" applyFill="1" applyBorder="1" applyAlignment="1">
      <alignment horizontal="center" vertical="center"/>
      <protection locked="0"/>
    </xf>
    <xf numFmtId="0" fontId="58" fillId="32" borderId="0" xfId="4" applyFont="1" applyFill="1" applyAlignment="1">
      <alignment horizontal="center" vertical="center"/>
      <protection locked="0"/>
    </xf>
    <xf numFmtId="0" fontId="58" fillId="32" borderId="10" xfId="4" applyFont="1" applyFill="1" applyBorder="1" applyAlignment="1">
      <alignment horizontal="center" vertical="center"/>
      <protection locked="0"/>
    </xf>
    <xf numFmtId="0" fontId="78" fillId="0" borderId="7" xfId="4" applyFont="1" applyBorder="1" applyAlignment="1">
      <alignment horizontal="center" vertical="center" wrapText="1"/>
      <protection locked="0"/>
    </xf>
    <xf numFmtId="0" fontId="8" fillId="0" borderId="13" xfId="4" applyFont="1" applyBorder="1" applyAlignment="1">
      <alignment horizontal="center" vertical="center"/>
      <protection locked="0"/>
    </xf>
    <xf numFmtId="0" fontId="8" fillId="0" borderId="8" xfId="4" applyFont="1" applyBorder="1" applyAlignment="1">
      <alignment horizontal="center" vertical="center"/>
      <protection locked="0"/>
    </xf>
    <xf numFmtId="0" fontId="8" fillId="0" borderId="9" xfId="4" applyFont="1" applyBorder="1" applyAlignment="1">
      <alignment horizontal="center" vertical="center"/>
      <protection locked="0"/>
    </xf>
    <xf numFmtId="0" fontId="8" fillId="0" borderId="0" xfId="4" applyFont="1" applyAlignment="1">
      <alignment horizontal="center" vertical="center"/>
      <protection locked="0"/>
    </xf>
    <xf numFmtId="0" fontId="8" fillId="0" borderId="10" xfId="4" applyFont="1" applyBorder="1" applyAlignment="1">
      <alignment horizontal="center" vertical="center"/>
      <protection locked="0"/>
    </xf>
    <xf numFmtId="0" fontId="8" fillId="0" borderId="11" xfId="4" applyFont="1" applyBorder="1" applyAlignment="1">
      <alignment horizontal="center" vertical="center"/>
      <protection locked="0"/>
    </xf>
    <xf numFmtId="0" fontId="8" fillId="0" borderId="14" xfId="4" applyFont="1" applyBorder="1" applyAlignment="1">
      <alignment horizontal="center" vertical="center"/>
      <protection locked="0"/>
    </xf>
    <xf numFmtId="0" fontId="8" fillId="0" borderId="12" xfId="4" applyFont="1" applyBorder="1" applyAlignment="1">
      <alignment horizontal="center" vertical="center"/>
      <protection locked="0"/>
    </xf>
    <xf numFmtId="49" fontId="15" fillId="0" borderId="9" xfId="4" applyNumberFormat="1" applyFont="1" applyBorder="1" applyAlignment="1">
      <alignment horizontal="center" vertical="center" wrapText="1"/>
      <protection locked="0"/>
    </xf>
    <xf numFmtId="49" fontId="15" fillId="0" borderId="0" xfId="4" applyNumberFormat="1" applyFont="1" applyAlignment="1">
      <alignment horizontal="center" vertical="center" wrapText="1"/>
      <protection locked="0"/>
    </xf>
    <xf numFmtId="49" fontId="15" fillId="0" borderId="11" xfId="4" applyNumberFormat="1" applyFont="1" applyBorder="1" applyAlignment="1">
      <alignment horizontal="center" vertical="center" wrapText="1"/>
      <protection locked="0"/>
    </xf>
    <xf numFmtId="49" fontId="15" fillId="0" borderId="14" xfId="4" applyNumberFormat="1" applyFont="1" applyBorder="1" applyAlignment="1">
      <alignment horizontal="center" vertical="center" wrapText="1"/>
      <protection locked="0"/>
    </xf>
    <xf numFmtId="0" fontId="27" fillId="10" borderId="2" xfId="4" applyFont="1" applyFill="1" applyBorder="1" applyAlignment="1">
      <alignment horizontal="center" vertical="center" wrapText="1"/>
      <protection locked="0"/>
    </xf>
    <xf numFmtId="0" fontId="80" fillId="0" borderId="0" xfId="4" applyFont="1" applyAlignment="1">
      <alignment horizontal="center" vertical="center"/>
      <protection locked="0"/>
    </xf>
    <xf numFmtId="0" fontId="79" fillId="0" borderId="0" xfId="4" applyFont="1" applyAlignment="1">
      <alignment horizontal="left" vertical="center"/>
      <protection locked="0"/>
    </xf>
    <xf numFmtId="0" fontId="28" fillId="45" borderId="38" xfId="4" applyFill="1" applyBorder="1" applyAlignment="1">
      <alignment horizontal="center" vertical="center" wrapText="1"/>
      <protection locked="0"/>
    </xf>
    <xf numFmtId="0" fontId="28" fillId="45" borderId="6" xfId="4" applyFill="1" applyBorder="1" applyAlignment="1">
      <alignment horizontal="center" vertical="center" wrapText="1"/>
      <protection locked="0"/>
    </xf>
    <xf numFmtId="0" fontId="81" fillId="0" borderId="7" xfId="4" applyFont="1" applyBorder="1" applyAlignment="1">
      <alignment horizontal="center" vertical="center" wrapText="1"/>
      <protection locked="0"/>
    </xf>
    <xf numFmtId="0" fontId="81" fillId="0" borderId="8" xfId="4" applyFont="1" applyBorder="1" applyAlignment="1">
      <alignment horizontal="center" vertical="center" wrapText="1"/>
      <protection locked="0"/>
    </xf>
    <xf numFmtId="0" fontId="81" fillId="0" borderId="9" xfId="4" applyFont="1" applyBorder="1" applyAlignment="1">
      <alignment horizontal="center" vertical="center" wrapText="1"/>
      <protection locked="0"/>
    </xf>
    <xf numFmtId="0" fontId="81" fillId="0" borderId="10" xfId="4" applyFont="1" applyBorder="1" applyAlignment="1">
      <alignment horizontal="center" vertical="center" wrapText="1"/>
      <protection locked="0"/>
    </xf>
    <xf numFmtId="0" fontId="81" fillId="0" borderId="11" xfId="4" applyFont="1" applyBorder="1" applyAlignment="1">
      <alignment horizontal="center" vertical="center" wrapText="1"/>
      <protection locked="0"/>
    </xf>
    <xf numFmtId="0" fontId="81" fillId="0" borderId="12" xfId="4" applyFont="1" applyBorder="1" applyAlignment="1">
      <alignment horizontal="center" vertical="center" wrapText="1"/>
      <protection locked="0"/>
    </xf>
    <xf numFmtId="0" fontId="76" fillId="54" borderId="7" xfId="4" applyFont="1" applyFill="1" applyBorder="1" applyAlignment="1">
      <alignment horizontal="center" vertical="center"/>
      <protection locked="0"/>
    </xf>
    <xf numFmtId="0" fontId="76" fillId="56" borderId="13" xfId="4" applyFont="1" applyFill="1" applyBorder="1" applyAlignment="1">
      <alignment horizontal="center" vertical="center"/>
      <protection locked="0"/>
    </xf>
    <xf numFmtId="0" fontId="76" fillId="56" borderId="8" xfId="4" applyFont="1" applyFill="1" applyBorder="1" applyAlignment="1">
      <alignment horizontal="center" vertical="center"/>
      <protection locked="0"/>
    </xf>
    <xf numFmtId="0" fontId="76" fillId="56" borderId="82" xfId="4" applyFont="1" applyFill="1" applyBorder="1" applyAlignment="1">
      <alignment horizontal="center" vertical="center"/>
      <protection locked="0"/>
    </xf>
    <xf numFmtId="0" fontId="76" fillId="56" borderId="83" xfId="4" applyFont="1" applyFill="1" applyBorder="1" applyAlignment="1">
      <alignment horizontal="center" vertical="center"/>
      <protection locked="0"/>
    </xf>
    <xf numFmtId="0" fontId="76" fillId="56" borderId="94" xfId="4" applyFont="1" applyFill="1" applyBorder="1" applyAlignment="1">
      <alignment horizontal="center" vertical="center"/>
      <protection locked="0"/>
    </xf>
    <xf numFmtId="0" fontId="15" fillId="0" borderId="7" xfId="4" applyFont="1" applyBorder="1" applyAlignment="1">
      <alignment horizontal="center" vertical="center" wrapText="1"/>
      <protection locked="0"/>
    </xf>
    <xf numFmtId="0" fontId="15" fillId="0" borderId="13" xfId="4" applyFont="1" applyBorder="1" applyAlignment="1">
      <alignment horizontal="center" vertical="center" wrapText="1"/>
      <protection locked="0"/>
    </xf>
    <xf numFmtId="0" fontId="15" fillId="0" borderId="8" xfId="4" applyFont="1" applyBorder="1" applyAlignment="1">
      <alignment horizontal="center" vertical="center" wrapText="1"/>
      <protection locked="0"/>
    </xf>
    <xf numFmtId="0" fontId="15" fillId="0" borderId="10" xfId="4" applyFont="1" applyBorder="1" applyAlignment="1">
      <alignment horizontal="center" vertical="center" wrapText="1"/>
      <protection locked="0"/>
    </xf>
    <xf numFmtId="0" fontId="8" fillId="0" borderId="7" xfId="4" applyFont="1" applyBorder="1" applyAlignment="1">
      <alignment horizontal="center" vertical="center" wrapText="1"/>
      <protection locked="0"/>
    </xf>
    <xf numFmtId="0" fontId="8" fillId="0" borderId="13" xfId="4" applyFont="1" applyBorder="1" applyAlignment="1">
      <alignment horizontal="center" vertical="center" wrapText="1"/>
      <protection locked="0"/>
    </xf>
    <xf numFmtId="0" fontId="74" fillId="10" borderId="7" xfId="4" applyFont="1" applyFill="1" applyBorder="1" applyAlignment="1">
      <alignment horizontal="center" vertical="center"/>
      <protection locked="0"/>
    </xf>
    <xf numFmtId="0" fontId="74" fillId="32" borderId="13" xfId="4" applyFont="1" applyFill="1" applyBorder="1" applyAlignment="1">
      <alignment horizontal="center" vertical="center"/>
      <protection locked="0"/>
    </xf>
    <xf numFmtId="0" fontId="74" fillId="32" borderId="8" xfId="4" applyFont="1" applyFill="1" applyBorder="1" applyAlignment="1">
      <alignment horizontal="center" vertical="center"/>
      <protection locked="0"/>
    </xf>
    <xf numFmtId="0" fontId="74" fillId="32" borderId="9" xfId="4" applyFont="1" applyFill="1" applyBorder="1" applyAlignment="1">
      <alignment horizontal="center" vertical="center"/>
      <protection locked="0"/>
    </xf>
    <xf numFmtId="0" fontId="74" fillId="32" borderId="0" xfId="4" applyFont="1" applyFill="1" applyAlignment="1">
      <alignment horizontal="center" vertical="center"/>
      <protection locked="0"/>
    </xf>
    <xf numFmtId="0" fontId="74" fillId="32" borderId="10" xfId="4" applyFont="1" applyFill="1" applyBorder="1" applyAlignment="1">
      <alignment horizontal="center" vertical="center"/>
      <protection locked="0"/>
    </xf>
    <xf numFmtId="0" fontId="10" fillId="0" borderId="90" xfId="4" applyFont="1" applyBorder="1" applyAlignment="1">
      <alignment horizontal="center" vertical="center" wrapText="1"/>
      <protection locked="0"/>
    </xf>
    <xf numFmtId="0" fontId="10" fillId="0" borderId="96" xfId="4" applyFont="1" applyBorder="1" applyAlignment="1">
      <alignment horizontal="center" vertical="center" wrapText="1"/>
      <protection locked="0"/>
    </xf>
    <xf numFmtId="0" fontId="12" fillId="0" borderId="71" xfId="4" applyFont="1" applyBorder="1" applyAlignment="1">
      <alignment horizontal="center" vertical="center" wrapText="1"/>
      <protection locked="0"/>
    </xf>
    <xf numFmtId="0" fontId="12" fillId="0" borderId="72" xfId="4" applyFont="1" applyBorder="1" applyAlignment="1">
      <alignment horizontal="center" vertical="center" wrapText="1"/>
      <protection locked="0"/>
    </xf>
    <xf numFmtId="0" fontId="10" fillId="0" borderId="69" xfId="4" applyFont="1" applyBorder="1" applyAlignment="1">
      <alignment horizontal="left" vertical="center" wrapText="1"/>
      <protection locked="0"/>
    </xf>
    <xf numFmtId="0" fontId="10" fillId="0" borderId="0" xfId="4" applyFont="1" applyAlignment="1">
      <alignment horizontal="left" vertical="center" wrapText="1"/>
      <protection locked="0"/>
    </xf>
    <xf numFmtId="0" fontId="10" fillId="0" borderId="10" xfId="4" applyFont="1" applyBorder="1" applyAlignment="1">
      <alignment horizontal="left" vertical="center" wrapText="1"/>
      <protection locked="0"/>
    </xf>
    <xf numFmtId="0" fontId="28" fillId="5" borderId="1" xfId="4" applyFill="1" applyBorder="1" applyAlignment="1">
      <alignment horizontal="center" vertical="center" wrapText="1"/>
      <protection locked="0"/>
    </xf>
    <xf numFmtId="0" fontId="28" fillId="6" borderId="1" xfId="4" applyFill="1" applyBorder="1" applyAlignment="1">
      <alignment horizontal="center" vertical="center" wrapText="1"/>
      <protection locked="0"/>
    </xf>
    <xf numFmtId="0" fontId="12" fillId="0" borderId="30" xfId="4" applyFont="1" applyBorder="1" applyAlignment="1">
      <alignment horizontal="center" vertical="center"/>
      <protection locked="0"/>
    </xf>
    <xf numFmtId="0" fontId="12" fillId="0" borderId="31" xfId="4" applyFont="1" applyBorder="1" applyAlignment="1">
      <alignment horizontal="center" vertical="center"/>
      <protection locked="0"/>
    </xf>
    <xf numFmtId="0" fontId="44" fillId="0" borderId="0" xfId="4" applyFont="1" applyAlignment="1">
      <alignment horizontal="center" vertical="center"/>
      <protection locked="0"/>
    </xf>
    <xf numFmtId="0" fontId="78" fillId="0" borderId="0" xfId="4" applyFont="1" applyAlignment="1">
      <alignment horizontal="center" vertical="center" wrapText="1"/>
      <protection locked="0"/>
    </xf>
    <xf numFmtId="0" fontId="69" fillId="10" borderId="63" xfId="4" applyFont="1" applyFill="1" applyBorder="1" applyAlignment="1">
      <alignment horizontal="center" vertical="center"/>
      <protection locked="0"/>
    </xf>
    <xf numFmtId="0" fontId="69" fillId="19" borderId="66" xfId="4" applyFont="1" applyFill="1" applyBorder="1" applyAlignment="1">
      <alignment horizontal="center" vertical="center"/>
      <protection locked="0"/>
    </xf>
    <xf numFmtId="0" fontId="10" fillId="0" borderId="9" xfId="4" applyFont="1" applyBorder="1" applyAlignment="1">
      <alignment horizontal="left" vertical="center" wrapText="1"/>
      <protection locked="0"/>
    </xf>
    <xf numFmtId="0" fontId="10" fillId="0" borderId="11" xfId="4" applyFont="1" applyBorder="1" applyAlignment="1">
      <alignment horizontal="left" vertical="center" wrapText="1"/>
      <protection locked="0"/>
    </xf>
    <xf numFmtId="0" fontId="10" fillId="0" borderId="14" xfId="4" applyFont="1" applyBorder="1" applyAlignment="1">
      <alignment horizontal="left" vertical="center" wrapText="1"/>
      <protection locked="0"/>
    </xf>
    <xf numFmtId="0" fontId="10" fillId="0" borderId="12" xfId="4" applyFont="1" applyBorder="1" applyAlignment="1">
      <alignment horizontal="left" vertical="center" wrapText="1"/>
      <protection locked="0"/>
    </xf>
    <xf numFmtId="0" fontId="10" fillId="0" borderId="13" xfId="4" applyFont="1" applyBorder="1" applyAlignment="1">
      <alignment horizontal="center" vertical="center" wrapText="1"/>
      <protection locked="0"/>
    </xf>
    <xf numFmtId="0" fontId="10" fillId="0" borderId="8" xfId="4" applyFont="1" applyBorder="1" applyAlignment="1">
      <alignment horizontal="center" vertical="center" wrapText="1"/>
      <protection locked="0"/>
    </xf>
    <xf numFmtId="0" fontId="44" fillId="0" borderId="7" xfId="4" applyFont="1" applyBorder="1" applyAlignment="1">
      <alignment horizontal="center" vertical="center" wrapText="1"/>
      <protection locked="0"/>
    </xf>
    <xf numFmtId="0" fontId="44" fillId="0" borderId="13" xfId="4" applyFont="1" applyBorder="1" applyAlignment="1">
      <alignment horizontal="center" vertical="center" wrapText="1"/>
      <protection locked="0"/>
    </xf>
    <xf numFmtId="0" fontId="44" fillId="0" borderId="8" xfId="4" applyFont="1" applyBorder="1" applyAlignment="1">
      <alignment horizontal="center" vertical="center" wrapText="1"/>
      <protection locked="0"/>
    </xf>
    <xf numFmtId="0" fontId="44" fillId="0" borderId="9" xfId="4" applyFont="1" applyBorder="1" applyAlignment="1">
      <alignment horizontal="center" vertical="center" wrapText="1"/>
      <protection locked="0"/>
    </xf>
    <xf numFmtId="0" fontId="44" fillId="0" borderId="0" xfId="4" applyFont="1" applyAlignment="1">
      <alignment horizontal="center" vertical="center" wrapText="1"/>
      <protection locked="0"/>
    </xf>
    <xf numFmtId="0" fontId="44" fillId="0" borderId="10" xfId="4" applyFont="1" applyBorder="1" applyAlignment="1">
      <alignment horizontal="center" vertical="center" wrapText="1"/>
      <protection locked="0"/>
    </xf>
    <xf numFmtId="0" fontId="44" fillId="0" borderId="11" xfId="4" applyFont="1" applyBorder="1" applyAlignment="1">
      <alignment horizontal="center" vertical="center" wrapText="1"/>
      <protection locked="0"/>
    </xf>
    <xf numFmtId="0" fontId="44" fillId="0" borderId="14" xfId="4" applyFont="1" applyBorder="1" applyAlignment="1">
      <alignment horizontal="center" vertical="center" wrapText="1"/>
      <protection locked="0"/>
    </xf>
    <xf numFmtId="0" fontId="44" fillId="0" borderId="12" xfId="4" applyFont="1" applyBorder="1" applyAlignment="1">
      <alignment horizontal="center" vertical="center" wrapText="1"/>
      <protection locked="0"/>
    </xf>
    <xf numFmtId="0" fontId="10" fillId="0" borderId="7" xfId="4" applyFont="1" applyBorder="1" applyAlignment="1">
      <alignment horizontal="center" vertical="center"/>
      <protection locked="0"/>
    </xf>
    <xf numFmtId="0" fontId="10" fillId="0" borderId="13" xfId="4" applyFont="1" applyBorder="1" applyAlignment="1">
      <alignment horizontal="center" vertical="center"/>
      <protection locked="0"/>
    </xf>
    <xf numFmtId="0" fontId="10" fillId="0" borderId="8" xfId="4" applyFont="1" applyBorder="1" applyAlignment="1">
      <alignment horizontal="center" vertical="center"/>
      <protection locked="0"/>
    </xf>
    <xf numFmtId="0" fontId="10" fillId="0" borderId="11" xfId="4" applyFont="1" applyBorder="1" applyAlignment="1">
      <alignment horizontal="center" vertical="center"/>
      <protection locked="0"/>
    </xf>
    <xf numFmtId="0" fontId="10" fillId="0" borderId="14" xfId="4" applyFont="1" applyBorder="1" applyAlignment="1">
      <alignment horizontal="center" vertical="center"/>
      <protection locked="0"/>
    </xf>
    <xf numFmtId="0" fontId="10" fillId="0" borderId="12" xfId="4" applyFont="1" applyBorder="1" applyAlignment="1">
      <alignment horizontal="center" vertical="center"/>
      <protection locked="0"/>
    </xf>
    <xf numFmtId="0" fontId="12" fillId="0" borderId="11" xfId="4" applyFont="1" applyBorder="1" applyAlignment="1">
      <alignment horizontal="center" vertical="center" wrapText="1"/>
      <protection locked="0"/>
    </xf>
    <xf numFmtId="0" fontId="12" fillId="0" borderId="14" xfId="4" applyFont="1" applyBorder="1" applyAlignment="1">
      <alignment horizontal="center" vertical="center" wrapText="1"/>
      <protection locked="0"/>
    </xf>
    <xf numFmtId="0" fontId="12" fillId="0" borderId="12" xfId="4" applyFont="1" applyBorder="1" applyAlignment="1">
      <alignment horizontal="center" vertical="center" wrapText="1"/>
      <protection locked="0"/>
    </xf>
    <xf numFmtId="0" fontId="10" fillId="0" borderId="7" xfId="4" applyFont="1" applyBorder="1" applyAlignment="1">
      <alignment horizontal="center" vertical="center" wrapText="1"/>
      <protection locked="0"/>
    </xf>
    <xf numFmtId="0" fontId="58" fillId="54" borderId="7" xfId="4" applyFont="1" applyFill="1" applyBorder="1" applyAlignment="1">
      <alignment horizontal="center" vertical="center"/>
      <protection locked="0"/>
    </xf>
    <xf numFmtId="0" fontId="58" fillId="55" borderId="13" xfId="4" applyFont="1" applyFill="1" applyBorder="1" applyAlignment="1">
      <alignment horizontal="center" vertical="center"/>
      <protection locked="0"/>
    </xf>
    <xf numFmtId="0" fontId="58" fillId="55" borderId="8" xfId="4" applyFont="1" applyFill="1" applyBorder="1" applyAlignment="1">
      <alignment horizontal="center" vertical="center"/>
      <protection locked="0"/>
    </xf>
    <xf numFmtId="0" fontId="58" fillId="55" borderId="9" xfId="4" applyFont="1" applyFill="1" applyBorder="1" applyAlignment="1">
      <alignment horizontal="center" vertical="center"/>
      <protection locked="0"/>
    </xf>
    <xf numFmtId="0" fontId="58" fillId="55" borderId="0" xfId="4" applyFont="1" applyFill="1" applyAlignment="1">
      <alignment horizontal="center" vertical="center"/>
      <protection locked="0"/>
    </xf>
    <xf numFmtId="0" fontId="58" fillId="55" borderId="10" xfId="4" applyFont="1" applyFill="1" applyBorder="1" applyAlignment="1">
      <alignment horizontal="center" vertical="center"/>
      <protection locked="0"/>
    </xf>
    <xf numFmtId="0" fontId="59" fillId="0" borderId="7" xfId="4" applyFont="1" applyBorder="1" applyAlignment="1">
      <alignment horizontal="center" vertical="center" wrapText="1"/>
      <protection locked="0"/>
    </xf>
    <xf numFmtId="0" fontId="12" fillId="0" borderId="79" xfId="4" applyFont="1" applyBorder="1" applyAlignment="1">
      <alignment horizontal="center" vertical="center" wrapText="1"/>
      <protection locked="0"/>
    </xf>
    <xf numFmtId="0" fontId="12" fillId="0" borderId="34" xfId="4" applyFont="1" applyBorder="1" applyAlignment="1">
      <alignment horizontal="center" vertical="center" wrapText="1"/>
      <protection locked="0"/>
    </xf>
    <xf numFmtId="0" fontId="12" fillId="0" borderId="37" xfId="4" applyFont="1" applyBorder="1" applyAlignment="1">
      <alignment horizontal="center" vertical="center" wrapText="1"/>
      <protection locked="0"/>
    </xf>
    <xf numFmtId="0" fontId="77" fillId="0" borderId="0" xfId="4" applyFont="1" applyAlignment="1">
      <alignment horizontal="center"/>
      <protection locked="0"/>
    </xf>
    <xf numFmtId="0" fontId="10" fillId="0" borderId="7" xfId="4" applyFont="1" applyBorder="1" applyAlignment="1">
      <alignment horizontal="left" vertical="center" wrapText="1" indent="1"/>
      <protection locked="0"/>
    </xf>
    <xf numFmtId="0" fontId="10" fillId="0" borderId="13" xfId="4" applyFont="1" applyBorder="1" applyAlignment="1">
      <alignment horizontal="left" vertical="center" wrapText="1" indent="1"/>
      <protection locked="0"/>
    </xf>
    <xf numFmtId="0" fontId="10" fillId="0" borderId="8" xfId="4" applyFont="1" applyBorder="1" applyAlignment="1">
      <alignment horizontal="left" vertical="center" wrapText="1" indent="1"/>
      <protection locked="0"/>
    </xf>
    <xf numFmtId="0" fontId="10" fillId="0" borderId="9" xfId="4" applyFont="1" applyBorder="1" applyAlignment="1">
      <alignment horizontal="left" vertical="center" wrapText="1" indent="1"/>
      <protection locked="0"/>
    </xf>
    <xf numFmtId="0" fontId="10" fillId="0" borderId="0" xfId="4" applyFont="1" applyAlignment="1">
      <alignment horizontal="left" vertical="center" wrapText="1" indent="1"/>
      <protection locked="0"/>
    </xf>
    <xf numFmtId="0" fontId="10" fillId="0" borderId="10" xfId="4" applyFont="1" applyBorder="1" applyAlignment="1">
      <alignment horizontal="left" vertical="center" wrapText="1" indent="1"/>
      <protection locked="0"/>
    </xf>
    <xf numFmtId="0" fontId="10" fillId="0" borderId="11" xfId="4" applyFont="1" applyBorder="1" applyAlignment="1">
      <alignment horizontal="left" vertical="center" wrapText="1" indent="1"/>
      <protection locked="0"/>
    </xf>
    <xf numFmtId="0" fontId="10" fillId="0" borderId="14" xfId="4" applyFont="1" applyBorder="1" applyAlignment="1">
      <alignment horizontal="left" vertical="center" wrapText="1" indent="1"/>
      <protection locked="0"/>
    </xf>
    <xf numFmtId="0" fontId="10" fillId="0" borderId="12" xfId="4" applyFont="1" applyBorder="1" applyAlignment="1">
      <alignment horizontal="left" vertical="center" wrapText="1" indent="1"/>
      <protection locked="0"/>
    </xf>
    <xf numFmtId="0" fontId="77" fillId="0" borderId="0" xfId="4" applyFont="1" applyAlignment="1">
      <alignment horizontal="center" vertical="center"/>
      <protection locked="0"/>
    </xf>
    <xf numFmtId="0" fontId="15" fillId="0" borderId="7" xfId="4" applyFont="1" applyBorder="1" applyAlignment="1">
      <alignment horizontal="left" vertical="center" wrapText="1" indent="1"/>
      <protection locked="0"/>
    </xf>
    <xf numFmtId="0" fontId="15" fillId="0" borderId="13" xfId="4" applyFont="1" applyBorder="1" applyAlignment="1">
      <alignment horizontal="left" vertical="center" wrapText="1" indent="1"/>
      <protection locked="0"/>
    </xf>
    <xf numFmtId="0" fontId="15" fillId="0" borderId="8" xfId="4" applyFont="1" applyBorder="1" applyAlignment="1">
      <alignment horizontal="left" vertical="center" wrapText="1" indent="1"/>
      <protection locked="0"/>
    </xf>
    <xf numFmtId="0" fontId="15" fillId="0" borderId="9" xfId="4" applyFont="1" applyBorder="1" applyAlignment="1">
      <alignment horizontal="left" vertical="center" wrapText="1" indent="1"/>
      <protection locked="0"/>
    </xf>
    <xf numFmtId="0" fontId="15" fillId="0" borderId="0" xfId="4" applyFont="1" applyAlignment="1">
      <alignment horizontal="left" vertical="center" wrapText="1" indent="1"/>
      <protection locked="0"/>
    </xf>
    <xf numFmtId="0" fontId="15" fillId="0" borderId="10" xfId="4" applyFont="1" applyBorder="1" applyAlignment="1">
      <alignment horizontal="left" vertical="center" wrapText="1" indent="1"/>
      <protection locked="0"/>
    </xf>
    <xf numFmtId="0" fontId="15" fillId="0" borderId="11" xfId="4" applyFont="1" applyBorder="1" applyAlignment="1">
      <alignment horizontal="left" vertical="center" wrapText="1" indent="1"/>
      <protection locked="0"/>
    </xf>
    <xf numFmtId="0" fontId="15" fillId="0" borderId="14" xfId="4" applyFont="1" applyBorder="1" applyAlignment="1">
      <alignment horizontal="left" vertical="center" wrapText="1" indent="1"/>
      <protection locked="0"/>
    </xf>
    <xf numFmtId="0" fontId="15" fillId="0" borderId="12" xfId="4" applyFont="1" applyBorder="1" applyAlignment="1">
      <alignment horizontal="left" vertical="center" wrapText="1" indent="1"/>
      <protection locked="0"/>
    </xf>
    <xf numFmtId="0" fontId="15" fillId="0" borderId="11" xfId="4" applyFont="1" applyBorder="1" applyAlignment="1">
      <alignment horizontal="center" vertical="center" wrapText="1"/>
      <protection locked="0"/>
    </xf>
    <xf numFmtId="0" fontId="15" fillId="0" borderId="12" xfId="4" applyFont="1" applyBorder="1" applyAlignment="1">
      <alignment horizontal="center" vertical="center" wrapText="1"/>
      <protection locked="0"/>
    </xf>
    <xf numFmtId="0" fontId="21" fillId="50" borderId="9" xfId="0" applyFont="1" applyFill="1" applyBorder="1" applyAlignment="1">
      <alignment horizontal="center" vertical="center" wrapText="1"/>
    </xf>
    <xf numFmtId="0" fontId="21" fillId="57" borderId="0" xfId="0" applyFont="1" applyFill="1" applyAlignment="1">
      <alignment horizontal="center" vertical="center" wrapText="1"/>
    </xf>
    <xf numFmtId="0" fontId="21" fillId="57" borderId="10" xfId="0" applyFont="1" applyFill="1" applyBorder="1" applyAlignment="1">
      <alignment horizontal="center" vertical="center" wrapText="1"/>
    </xf>
    <xf numFmtId="0" fontId="21" fillId="57" borderId="9" xfId="0" applyFont="1" applyFill="1" applyBorder="1" applyAlignment="1">
      <alignment horizontal="center" vertical="center" wrapText="1"/>
    </xf>
    <xf numFmtId="0" fontId="21" fillId="57" borderId="11" xfId="0" applyFont="1" applyFill="1" applyBorder="1" applyAlignment="1">
      <alignment horizontal="center" vertical="center" wrapText="1"/>
    </xf>
    <xf numFmtId="0" fontId="21" fillId="57" borderId="14" xfId="0" applyFont="1" applyFill="1" applyBorder="1" applyAlignment="1">
      <alignment horizontal="center" vertical="center" wrapText="1"/>
    </xf>
    <xf numFmtId="0" fontId="21" fillId="57" borderId="12" xfId="0" applyFont="1" applyFill="1" applyBorder="1" applyAlignment="1">
      <alignment horizontal="center" vertical="center" wrapText="1"/>
    </xf>
    <xf numFmtId="0" fontId="8" fillId="0" borderId="8" xfId="4" applyFont="1" applyBorder="1" applyAlignment="1">
      <alignment horizontal="center" vertical="center" wrapText="1"/>
      <protection locked="0"/>
    </xf>
    <xf numFmtId="0" fontId="8" fillId="0" borderId="9" xfId="4" applyFont="1" applyBorder="1" applyAlignment="1">
      <alignment horizontal="center" vertical="center" wrapText="1"/>
      <protection locked="0"/>
    </xf>
    <xf numFmtId="0" fontId="8" fillId="0" borderId="10" xfId="4" applyFont="1" applyBorder="1" applyAlignment="1">
      <alignment horizontal="center" vertical="center" wrapText="1"/>
      <protection locked="0"/>
    </xf>
    <xf numFmtId="0" fontId="8" fillId="0" borderId="11" xfId="4" applyFont="1" applyBorder="1" applyAlignment="1">
      <alignment horizontal="center" vertical="center" wrapText="1"/>
      <protection locked="0"/>
    </xf>
    <xf numFmtId="0" fontId="8" fillId="0" borderId="14" xfId="4" applyFont="1" applyBorder="1" applyAlignment="1">
      <alignment horizontal="center" vertical="center" wrapText="1"/>
      <protection locked="0"/>
    </xf>
    <xf numFmtId="0" fontId="8" fillId="0" borderId="12" xfId="4" applyFont="1" applyBorder="1" applyAlignment="1">
      <alignment horizontal="center" vertical="center" wrapText="1"/>
      <protection locked="0"/>
    </xf>
    <xf numFmtId="0" fontId="10" fillId="0" borderId="80" xfId="4" applyFont="1" applyBorder="1" applyAlignment="1">
      <alignment horizontal="center" vertical="center" wrapText="1"/>
      <protection locked="0"/>
    </xf>
    <xf numFmtId="0" fontId="10" fillId="0" borderId="81" xfId="4" applyFont="1" applyBorder="1" applyAlignment="1">
      <alignment horizontal="center" vertical="center" wrapText="1"/>
      <protection locked="0"/>
    </xf>
    <xf numFmtId="0" fontId="10" fillId="0" borderId="91" xfId="4" applyFont="1" applyBorder="1" applyAlignment="1">
      <alignment horizontal="center" vertical="center" wrapText="1"/>
      <protection locked="0"/>
    </xf>
    <xf numFmtId="0" fontId="10" fillId="0" borderId="82" xfId="4" applyFont="1" applyBorder="1" applyAlignment="1">
      <alignment horizontal="center" vertical="center" wrapText="1"/>
      <protection locked="0"/>
    </xf>
    <xf numFmtId="0" fontId="10" fillId="0" borderId="83" xfId="4" applyFont="1" applyBorder="1" applyAlignment="1">
      <alignment horizontal="center" vertical="center" wrapText="1"/>
      <protection locked="0"/>
    </xf>
    <xf numFmtId="0" fontId="10" fillId="0" borderId="93" xfId="4" applyFont="1" applyBorder="1" applyAlignment="1">
      <alignment horizontal="center" vertical="center" wrapText="1"/>
      <protection locked="0"/>
    </xf>
    <xf numFmtId="0" fontId="32" fillId="0" borderId="8" xfId="4" applyFont="1" applyBorder="1" applyAlignment="1">
      <alignment horizontal="center" vertical="center"/>
      <protection locked="0"/>
    </xf>
    <xf numFmtId="0" fontId="32" fillId="0" borderId="9" xfId="4" applyFont="1" applyBorder="1" applyAlignment="1">
      <alignment horizontal="center" vertical="center"/>
      <protection locked="0"/>
    </xf>
    <xf numFmtId="0" fontId="32" fillId="0" borderId="10" xfId="4" applyFont="1" applyBorder="1" applyAlignment="1">
      <alignment horizontal="center" vertical="center"/>
      <protection locked="0"/>
    </xf>
    <xf numFmtId="0" fontId="32" fillId="0" borderId="11" xfId="4" applyFont="1" applyBorder="1" applyAlignment="1">
      <alignment horizontal="center" vertical="center"/>
      <protection locked="0"/>
    </xf>
    <xf numFmtId="0" fontId="32" fillId="0" borderId="12" xfId="4" applyFont="1" applyBorder="1" applyAlignment="1">
      <alignment horizontal="center" vertical="center"/>
      <protection locked="0"/>
    </xf>
    <xf numFmtId="0" fontId="21" fillId="50" borderId="78" xfId="4" applyFont="1" applyFill="1" applyBorder="1" applyAlignment="1" applyProtection="1">
      <alignment horizontal="center" vertical="center"/>
    </xf>
    <xf numFmtId="0" fontId="8" fillId="57" borderId="90" xfId="4" applyFont="1" applyFill="1" applyBorder="1" applyAlignment="1" applyProtection="1">
      <alignment horizontal="center" vertical="center"/>
    </xf>
    <xf numFmtId="0" fontId="8" fillId="57" borderId="78" xfId="4" applyFont="1" applyFill="1" applyBorder="1" applyAlignment="1" applyProtection="1">
      <alignment horizontal="center" vertical="center"/>
    </xf>
    <xf numFmtId="0" fontId="21" fillId="50" borderId="0" xfId="0" applyFont="1" applyFill="1" applyAlignment="1">
      <alignment horizontal="center" vertical="center"/>
    </xf>
    <xf numFmtId="0" fontId="21" fillId="57" borderId="10" xfId="0" applyFont="1" applyFill="1" applyBorder="1" applyAlignment="1">
      <alignment horizontal="center" vertical="center"/>
    </xf>
    <xf numFmtId="0" fontId="21" fillId="57" borderId="0" xfId="0" applyFont="1" applyFill="1" applyAlignment="1">
      <alignment horizontal="center" vertical="center"/>
    </xf>
    <xf numFmtId="0" fontId="60" fillId="10" borderId="9" xfId="4" applyFont="1" applyFill="1" applyBorder="1" applyAlignment="1">
      <alignment horizontal="center" vertical="center" wrapText="1"/>
      <protection locked="0"/>
    </xf>
    <xf numFmtId="0" fontId="60" fillId="32" borderId="0" xfId="4" applyFont="1" applyFill="1" applyAlignment="1">
      <alignment horizontal="center" vertical="center" wrapText="1"/>
      <protection locked="0"/>
    </xf>
    <xf numFmtId="0" fontId="60" fillId="32" borderId="84" xfId="4" applyFont="1" applyFill="1" applyBorder="1" applyAlignment="1">
      <alignment horizontal="center" vertical="center" wrapText="1"/>
      <protection locked="0"/>
    </xf>
    <xf numFmtId="0" fontId="60" fillId="32" borderId="81" xfId="4" applyFont="1" applyFill="1" applyBorder="1" applyAlignment="1">
      <alignment horizontal="center" vertical="center" wrapText="1"/>
      <protection locked="0"/>
    </xf>
    <xf numFmtId="0" fontId="60" fillId="32" borderId="92" xfId="4" applyFont="1" applyFill="1" applyBorder="1" applyAlignment="1">
      <alignment horizontal="center" vertical="center" wrapText="1"/>
      <protection locked="0"/>
    </xf>
    <xf numFmtId="0" fontId="60" fillId="32" borderId="82" xfId="4" applyFont="1" applyFill="1" applyBorder="1" applyAlignment="1">
      <alignment horizontal="center" vertical="center" wrapText="1"/>
      <protection locked="0"/>
    </xf>
    <xf numFmtId="0" fontId="60" fillId="32" borderId="83" xfId="4" applyFont="1" applyFill="1" applyBorder="1" applyAlignment="1">
      <alignment horizontal="center" vertical="center" wrapText="1"/>
      <protection locked="0"/>
    </xf>
    <xf numFmtId="0" fontId="60" fillId="32" borderId="85" xfId="4" applyFont="1" applyFill="1" applyBorder="1" applyAlignment="1">
      <alignment horizontal="center" vertical="center" wrapText="1"/>
      <protection locked="0"/>
    </xf>
    <xf numFmtId="0" fontId="60" fillId="32" borderId="94" xfId="4" applyFont="1" applyFill="1" applyBorder="1" applyAlignment="1">
      <alignment horizontal="center" vertical="center" wrapText="1"/>
      <protection locked="0"/>
    </xf>
    <xf numFmtId="0" fontId="73" fillId="50" borderId="0" xfId="4" applyFont="1" applyFill="1" applyAlignment="1">
      <alignment horizontal="center" vertical="center" wrapText="1"/>
      <protection locked="0"/>
    </xf>
    <xf numFmtId="0" fontId="16" fillId="51" borderId="0" xfId="4" applyFont="1" applyFill="1" applyAlignment="1">
      <alignment horizontal="center" vertical="center" wrapText="1"/>
      <protection locked="0"/>
    </xf>
    <xf numFmtId="49" fontId="12" fillId="0" borderId="11" xfId="4" applyNumberFormat="1" applyFont="1" applyBorder="1" applyAlignment="1">
      <alignment horizontal="center" vertical="center" wrapText="1"/>
      <protection locked="0"/>
    </xf>
    <xf numFmtId="0" fontId="3" fillId="50" borderId="9" xfId="4" applyFont="1" applyFill="1" applyBorder="1" applyAlignment="1">
      <alignment horizontal="center" vertical="center"/>
      <protection locked="0"/>
    </xf>
    <xf numFmtId="0" fontId="15" fillId="51" borderId="9" xfId="4" applyFont="1" applyFill="1" applyBorder="1" applyAlignment="1">
      <alignment horizontal="center" vertical="center"/>
      <protection locked="0"/>
    </xf>
    <xf numFmtId="0" fontId="59" fillId="0" borderId="75" xfId="4" applyFont="1" applyBorder="1" applyAlignment="1">
      <alignment horizontal="center" vertical="center" wrapText="1"/>
      <protection locked="0"/>
    </xf>
    <xf numFmtId="0" fontId="8" fillId="0" borderId="76" xfId="4" applyFont="1" applyBorder="1" applyAlignment="1">
      <alignment horizontal="center" vertical="center"/>
      <protection locked="0"/>
    </xf>
    <xf numFmtId="0" fontId="8" fillId="0" borderId="77" xfId="4" applyFont="1" applyBorder="1" applyAlignment="1">
      <alignment horizontal="center" vertical="center"/>
      <protection locked="0"/>
    </xf>
    <xf numFmtId="0" fontId="28" fillId="36" borderId="31" xfId="4" applyFill="1" applyBorder="1" applyAlignment="1">
      <alignment horizontal="center" vertical="center" wrapText="1"/>
      <protection locked="0"/>
    </xf>
    <xf numFmtId="0" fontId="28" fillId="36" borderId="0" xfId="4" applyFill="1" applyAlignment="1">
      <alignment horizontal="center" vertical="center" wrapText="1"/>
      <protection locked="0"/>
    </xf>
    <xf numFmtId="0" fontId="28" fillId="39" borderId="38" xfId="4" applyFill="1" applyBorder="1" applyAlignment="1">
      <alignment horizontal="center" vertical="center" wrapText="1"/>
      <protection locked="0"/>
    </xf>
    <xf numFmtId="0" fontId="28" fillId="39" borderId="31" xfId="4" applyFill="1" applyBorder="1" applyAlignment="1">
      <alignment horizontal="center" vertical="center" wrapText="1"/>
      <protection locked="0"/>
    </xf>
    <xf numFmtId="0" fontId="28" fillId="39" borderId="6" xfId="4" applyFill="1" applyBorder="1" applyAlignment="1">
      <alignment horizontal="center" vertical="center" wrapText="1"/>
      <protection locked="0"/>
    </xf>
    <xf numFmtId="0" fontId="28" fillId="39" borderId="39" xfId="4" applyFill="1" applyBorder="1" applyAlignment="1">
      <alignment horizontal="center" vertical="center" wrapText="1"/>
      <protection locked="0"/>
    </xf>
    <xf numFmtId="0" fontId="28" fillId="39" borderId="0" xfId="4" applyFill="1" applyAlignment="1">
      <alignment horizontal="center" vertical="center" wrapText="1"/>
      <protection locked="0"/>
    </xf>
    <xf numFmtId="0" fontId="28" fillId="39" borderId="35" xfId="4" applyFill="1" applyBorder="1" applyAlignment="1">
      <alignment horizontal="center" vertical="center" wrapText="1"/>
      <protection locked="0"/>
    </xf>
    <xf numFmtId="0" fontId="28" fillId="39" borderId="40" xfId="4" applyFill="1" applyBorder="1" applyAlignment="1">
      <alignment horizontal="center" vertical="center" wrapText="1"/>
      <protection locked="0"/>
    </xf>
    <xf numFmtId="0" fontId="28" fillId="39" borderId="34" xfId="4" applyFill="1" applyBorder="1" applyAlignment="1">
      <alignment horizontal="center" vertical="center" wrapText="1"/>
      <protection locked="0"/>
    </xf>
    <xf numFmtId="0" fontId="28" fillId="39" borderId="36" xfId="4" applyFill="1" applyBorder="1" applyAlignment="1">
      <alignment horizontal="center" vertical="center" wrapText="1"/>
      <protection locked="0"/>
    </xf>
    <xf numFmtId="0" fontId="28" fillId="38" borderId="31" xfId="4" applyFill="1" applyBorder="1" applyAlignment="1">
      <alignment horizontal="center" vertical="center" wrapText="1"/>
      <protection locked="0"/>
    </xf>
    <xf numFmtId="0" fontId="28" fillId="38" borderId="6" xfId="4" applyFill="1" applyBorder="1" applyAlignment="1">
      <alignment horizontal="center" vertical="center" wrapText="1"/>
      <protection locked="0"/>
    </xf>
    <xf numFmtId="0" fontId="28" fillId="38" borderId="0" xfId="4" applyFill="1" applyAlignment="1">
      <alignment horizontal="center" vertical="center" wrapText="1"/>
      <protection locked="0"/>
    </xf>
    <xf numFmtId="0" fontId="28" fillId="38" borderId="35" xfId="4" applyFill="1" applyBorder="1" applyAlignment="1">
      <alignment horizontal="center" vertical="center" wrapText="1"/>
      <protection locked="0"/>
    </xf>
    <xf numFmtId="0" fontId="12" fillId="37" borderId="34" xfId="4" applyFont="1" applyFill="1" applyBorder="1" applyAlignment="1">
      <alignment horizontal="center" vertical="center" wrapText="1"/>
      <protection locked="0"/>
    </xf>
    <xf numFmtId="0" fontId="12" fillId="37" borderId="36" xfId="4" applyFont="1" applyFill="1" applyBorder="1" applyAlignment="1">
      <alignment horizontal="center" vertical="center" wrapText="1"/>
      <protection locked="0"/>
    </xf>
    <xf numFmtId="49" fontId="72" fillId="32" borderId="0" xfId="4" applyNumberFormat="1" applyFont="1" applyFill="1" applyAlignment="1">
      <alignment horizontal="center" vertical="center"/>
      <protection locked="0"/>
    </xf>
    <xf numFmtId="0" fontId="16" fillId="0" borderId="9" xfId="4" applyFont="1" applyBorder="1" applyAlignment="1">
      <alignment horizontal="left" vertical="center" wrapText="1"/>
      <protection locked="0"/>
    </xf>
    <xf numFmtId="0" fontId="16" fillId="0" borderId="0" xfId="4" applyFont="1" applyAlignment="1">
      <alignment horizontal="left" vertical="center" wrapText="1"/>
      <protection locked="0"/>
    </xf>
    <xf numFmtId="0" fontId="16" fillId="0" borderId="10" xfId="4" applyFont="1" applyBorder="1" applyAlignment="1">
      <alignment horizontal="left" vertical="center" wrapText="1"/>
      <protection locked="0"/>
    </xf>
    <xf numFmtId="0" fontId="16" fillId="0" borderId="11" xfId="4" applyFont="1" applyBorder="1" applyAlignment="1">
      <alignment horizontal="left" vertical="center" wrapText="1"/>
      <protection locked="0"/>
    </xf>
    <xf numFmtId="0" fontId="16" fillId="0" borderId="14" xfId="4" applyFont="1" applyBorder="1" applyAlignment="1">
      <alignment horizontal="left" vertical="center" wrapText="1"/>
      <protection locked="0"/>
    </xf>
    <xf numFmtId="0" fontId="16" fillId="0" borderId="12" xfId="4" applyFont="1" applyBorder="1" applyAlignment="1">
      <alignment horizontal="left" vertical="center" wrapText="1"/>
      <protection locked="0"/>
    </xf>
    <xf numFmtId="0" fontId="10" fillId="10" borderId="64" xfId="4" applyFont="1" applyFill="1" applyBorder="1" applyAlignment="1">
      <alignment horizontal="left" vertical="center" wrapText="1"/>
      <protection locked="0"/>
    </xf>
    <xf numFmtId="0" fontId="10" fillId="19" borderId="65" xfId="4" applyFont="1" applyFill="1" applyBorder="1" applyAlignment="1">
      <alignment horizontal="left" vertical="center" wrapText="1"/>
      <protection locked="0"/>
    </xf>
    <xf numFmtId="0" fontId="10" fillId="19" borderId="73" xfId="4" applyFont="1" applyFill="1" applyBorder="1" applyAlignment="1">
      <alignment horizontal="left" vertical="center" wrapText="1"/>
      <protection locked="0"/>
    </xf>
    <xf numFmtId="0" fontId="10" fillId="19" borderId="67" xfId="4" applyFont="1" applyFill="1" applyBorder="1" applyAlignment="1">
      <alignment horizontal="left" vertical="center" wrapText="1"/>
      <protection locked="0"/>
    </xf>
    <xf numFmtId="0" fontId="10" fillId="19" borderId="68" xfId="4" applyFont="1" applyFill="1" applyBorder="1" applyAlignment="1">
      <alignment horizontal="left" vertical="center" wrapText="1"/>
      <protection locked="0"/>
    </xf>
    <xf numFmtId="0" fontId="10" fillId="19" borderId="74" xfId="4" applyFont="1" applyFill="1" applyBorder="1" applyAlignment="1">
      <alignment horizontal="left" vertical="center" wrapText="1"/>
      <protection locked="0"/>
    </xf>
    <xf numFmtId="0" fontId="49" fillId="2" borderId="13" xfId="4" applyFont="1" applyFill="1" applyBorder="1" applyAlignment="1">
      <alignment horizontal="center" vertical="center"/>
      <protection locked="0"/>
    </xf>
    <xf numFmtId="0" fontId="49" fillId="47" borderId="13" xfId="4" applyFont="1" applyFill="1" applyBorder="1" applyAlignment="1">
      <alignment horizontal="center" vertical="center"/>
      <protection locked="0"/>
    </xf>
    <xf numFmtId="0" fontId="49" fillId="47" borderId="8" xfId="4" applyFont="1" applyFill="1" applyBorder="1" applyAlignment="1">
      <alignment horizontal="center" vertical="center"/>
      <protection locked="0"/>
    </xf>
    <xf numFmtId="0" fontId="49" fillId="47" borderId="0" xfId="4" applyFont="1" applyFill="1" applyAlignment="1">
      <alignment horizontal="center" vertical="center"/>
      <protection locked="0"/>
    </xf>
    <xf numFmtId="0" fontId="49" fillId="47" borderId="10" xfId="4" applyFont="1" applyFill="1" applyBorder="1" applyAlignment="1">
      <alignment horizontal="center" vertical="center"/>
      <protection locked="0"/>
    </xf>
    <xf numFmtId="0" fontId="8" fillId="0" borderId="38" xfId="4" applyFont="1" applyBorder="1" applyAlignment="1">
      <alignment horizontal="center" vertical="center" wrapText="1"/>
      <protection locked="0"/>
    </xf>
    <xf numFmtId="0" fontId="8" fillId="0" borderId="6" xfId="4" applyFont="1" applyBorder="1" applyAlignment="1">
      <alignment horizontal="center" vertical="center" wrapText="1"/>
      <protection locked="0"/>
    </xf>
    <xf numFmtId="0" fontId="8" fillId="0" borderId="39" xfId="4" applyFont="1" applyBorder="1" applyAlignment="1">
      <alignment horizontal="center" vertical="center" wrapText="1"/>
      <protection locked="0"/>
    </xf>
    <xf numFmtId="0" fontId="8" fillId="0" borderId="35" xfId="4" applyFont="1" applyBorder="1" applyAlignment="1">
      <alignment horizontal="center" vertical="center" wrapText="1"/>
      <protection locked="0"/>
    </xf>
    <xf numFmtId="0" fontId="8" fillId="0" borderId="40" xfId="4" applyFont="1" applyBorder="1" applyAlignment="1">
      <alignment horizontal="center" vertical="center" wrapText="1"/>
      <protection locked="0"/>
    </xf>
    <xf numFmtId="0" fontId="8" fillId="0" borderId="36" xfId="4" applyFont="1" applyBorder="1" applyAlignment="1">
      <alignment horizontal="center" vertical="center" wrapText="1"/>
      <protection locked="0"/>
    </xf>
    <xf numFmtId="0" fontId="10" fillId="10" borderId="0" xfId="4" applyFont="1" applyFill="1" applyAlignment="1">
      <alignment horizontal="center" vertical="center" wrapText="1"/>
      <protection locked="0"/>
    </xf>
    <xf numFmtId="0" fontId="10" fillId="32" borderId="0" xfId="4" applyFont="1" applyFill="1" applyAlignment="1">
      <alignment horizontal="center" vertical="center" wrapText="1"/>
      <protection locked="0"/>
    </xf>
    <xf numFmtId="0" fontId="10" fillId="32" borderId="10" xfId="4" applyFont="1" applyFill="1" applyBorder="1" applyAlignment="1">
      <alignment horizontal="center" vertical="center" wrapText="1"/>
      <protection locked="0"/>
    </xf>
    <xf numFmtId="0" fontId="10" fillId="0" borderId="67" xfId="4" applyFont="1" applyBorder="1" applyAlignment="1">
      <alignment horizontal="left" vertical="center" wrapText="1"/>
      <protection locked="0"/>
    </xf>
    <xf numFmtId="0" fontId="10" fillId="0" borderId="68" xfId="4" applyFont="1" applyBorder="1" applyAlignment="1">
      <alignment horizontal="left" vertical="center" wrapText="1"/>
      <protection locked="0"/>
    </xf>
    <xf numFmtId="0" fontId="10" fillId="0" borderId="74" xfId="4" applyFont="1" applyBorder="1" applyAlignment="1">
      <alignment horizontal="left" vertical="center" wrapText="1"/>
      <protection locked="0"/>
    </xf>
    <xf numFmtId="0" fontId="10" fillId="10" borderId="69" xfId="4" applyFont="1" applyFill="1" applyBorder="1" applyAlignment="1">
      <alignment horizontal="left" vertical="center" wrapText="1"/>
      <protection locked="0"/>
    </xf>
    <xf numFmtId="0" fontId="10" fillId="32" borderId="0" xfId="4" applyFont="1" applyFill="1" applyAlignment="1">
      <alignment horizontal="left" vertical="center" wrapText="1"/>
      <protection locked="0"/>
    </xf>
    <xf numFmtId="0" fontId="10" fillId="32" borderId="10" xfId="4" applyFont="1" applyFill="1" applyBorder="1" applyAlignment="1">
      <alignment horizontal="left" vertical="center" wrapText="1"/>
      <protection locked="0"/>
    </xf>
    <xf numFmtId="0" fontId="10" fillId="32" borderId="69" xfId="4" applyFont="1" applyFill="1" applyBorder="1" applyAlignment="1">
      <alignment horizontal="left" vertical="center" wrapText="1"/>
      <protection locked="0"/>
    </xf>
    <xf numFmtId="0" fontId="10" fillId="32" borderId="67" xfId="4" applyFont="1" applyFill="1" applyBorder="1" applyAlignment="1">
      <alignment horizontal="left" vertical="center" wrapText="1"/>
      <protection locked="0"/>
    </xf>
    <xf numFmtId="0" fontId="10" fillId="32" borderId="68" xfId="4" applyFont="1" applyFill="1" applyBorder="1" applyAlignment="1">
      <alignment horizontal="left" vertical="center" wrapText="1"/>
      <protection locked="0"/>
    </xf>
    <xf numFmtId="0" fontId="10" fillId="32" borderId="74" xfId="4" applyFont="1" applyFill="1" applyBorder="1" applyAlignment="1">
      <alignment horizontal="left" vertical="center" wrapText="1"/>
      <protection locked="0"/>
    </xf>
    <xf numFmtId="0" fontId="28" fillId="46" borderId="38" xfId="4" applyFill="1" applyBorder="1" applyAlignment="1">
      <alignment horizontal="left" vertical="center" wrapText="1"/>
      <protection locked="0"/>
    </xf>
    <xf numFmtId="0" fontId="28" fillId="46" borderId="31" xfId="4" applyFill="1" applyBorder="1" applyAlignment="1">
      <alignment horizontal="left" vertical="center" wrapText="1"/>
      <protection locked="0"/>
    </xf>
    <xf numFmtId="0" fontId="28" fillId="46" borderId="6" xfId="4" applyFill="1" applyBorder="1" applyAlignment="1">
      <alignment horizontal="left" vertical="center" wrapText="1"/>
      <protection locked="0"/>
    </xf>
    <xf numFmtId="0" fontId="28" fillId="46" borderId="39" xfId="4" applyFill="1" applyBorder="1" applyAlignment="1">
      <alignment horizontal="left" vertical="center" wrapText="1"/>
      <protection locked="0"/>
    </xf>
    <xf numFmtId="0" fontId="28" fillId="46" borderId="0" xfId="4" applyFill="1" applyAlignment="1">
      <alignment horizontal="left" vertical="center" wrapText="1"/>
      <protection locked="0"/>
    </xf>
    <xf numFmtId="0" fontId="28" fillId="46" borderId="35" xfId="4" applyFill="1" applyBorder="1" applyAlignment="1">
      <alignment horizontal="left" vertical="center" wrapText="1"/>
      <protection locked="0"/>
    </xf>
    <xf numFmtId="0" fontId="28" fillId="46" borderId="40" xfId="4" applyFill="1" applyBorder="1" applyAlignment="1">
      <alignment horizontal="left" vertical="center" wrapText="1"/>
      <protection locked="0"/>
    </xf>
    <xf numFmtId="0" fontId="28" fillId="46" borderId="34" xfId="4" applyFill="1" applyBorder="1" applyAlignment="1">
      <alignment horizontal="left" vertical="center" wrapText="1"/>
      <protection locked="0"/>
    </xf>
    <xf numFmtId="0" fontId="28" fillId="46" borderId="36" xfId="4" applyFill="1" applyBorder="1" applyAlignment="1">
      <alignment horizontal="left" vertical="center" wrapText="1"/>
      <protection locked="0"/>
    </xf>
    <xf numFmtId="0" fontId="28" fillId="10" borderId="2" xfId="4" applyFill="1" applyBorder="1" applyAlignment="1">
      <alignment horizontal="center" vertical="center" wrapText="1"/>
      <protection locked="0"/>
    </xf>
    <xf numFmtId="0" fontId="28" fillId="32" borderId="61" xfId="4" applyFill="1" applyBorder="1" applyAlignment="1">
      <alignment horizontal="center" vertical="center" wrapText="1"/>
      <protection locked="0"/>
    </xf>
    <xf numFmtId="0" fontId="28" fillId="32" borderId="3" xfId="4" applyFill="1" applyBorder="1" applyAlignment="1">
      <alignment horizontal="center" vertical="center" wrapText="1"/>
      <protection locked="0"/>
    </xf>
    <xf numFmtId="49" fontId="29" fillId="2" borderId="0" xfId="0" applyNumberFormat="1" applyFont="1" applyFill="1" applyAlignment="1">
      <alignment horizontal="center" vertical="center"/>
    </xf>
    <xf numFmtId="49" fontId="29" fillId="3" borderId="0" xfId="0" applyNumberFormat="1" applyFont="1" applyFill="1" applyAlignment="1">
      <alignment horizontal="center" vertical="center"/>
    </xf>
    <xf numFmtId="49" fontId="38" fillId="27" borderId="0" xfId="0" applyNumberFormat="1" applyFont="1" applyFill="1" applyAlignment="1">
      <alignment horizontal="center" vertical="center"/>
    </xf>
    <xf numFmtId="0" fontId="48" fillId="2" borderId="7" xfId="4" applyFont="1" applyFill="1" applyBorder="1" applyAlignment="1">
      <alignment horizontal="center" vertical="center"/>
      <protection locked="0"/>
    </xf>
    <xf numFmtId="0" fontId="48" fillId="27" borderId="13" xfId="4" applyFont="1" applyFill="1" applyBorder="1" applyAlignment="1">
      <alignment horizontal="center" vertical="center"/>
      <protection locked="0"/>
    </xf>
    <xf numFmtId="0" fontId="48" fillId="27" borderId="8" xfId="4" applyFont="1" applyFill="1" applyBorder="1" applyAlignment="1">
      <alignment horizontal="center" vertical="center"/>
      <protection locked="0"/>
    </xf>
    <xf numFmtId="0" fontId="0" fillId="0" borderId="0" xfId="4" applyFont="1" applyAlignment="1">
      <alignment horizontal="center" vertical="center"/>
      <protection locked="0"/>
    </xf>
    <xf numFmtId="49" fontId="52" fillId="0" borderId="9" xfId="4" applyNumberFormat="1" applyFont="1" applyBorder="1" applyAlignment="1">
      <alignment horizontal="center" vertical="center"/>
      <protection locked="0"/>
    </xf>
    <xf numFmtId="49" fontId="52" fillId="0" borderId="0" xfId="4" applyNumberFormat="1" applyFont="1" applyAlignment="1">
      <alignment horizontal="center" vertical="center"/>
      <protection locked="0"/>
    </xf>
    <xf numFmtId="49" fontId="52" fillId="0" borderId="10" xfId="4" applyNumberFormat="1" applyFont="1" applyBorder="1" applyAlignment="1">
      <alignment horizontal="center" vertical="center"/>
      <protection locked="0"/>
    </xf>
    <xf numFmtId="0" fontId="49" fillId="2" borderId="7" xfId="4" applyFont="1" applyFill="1" applyBorder="1" applyAlignment="1">
      <alignment horizontal="center" vertical="center"/>
      <protection locked="0"/>
    </xf>
    <xf numFmtId="0" fontId="49" fillId="31" borderId="13" xfId="4" applyFont="1" applyFill="1" applyBorder="1" applyAlignment="1">
      <alignment horizontal="center" vertical="center"/>
      <protection locked="0"/>
    </xf>
    <xf numFmtId="0" fontId="49" fillId="31" borderId="8" xfId="4" applyFont="1" applyFill="1" applyBorder="1" applyAlignment="1">
      <alignment horizontal="center" vertical="center"/>
      <protection locked="0"/>
    </xf>
    <xf numFmtId="0" fontId="50" fillId="0" borderId="42" xfId="4" applyFont="1" applyBorder="1" applyAlignment="1">
      <alignment horizontal="center" vertical="center"/>
      <protection locked="0"/>
    </xf>
    <xf numFmtId="0" fontId="10" fillId="0" borderId="43" xfId="4" applyFont="1" applyBorder="1" applyAlignment="1">
      <alignment horizontal="center" vertical="center"/>
      <protection locked="0"/>
    </xf>
    <xf numFmtId="0" fontId="10" fillId="0" borderId="44" xfId="4" applyFont="1" applyBorder="1" applyAlignment="1">
      <alignment horizontal="center" vertical="center"/>
      <protection locked="0"/>
    </xf>
    <xf numFmtId="0" fontId="31" fillId="13" borderId="0" xfId="0" applyFont="1" applyFill="1" applyAlignment="1">
      <alignment horizontal="center" vertical="center"/>
    </xf>
    <xf numFmtId="0" fontId="31" fillId="13" borderId="10" xfId="0" applyFont="1" applyFill="1" applyBorder="1" applyAlignment="1">
      <alignment horizontal="center" vertical="center"/>
    </xf>
    <xf numFmtId="0" fontId="32" fillId="0" borderId="4" xfId="4" applyFont="1" applyBorder="1" applyAlignment="1">
      <alignment horizontal="center" vertical="center" wrapText="1"/>
      <protection locked="0"/>
    </xf>
    <xf numFmtId="0" fontId="34" fillId="13" borderId="4" xfId="4" applyFont="1" applyFill="1" applyBorder="1" applyAlignment="1">
      <alignment horizontal="center" vertical="center" wrapText="1"/>
      <protection locked="0"/>
    </xf>
    <xf numFmtId="0" fontId="34" fillId="15" borderId="4" xfId="4" applyFont="1" applyFill="1" applyBorder="1" applyAlignment="1">
      <alignment horizontal="center" vertical="center" wrapText="1"/>
      <protection locked="0"/>
    </xf>
    <xf numFmtId="0" fontId="34" fillId="18" borderId="6" xfId="4" applyFont="1" applyFill="1" applyBorder="1" applyAlignment="1">
      <alignment horizontal="center" vertical="center" wrapText="1"/>
      <protection locked="0"/>
    </xf>
    <xf numFmtId="0" fontId="37" fillId="10" borderId="6" xfId="4" applyFont="1" applyFill="1" applyBorder="1" applyAlignment="1">
      <alignment horizontal="center" vertical="center" wrapText="1"/>
      <protection locked="0"/>
    </xf>
    <xf numFmtId="0" fontId="37" fillId="19" borderId="6" xfId="4" applyFont="1" applyFill="1" applyBorder="1" applyAlignment="1">
      <alignment horizontal="center" vertical="center" wrapText="1"/>
      <protection locked="0"/>
    </xf>
    <xf numFmtId="0" fontId="34" fillId="28" borderId="6" xfId="4" applyFont="1" applyFill="1" applyBorder="1" applyAlignment="1">
      <alignment horizontal="center" vertical="center" wrapText="1"/>
      <protection locked="0"/>
    </xf>
    <xf numFmtId="0" fontId="46" fillId="0" borderId="4" xfId="4" applyFont="1" applyBorder="1" applyAlignment="1">
      <alignment horizontal="center" vertical="center" wrapText="1"/>
      <protection locked="0"/>
    </xf>
    <xf numFmtId="0" fontId="41" fillId="0" borderId="4" xfId="4" applyFont="1" applyBorder="1" applyAlignment="1">
      <alignment horizontal="center" vertical="center" wrapText="1"/>
      <protection locked="0"/>
    </xf>
    <xf numFmtId="0" fontId="15" fillId="11" borderId="4" xfId="4" applyFont="1" applyFill="1" applyBorder="1" applyAlignment="1">
      <alignment horizontal="center" vertical="center" wrapText="1"/>
      <protection locked="0"/>
    </xf>
    <xf numFmtId="0" fontId="15" fillId="13" borderId="35" xfId="4" applyFont="1" applyFill="1" applyBorder="1" applyAlignment="1">
      <alignment horizontal="center" vertical="center" wrapText="1"/>
      <protection locked="0"/>
    </xf>
    <xf numFmtId="0" fontId="44" fillId="20" borderId="4" xfId="4" applyFont="1" applyFill="1" applyBorder="1" applyAlignment="1">
      <alignment horizontal="center" vertical="center" wrapText="1"/>
      <protection locked="0"/>
    </xf>
    <xf numFmtId="0" fontId="46" fillId="22" borderId="6" xfId="4" applyFont="1" applyFill="1" applyBorder="1" applyAlignment="1">
      <alignment horizontal="center" vertical="center" wrapText="1"/>
      <protection locked="0"/>
    </xf>
    <xf numFmtId="0" fontId="46" fillId="22" borderId="35" xfId="4" applyFont="1" applyFill="1" applyBorder="1" applyAlignment="1">
      <alignment horizontal="center" vertical="center" wrapText="1"/>
      <protection locked="0"/>
    </xf>
    <xf numFmtId="0" fontId="51" fillId="0" borderId="11" xfId="4" applyFont="1" applyBorder="1" applyAlignment="1">
      <alignment horizontal="center" vertical="center"/>
      <protection locked="0"/>
    </xf>
    <xf numFmtId="0" fontId="15" fillId="0" borderId="53" xfId="0" applyFont="1" applyBorder="1" applyAlignment="1">
      <alignment horizontal="center" vertical="center" wrapText="1"/>
    </xf>
    <xf numFmtId="0" fontId="15" fillId="0" borderId="46"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4" xfId="0" applyFont="1" applyBorder="1" applyAlignment="1">
      <alignment horizontal="center" vertical="center" wrapText="1"/>
    </xf>
    <xf numFmtId="0" fontId="15" fillId="0" borderId="32" xfId="0" applyFont="1" applyBorder="1" applyAlignment="1">
      <alignment horizontal="center" vertical="center" wrapText="1"/>
    </xf>
    <xf numFmtId="0" fontId="28" fillId="0" borderId="0" xfId="4" applyAlignment="1">
      <alignment horizontal="center" vertical="center"/>
      <protection locked="0"/>
    </xf>
    <xf numFmtId="0" fontId="28" fillId="0" borderId="0" xfId="4" applyAlignment="1">
      <alignment horizontal="center" vertical="center" wrapText="1"/>
      <protection locked="0"/>
    </xf>
    <xf numFmtId="0" fontId="15" fillId="34" borderId="9" xfId="4" applyFont="1" applyFill="1" applyBorder="1" applyAlignment="1">
      <alignment horizontal="center" vertical="center"/>
      <protection locked="0"/>
    </xf>
    <xf numFmtId="0" fontId="15" fillId="34" borderId="0" xfId="4" applyFont="1" applyFill="1" applyAlignment="1">
      <alignment horizontal="center" vertical="center"/>
      <protection locked="0"/>
    </xf>
    <xf numFmtId="0" fontId="15" fillId="34" borderId="10" xfId="4" applyFont="1" applyFill="1" applyBorder="1" applyAlignment="1">
      <alignment horizontal="center" vertical="center"/>
      <protection locked="0"/>
    </xf>
    <xf numFmtId="49" fontId="58" fillId="0" borderId="0" xfId="4" applyNumberFormat="1" applyFont="1" applyAlignment="1">
      <alignment horizontal="center" vertical="center"/>
      <protection locked="0"/>
    </xf>
    <xf numFmtId="0" fontId="58" fillId="0" borderId="0" xfId="4" applyFont="1" applyAlignment="1">
      <alignment horizontal="center" vertical="center"/>
      <protection locked="0"/>
    </xf>
    <xf numFmtId="0" fontId="3" fillId="0" borderId="29" xfId="0" applyFont="1" applyBorder="1" applyAlignment="1">
      <alignment horizontal="center" vertical="center" wrapText="1"/>
    </xf>
    <xf numFmtId="0" fontId="3" fillId="0" borderId="32"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50" xfId="0" applyFont="1" applyBorder="1" applyAlignment="1">
      <alignment horizontal="center" vertical="center" wrapText="1"/>
    </xf>
    <xf numFmtId="0" fontId="10" fillId="0" borderId="10" xfId="4" applyFont="1" applyBorder="1" applyAlignment="1">
      <alignment horizontal="center" vertical="center"/>
      <protection locked="0"/>
    </xf>
    <xf numFmtId="0" fontId="10" fillId="0" borderId="0" xfId="0" applyFont="1" applyAlignment="1">
      <alignment horizontal="center" vertical="center" wrapText="1"/>
    </xf>
    <xf numFmtId="0" fontId="15" fillId="0" borderId="0" xfId="4" applyFont="1" applyAlignment="1">
      <alignment horizontal="center" vertical="center"/>
      <protection locked="0"/>
    </xf>
    <xf numFmtId="0" fontId="61" fillId="0" borderId="0" xfId="0" applyFont="1" applyAlignment="1">
      <alignment horizontal="center" vertical="center" wrapText="1"/>
    </xf>
    <xf numFmtId="0" fontId="35" fillId="0" borderId="0" xfId="4" applyFont="1" applyAlignment="1">
      <alignment horizontal="left" vertical="center" wrapText="1"/>
      <protection locked="0"/>
    </xf>
    <xf numFmtId="0" fontId="28" fillId="17" borderId="31" xfId="4" applyFill="1" applyBorder="1" applyAlignment="1">
      <alignment horizontal="center" vertical="center" wrapText="1"/>
      <protection locked="0"/>
    </xf>
    <xf numFmtId="0" fontId="28" fillId="17" borderId="6" xfId="4" applyFill="1" applyBorder="1" applyAlignment="1">
      <alignment horizontal="center" vertical="center" wrapText="1"/>
      <protection locked="0"/>
    </xf>
    <xf numFmtId="0" fontId="28" fillId="17" borderId="0" xfId="4" applyFill="1" applyAlignment="1">
      <alignment horizontal="center" vertical="center" wrapText="1"/>
      <protection locked="0"/>
    </xf>
    <xf numFmtId="0" fontId="28" fillId="17" borderId="35" xfId="4" applyFill="1" applyBorder="1" applyAlignment="1">
      <alignment horizontal="center" vertical="center" wrapText="1"/>
      <protection locked="0"/>
    </xf>
    <xf numFmtId="0" fontId="28" fillId="17" borderId="34" xfId="4" applyFill="1" applyBorder="1" applyAlignment="1">
      <alignment horizontal="center" vertical="center" wrapText="1"/>
      <protection locked="0"/>
    </xf>
    <xf numFmtId="0" fontId="28" fillId="17" borderId="36" xfId="4" applyFill="1" applyBorder="1" applyAlignment="1">
      <alignment horizontal="center" vertical="center" wrapText="1"/>
      <protection locked="0"/>
    </xf>
    <xf numFmtId="0" fontId="0" fillId="24" borderId="38" xfId="4" applyFont="1" applyFill="1" applyBorder="1" applyAlignment="1">
      <alignment horizontal="center" vertical="center"/>
      <protection locked="0"/>
    </xf>
    <xf numFmtId="0" fontId="0" fillId="24" borderId="31" xfId="4" applyFont="1" applyFill="1" applyBorder="1" applyAlignment="1">
      <alignment horizontal="center" vertical="center"/>
      <protection locked="0"/>
    </xf>
    <xf numFmtId="0" fontId="0" fillId="24" borderId="6" xfId="4" applyFont="1" applyFill="1" applyBorder="1" applyAlignment="1">
      <alignment horizontal="center" vertical="center"/>
      <protection locked="0"/>
    </xf>
    <xf numFmtId="0" fontId="0" fillId="24" borderId="39" xfId="4" applyFont="1" applyFill="1" applyBorder="1" applyAlignment="1">
      <alignment horizontal="center" vertical="center"/>
      <protection locked="0"/>
    </xf>
    <xf numFmtId="0" fontId="0" fillId="24" borderId="0" xfId="4" applyFont="1" applyFill="1" applyAlignment="1">
      <alignment horizontal="center" vertical="center"/>
      <protection locked="0"/>
    </xf>
    <xf numFmtId="0" fontId="0" fillId="24" borderId="35" xfId="4" applyFont="1" applyFill="1" applyBorder="1" applyAlignment="1">
      <alignment horizontal="center" vertical="center"/>
      <protection locked="0"/>
    </xf>
    <xf numFmtId="0" fontId="0" fillId="24" borderId="40" xfId="4" applyFont="1" applyFill="1" applyBorder="1" applyAlignment="1">
      <alignment horizontal="center" vertical="center"/>
      <protection locked="0"/>
    </xf>
    <xf numFmtId="0" fontId="0" fillId="24" borderId="34" xfId="4" applyFont="1" applyFill="1" applyBorder="1" applyAlignment="1">
      <alignment horizontal="center" vertical="center"/>
      <protection locked="0"/>
    </xf>
    <xf numFmtId="0" fontId="0" fillId="24" borderId="36" xfId="4" applyFont="1" applyFill="1" applyBorder="1" applyAlignment="1">
      <alignment horizontal="center" vertical="center"/>
      <protection locked="0"/>
    </xf>
    <xf numFmtId="0" fontId="0" fillId="13" borderId="38" xfId="4" applyFont="1" applyFill="1" applyBorder="1" applyAlignment="1">
      <alignment horizontal="center" vertical="center" wrapText="1"/>
      <protection locked="0"/>
    </xf>
    <xf numFmtId="0" fontId="0" fillId="13" borderId="31" xfId="4" applyFont="1" applyFill="1" applyBorder="1" applyAlignment="1">
      <alignment horizontal="center" vertical="center"/>
      <protection locked="0"/>
    </xf>
    <xf numFmtId="0" fontId="0" fillId="13" borderId="6" xfId="4" applyFont="1" applyFill="1" applyBorder="1" applyAlignment="1">
      <alignment horizontal="center" vertical="center"/>
      <protection locked="0"/>
    </xf>
    <xf numFmtId="0" fontId="0" fillId="13" borderId="39" xfId="4" applyFont="1" applyFill="1" applyBorder="1" applyAlignment="1">
      <alignment horizontal="center" vertical="center"/>
      <protection locked="0"/>
    </xf>
    <xf numFmtId="0" fontId="0" fillId="13" borderId="0" xfId="4" applyFont="1" applyFill="1" applyAlignment="1">
      <alignment horizontal="center" vertical="center"/>
      <protection locked="0"/>
    </xf>
    <xf numFmtId="0" fontId="0" fillId="13" borderId="35" xfId="4" applyFont="1" applyFill="1" applyBorder="1" applyAlignment="1">
      <alignment horizontal="center" vertical="center"/>
      <protection locked="0"/>
    </xf>
    <xf numFmtId="0" fontId="0" fillId="13" borderId="40" xfId="4" applyFont="1" applyFill="1" applyBorder="1" applyAlignment="1">
      <alignment horizontal="center" vertical="center"/>
      <protection locked="0"/>
    </xf>
    <xf numFmtId="0" fontId="0" fillId="13" borderId="34" xfId="4" applyFont="1" applyFill="1" applyBorder="1" applyAlignment="1">
      <alignment horizontal="center" vertical="center"/>
      <protection locked="0"/>
    </xf>
    <xf numFmtId="0" fontId="0" fillId="13" borderId="36" xfId="4" applyFont="1" applyFill="1" applyBorder="1" applyAlignment="1">
      <alignment horizontal="center" vertical="center"/>
      <protection locked="0"/>
    </xf>
    <xf numFmtId="0" fontId="45" fillId="21" borderId="38" xfId="4" applyFont="1" applyFill="1" applyBorder="1" applyAlignment="1">
      <alignment horizontal="center" vertical="center" wrapText="1"/>
      <protection locked="0"/>
    </xf>
    <xf numFmtId="0" fontId="45" fillId="21" borderId="31" xfId="4" applyFont="1" applyFill="1" applyBorder="1" applyAlignment="1">
      <alignment horizontal="center" vertical="center" wrapText="1"/>
      <protection locked="0"/>
    </xf>
    <xf numFmtId="0" fontId="45" fillId="21" borderId="6" xfId="4" applyFont="1" applyFill="1" applyBorder="1" applyAlignment="1">
      <alignment horizontal="center" vertical="center" wrapText="1"/>
      <protection locked="0"/>
    </xf>
    <xf numFmtId="0" fontId="45" fillId="21" borderId="39" xfId="4" applyFont="1" applyFill="1" applyBorder="1" applyAlignment="1">
      <alignment horizontal="center" vertical="center" wrapText="1"/>
      <protection locked="0"/>
    </xf>
    <xf numFmtId="0" fontId="45" fillId="21" borderId="0" xfId="4" applyFont="1" applyFill="1" applyAlignment="1">
      <alignment horizontal="center" vertical="center" wrapText="1"/>
      <protection locked="0"/>
    </xf>
    <xf numFmtId="0" fontId="45" fillId="21" borderId="35" xfId="4" applyFont="1" applyFill="1" applyBorder="1" applyAlignment="1">
      <alignment horizontal="center" vertical="center" wrapText="1"/>
      <protection locked="0"/>
    </xf>
    <xf numFmtId="0" fontId="45" fillId="21" borderId="40" xfId="4" applyFont="1" applyFill="1" applyBorder="1" applyAlignment="1">
      <alignment horizontal="center" vertical="center" wrapText="1"/>
      <protection locked="0"/>
    </xf>
    <xf numFmtId="0" fontId="45" fillId="21" borderId="34" xfId="4" applyFont="1" applyFill="1" applyBorder="1" applyAlignment="1">
      <alignment horizontal="center" vertical="center" wrapText="1"/>
      <protection locked="0"/>
    </xf>
    <xf numFmtId="0" fontId="45" fillId="21" borderId="36" xfId="4" applyFont="1" applyFill="1" applyBorder="1" applyAlignment="1">
      <alignment horizontal="center" vertical="center" wrapText="1"/>
      <protection locked="0"/>
    </xf>
    <xf numFmtId="0" fontId="28" fillId="16" borderId="31" xfId="4" applyFill="1" applyBorder="1" applyAlignment="1">
      <alignment horizontal="center" vertical="center" wrapText="1"/>
      <protection locked="0"/>
    </xf>
    <xf numFmtId="0" fontId="28" fillId="16" borderId="31" xfId="4" applyFill="1" applyBorder="1" applyAlignment="1">
      <alignment horizontal="center" vertical="center"/>
      <protection locked="0"/>
    </xf>
    <xf numFmtId="0" fontId="28" fillId="16" borderId="6" xfId="4" applyFill="1" applyBorder="1" applyAlignment="1">
      <alignment horizontal="center" vertical="center"/>
      <protection locked="0"/>
    </xf>
    <xf numFmtId="0" fontId="28" fillId="16" borderId="0" xfId="4" applyFill="1" applyAlignment="1">
      <alignment horizontal="center" vertical="center"/>
      <protection locked="0"/>
    </xf>
    <xf numFmtId="0" fontId="28" fillId="16" borderId="35" xfId="4" applyFill="1" applyBorder="1" applyAlignment="1">
      <alignment horizontal="center" vertical="center"/>
      <protection locked="0"/>
    </xf>
    <xf numFmtId="0" fontId="28" fillId="16" borderId="34" xfId="4" applyFill="1" applyBorder="1" applyAlignment="1">
      <alignment horizontal="center" vertical="center"/>
      <protection locked="0"/>
    </xf>
    <xf numFmtId="0" fontId="28" fillId="16" borderId="36" xfId="4" applyFill="1" applyBorder="1" applyAlignment="1">
      <alignment horizontal="center" vertical="center"/>
      <protection locked="0"/>
    </xf>
    <xf numFmtId="49" fontId="50" fillId="0" borderId="30" xfId="4" applyNumberFormat="1" applyFont="1" applyBorder="1" applyAlignment="1">
      <alignment horizontal="center" vertical="center" wrapText="1"/>
      <protection locked="0"/>
    </xf>
    <xf numFmtId="49" fontId="50" fillId="0" borderId="31" xfId="4" applyNumberFormat="1" applyFont="1" applyBorder="1" applyAlignment="1">
      <alignment horizontal="center" vertical="center" wrapText="1"/>
      <protection locked="0"/>
    </xf>
    <xf numFmtId="49" fontId="50" fillId="0" borderId="33" xfId="4" applyNumberFormat="1" applyFont="1" applyBorder="1" applyAlignment="1">
      <alignment horizontal="center" vertical="center" wrapText="1"/>
      <protection locked="0"/>
    </xf>
    <xf numFmtId="49" fontId="50" fillId="0" borderId="9" xfId="4" applyNumberFormat="1" applyFont="1" applyBorder="1" applyAlignment="1">
      <alignment horizontal="center" vertical="center" wrapText="1"/>
      <protection locked="0"/>
    </xf>
    <xf numFmtId="49" fontId="50" fillId="0" borderId="0" xfId="4" applyNumberFormat="1" applyFont="1" applyAlignment="1">
      <alignment horizontal="center" vertical="center" wrapText="1"/>
      <protection locked="0"/>
    </xf>
    <xf numFmtId="49" fontId="50" fillId="0" borderId="10" xfId="4" applyNumberFormat="1" applyFont="1" applyBorder="1" applyAlignment="1">
      <alignment horizontal="center" vertical="center" wrapText="1"/>
      <protection locked="0"/>
    </xf>
    <xf numFmtId="49" fontId="50" fillId="0" borderId="45" xfId="4" applyNumberFormat="1" applyFont="1" applyBorder="1" applyAlignment="1">
      <alignment horizontal="center" vertical="center" wrapText="1"/>
      <protection locked="0"/>
    </xf>
    <xf numFmtId="49" fontId="50" fillId="0" borderId="34" xfId="4" applyNumberFormat="1" applyFont="1" applyBorder="1" applyAlignment="1">
      <alignment horizontal="center" vertical="center" wrapText="1"/>
      <protection locked="0"/>
    </xf>
    <xf numFmtId="49" fontId="50" fillId="0" borderId="37" xfId="4" applyNumberFormat="1" applyFont="1" applyBorder="1" applyAlignment="1">
      <alignment horizontal="center" vertical="center" wrapText="1"/>
      <protection locked="0"/>
    </xf>
    <xf numFmtId="0" fontId="56" fillId="10" borderId="7" xfId="0" applyFont="1" applyFill="1" applyBorder="1" applyAlignment="1">
      <alignment horizontal="center" vertical="center"/>
    </xf>
    <xf numFmtId="0" fontId="56" fillId="19" borderId="13" xfId="0" applyFont="1" applyFill="1" applyBorder="1" applyAlignment="1">
      <alignment horizontal="center" vertical="center"/>
    </xf>
    <xf numFmtId="0" fontId="56" fillId="19" borderId="8" xfId="0" applyFont="1" applyFill="1" applyBorder="1" applyAlignment="1">
      <alignment horizontal="center" vertical="center"/>
    </xf>
    <xf numFmtId="0" fontId="56" fillId="19" borderId="9" xfId="0" applyFont="1" applyFill="1" applyBorder="1" applyAlignment="1">
      <alignment horizontal="center" vertical="center"/>
    </xf>
    <xf numFmtId="0" fontId="56" fillId="19" borderId="0" xfId="0" applyFont="1" applyFill="1" applyAlignment="1">
      <alignment horizontal="center" vertical="center"/>
    </xf>
    <xf numFmtId="0" fontId="56" fillId="19" borderId="29" xfId="0" applyFont="1" applyFill="1" applyBorder="1" applyAlignment="1">
      <alignment horizontal="center" vertical="center"/>
    </xf>
    <xf numFmtId="0" fontId="56" fillId="19" borderId="32" xfId="0" applyFont="1" applyFill="1" applyBorder="1" applyAlignment="1">
      <alignment horizontal="center" vertical="center"/>
    </xf>
    <xf numFmtId="0" fontId="28" fillId="29" borderId="1" xfId="4" applyFill="1" applyBorder="1" applyAlignment="1">
      <alignment horizontal="left" vertical="center" wrapText="1"/>
      <protection locked="0"/>
    </xf>
    <xf numFmtId="0" fontId="15" fillId="0" borderId="47" xfId="0" applyFont="1" applyBorder="1" applyAlignment="1">
      <alignment horizontal="center" vertical="center" wrapText="1"/>
    </xf>
    <xf numFmtId="0" fontId="15" fillId="0" borderId="47" xfId="4" applyFont="1" applyBorder="1" applyAlignment="1">
      <alignment horizontal="center" vertical="center" wrapText="1"/>
      <protection locked="0"/>
    </xf>
    <xf numFmtId="0" fontId="10" fillId="34" borderId="0" xfId="4" applyFont="1" applyFill="1" applyAlignment="1">
      <alignment horizontal="center" vertical="center"/>
      <protection locked="0"/>
    </xf>
    <xf numFmtId="0" fontId="10" fillId="34" borderId="10" xfId="4" applyFont="1" applyFill="1" applyBorder="1" applyAlignment="1">
      <alignment horizontal="center" vertical="center"/>
      <protection locked="0"/>
    </xf>
    <xf numFmtId="0" fontId="46" fillId="23" borderId="35" xfId="4" applyFont="1" applyFill="1" applyBorder="1" applyAlignment="1">
      <alignment horizontal="center" vertical="center" wrapText="1"/>
      <protection locked="0"/>
    </xf>
    <xf numFmtId="0" fontId="37" fillId="25" borderId="35" xfId="4" applyFont="1" applyFill="1" applyBorder="1" applyAlignment="1">
      <alignment horizontal="center" vertical="center" wrapText="1"/>
      <protection locked="0"/>
    </xf>
    <xf numFmtId="0" fontId="37" fillId="25" borderId="36" xfId="4" applyFont="1" applyFill="1" applyBorder="1" applyAlignment="1">
      <alignment horizontal="center" vertical="center" wrapText="1"/>
      <protection locked="0"/>
    </xf>
    <xf numFmtId="0" fontId="47" fillId="26" borderId="0" xfId="4" applyFont="1" applyFill="1" applyAlignment="1">
      <alignment horizontal="center" vertical="center" wrapText="1"/>
      <protection locked="0"/>
    </xf>
    <xf numFmtId="0" fontId="47" fillId="26" borderId="34" xfId="4" applyFont="1" applyFill="1" applyBorder="1" applyAlignment="1">
      <alignment horizontal="center" vertical="center" wrapText="1"/>
      <protection locked="0"/>
    </xf>
    <xf numFmtId="0" fontId="42" fillId="0" borderId="1" xfId="4" applyFont="1" applyBorder="1" applyAlignment="1">
      <alignment horizontal="center" vertical="center" textRotation="255" wrapText="1"/>
      <protection locked="0"/>
    </xf>
    <xf numFmtId="0" fontId="15" fillId="0" borderId="48" xfId="0" applyFont="1" applyBorder="1" applyAlignment="1">
      <alignment horizontal="center" vertical="center" wrapText="1"/>
    </xf>
    <xf numFmtId="0" fontId="15" fillId="0" borderId="46" xfId="4" applyFont="1" applyBorder="1" applyAlignment="1">
      <alignment horizontal="center" vertical="center" wrapText="1"/>
      <protection locked="0"/>
    </xf>
    <xf numFmtId="0" fontId="15" fillId="0" borderId="29" xfId="4" applyFont="1" applyBorder="1" applyAlignment="1">
      <alignment horizontal="center" vertical="center" wrapText="1"/>
      <protection locked="0"/>
    </xf>
    <xf numFmtId="0" fontId="51" fillId="0" borderId="28" xfId="0" applyFont="1" applyBorder="1" applyAlignment="1">
      <alignment horizontal="center" vertical="center" wrapText="1"/>
    </xf>
    <xf numFmtId="0" fontId="51" fillId="0" borderId="29" xfId="0" applyFont="1" applyBorder="1" applyAlignment="1">
      <alignment horizontal="center" vertical="center" wrapText="1"/>
    </xf>
    <xf numFmtId="0" fontId="51" fillId="0" borderId="50" xfId="0" applyFont="1" applyBorder="1" applyAlignment="1">
      <alignment horizontal="center" vertical="center" wrapText="1"/>
    </xf>
    <xf numFmtId="0" fontId="28" fillId="12" borderId="31" xfId="4" applyFill="1" applyBorder="1" applyAlignment="1">
      <alignment horizontal="center" vertical="center" wrapText="1"/>
      <protection locked="0"/>
    </xf>
    <xf numFmtId="0" fontId="28" fillId="12" borderId="6" xfId="4" applyFill="1" applyBorder="1" applyAlignment="1">
      <alignment horizontal="center" vertical="center" wrapText="1"/>
      <protection locked="0"/>
    </xf>
    <xf numFmtId="0" fontId="28" fillId="12" borderId="0" xfId="4" applyFill="1" applyAlignment="1">
      <alignment horizontal="center" vertical="center" wrapText="1"/>
      <protection locked="0"/>
    </xf>
    <xf numFmtId="0" fontId="28" fillId="12" borderId="35" xfId="4" applyFill="1" applyBorder="1" applyAlignment="1">
      <alignment horizontal="center" vertical="center" wrapText="1"/>
      <protection locked="0"/>
    </xf>
    <xf numFmtId="0" fontId="28" fillId="12" borderId="34" xfId="4" applyFill="1" applyBorder="1" applyAlignment="1">
      <alignment horizontal="center" vertical="center" wrapText="1"/>
      <protection locked="0"/>
    </xf>
    <xf numFmtId="0" fontId="28" fillId="12" borderId="36" xfId="4" applyFill="1" applyBorder="1" applyAlignment="1">
      <alignment horizontal="center" vertical="center" wrapText="1"/>
      <protection locked="0"/>
    </xf>
    <xf numFmtId="0" fontId="8" fillId="0" borderId="9" xfId="4" applyFont="1" applyBorder="1" applyAlignment="1">
      <alignment horizontal="left" vertical="center" wrapText="1"/>
      <protection locked="0"/>
    </xf>
    <xf numFmtId="0" fontId="8" fillId="0" borderId="0" xfId="4" applyFont="1" applyAlignment="1">
      <alignment horizontal="left" vertical="center" wrapText="1"/>
      <protection locked="0"/>
    </xf>
    <xf numFmtId="0" fontId="8" fillId="0" borderId="11" xfId="4" applyFont="1" applyBorder="1" applyAlignment="1">
      <alignment horizontal="left" vertical="center" wrapText="1"/>
      <protection locked="0"/>
    </xf>
    <xf numFmtId="0" fontId="8" fillId="0" borderId="14" xfId="4" applyFont="1" applyBorder="1" applyAlignment="1">
      <alignment horizontal="left" vertical="center" wrapText="1"/>
      <protection locked="0"/>
    </xf>
    <xf numFmtId="0" fontId="3" fillId="0" borderId="48" xfId="0" applyFont="1" applyBorder="1" applyAlignment="1">
      <alignment horizontal="center" vertical="center" wrapText="1"/>
    </xf>
    <xf numFmtId="0" fontId="3" fillId="0" borderId="49" xfId="0" applyFont="1" applyBorder="1" applyAlignment="1">
      <alignment horizontal="center" vertical="center" wrapText="1"/>
    </xf>
    <xf numFmtId="0" fontId="41" fillId="0" borderId="0" xfId="0" applyFont="1" applyAlignment="1">
      <alignment horizontal="center" vertical="center"/>
    </xf>
    <xf numFmtId="0" fontId="51" fillId="0" borderId="0" xfId="4" applyFont="1" applyAlignment="1">
      <alignment horizontal="center" vertical="center"/>
      <protection locked="0"/>
    </xf>
    <xf numFmtId="0" fontId="59" fillId="0" borderId="0" xfId="4" applyFont="1" applyAlignment="1">
      <alignment horizontal="center" vertical="center"/>
      <protection locked="0"/>
    </xf>
    <xf numFmtId="0" fontId="33" fillId="11" borderId="4" xfId="4" applyFont="1" applyFill="1" applyBorder="1" applyAlignment="1">
      <alignment horizontal="left" vertical="center" wrapText="1"/>
      <protection locked="0"/>
    </xf>
    <xf numFmtId="0" fontId="33" fillId="11" borderId="1" xfId="4" applyFont="1" applyFill="1" applyBorder="1" applyAlignment="1">
      <alignment horizontal="left" vertical="center" wrapText="1"/>
      <protection locked="0"/>
    </xf>
    <xf numFmtId="0" fontId="3" fillId="0" borderId="48" xfId="0" applyFont="1" applyBorder="1" applyAlignment="1">
      <alignment horizontal="left" vertical="center" wrapText="1"/>
    </xf>
    <xf numFmtId="0" fontId="3" fillId="0" borderId="10" xfId="0" applyFont="1" applyBorder="1" applyAlignment="1">
      <alignment horizontal="left" vertical="center" wrapText="1"/>
    </xf>
    <xf numFmtId="0" fontId="3" fillId="0" borderId="49" xfId="0" applyFont="1" applyBorder="1" applyAlignment="1">
      <alignment horizontal="left" vertical="center" wrapText="1"/>
    </xf>
    <xf numFmtId="0" fontId="3" fillId="0" borderId="29" xfId="0" applyFont="1" applyBorder="1" applyAlignment="1">
      <alignment horizontal="left" vertical="center" wrapText="1"/>
    </xf>
    <xf numFmtId="0" fontId="3" fillId="0" borderId="32" xfId="0" applyFont="1" applyBorder="1" applyAlignment="1">
      <alignment horizontal="left" vertical="center" wrapText="1"/>
    </xf>
    <xf numFmtId="49" fontId="51" fillId="0" borderId="30" xfId="4" applyNumberFormat="1" applyFont="1" applyBorder="1" applyAlignment="1">
      <alignment horizontal="center" vertical="center" wrapText="1"/>
      <protection locked="0"/>
    </xf>
    <xf numFmtId="49" fontId="51" fillId="0" borderId="31" xfId="4" applyNumberFormat="1" applyFont="1" applyBorder="1" applyAlignment="1">
      <alignment horizontal="center" vertical="center" wrapText="1"/>
      <protection locked="0"/>
    </xf>
    <xf numFmtId="49" fontId="51" fillId="0" borderId="33" xfId="4" applyNumberFormat="1" applyFont="1" applyBorder="1" applyAlignment="1">
      <alignment horizontal="center" vertical="center" wrapText="1"/>
      <protection locked="0"/>
    </xf>
    <xf numFmtId="49" fontId="51" fillId="0" borderId="9" xfId="4" applyNumberFormat="1" applyFont="1" applyBorder="1" applyAlignment="1">
      <alignment horizontal="center" vertical="center" wrapText="1"/>
      <protection locked="0"/>
    </xf>
    <xf numFmtId="49" fontId="51" fillId="0" borderId="0" xfId="4" applyNumberFormat="1" applyFont="1" applyAlignment="1">
      <alignment horizontal="center" vertical="center" wrapText="1"/>
      <protection locked="0"/>
    </xf>
    <xf numFmtId="49" fontId="51" fillId="0" borderId="10" xfId="4" applyNumberFormat="1" applyFont="1" applyBorder="1" applyAlignment="1">
      <alignment horizontal="center" vertical="center" wrapText="1"/>
      <protection locked="0"/>
    </xf>
    <xf numFmtId="49" fontId="51" fillId="0" borderId="45" xfId="4" applyNumberFormat="1" applyFont="1" applyBorder="1" applyAlignment="1">
      <alignment horizontal="center" vertical="center" wrapText="1"/>
      <protection locked="0"/>
    </xf>
    <xf numFmtId="49" fontId="51" fillId="0" borderId="34" xfId="4" applyNumberFormat="1" applyFont="1" applyBorder="1" applyAlignment="1">
      <alignment horizontal="center" vertical="center" wrapText="1"/>
      <protection locked="0"/>
    </xf>
    <xf numFmtId="49" fontId="51" fillId="0" borderId="37" xfId="4" applyNumberFormat="1" applyFont="1" applyBorder="1" applyAlignment="1">
      <alignment horizontal="center" vertical="center" wrapText="1"/>
      <protection locked="0"/>
    </xf>
    <xf numFmtId="49" fontId="50" fillId="0" borderId="31" xfId="4" applyNumberFormat="1" applyFont="1" applyBorder="1" applyAlignment="1">
      <alignment horizontal="center" vertical="center"/>
      <protection locked="0"/>
    </xf>
    <xf numFmtId="49" fontId="50" fillId="0" borderId="33" xfId="4" applyNumberFormat="1" applyFont="1" applyBorder="1" applyAlignment="1">
      <alignment horizontal="center" vertical="center"/>
      <protection locked="0"/>
    </xf>
    <xf numFmtId="49" fontId="50" fillId="0" borderId="9" xfId="4" applyNumberFormat="1" applyFont="1" applyBorder="1" applyAlignment="1">
      <alignment horizontal="center" vertical="center"/>
      <protection locked="0"/>
    </xf>
    <xf numFmtId="49" fontId="50" fillId="0" borderId="0" xfId="4" applyNumberFormat="1" applyFont="1" applyAlignment="1">
      <alignment horizontal="center" vertical="center"/>
      <protection locked="0"/>
    </xf>
    <xf numFmtId="49" fontId="50" fillId="0" borderId="10" xfId="4" applyNumberFormat="1" applyFont="1" applyBorder="1" applyAlignment="1">
      <alignment horizontal="center" vertical="center"/>
      <protection locked="0"/>
    </xf>
    <xf numFmtId="0" fontId="10" fillId="34" borderId="0" xfId="4" applyFont="1" applyFill="1" applyAlignment="1">
      <alignment horizontal="center" vertical="center" wrapText="1"/>
      <protection locked="0"/>
    </xf>
    <xf numFmtId="0" fontId="16" fillId="0" borderId="0" xfId="4" applyFont="1" applyAlignment="1">
      <alignment horizontal="center" vertical="center" wrapText="1"/>
      <protection locked="0"/>
    </xf>
    <xf numFmtId="49" fontId="51" fillId="0" borderId="0" xfId="4" applyNumberFormat="1" applyFont="1" applyAlignment="1">
      <alignment horizontal="center" vertical="center"/>
      <protection locked="0"/>
    </xf>
    <xf numFmtId="49" fontId="51" fillId="0" borderId="10" xfId="4" applyNumberFormat="1" applyFont="1" applyBorder="1" applyAlignment="1">
      <alignment horizontal="center" vertical="center"/>
      <protection locked="0"/>
    </xf>
    <xf numFmtId="49" fontId="51" fillId="0" borderId="11" xfId="4" applyNumberFormat="1" applyFont="1" applyBorder="1" applyAlignment="1">
      <alignment horizontal="center" vertical="center"/>
      <protection locked="0"/>
    </xf>
    <xf numFmtId="49" fontId="51" fillId="0" borderId="14" xfId="4" applyNumberFormat="1" applyFont="1" applyBorder="1" applyAlignment="1">
      <alignment horizontal="center" vertical="center"/>
      <protection locked="0"/>
    </xf>
    <xf numFmtId="49" fontId="51" fillId="0" borderId="12" xfId="4" applyNumberFormat="1" applyFont="1" applyBorder="1" applyAlignment="1">
      <alignment horizontal="center" vertical="center"/>
      <protection locked="0"/>
    </xf>
    <xf numFmtId="0" fontId="8" fillId="34" borderId="9" xfId="4" applyFont="1" applyFill="1" applyBorder="1" applyAlignment="1">
      <alignment horizontal="left" vertical="center" wrapText="1"/>
      <protection locked="0"/>
    </xf>
    <xf numFmtId="0" fontId="8" fillId="34" borderId="0" xfId="4" applyFont="1" applyFill="1" applyAlignment="1">
      <alignment horizontal="left" vertical="center" wrapText="1"/>
      <protection locked="0"/>
    </xf>
    <xf numFmtId="0" fontId="28" fillId="30" borderId="1" xfId="4" applyFill="1" applyBorder="1" applyAlignment="1">
      <alignment horizontal="left" vertical="center" wrapText="1"/>
      <protection locked="0"/>
    </xf>
    <xf numFmtId="49" fontId="51" fillId="0" borderId="45" xfId="4" applyNumberFormat="1" applyFont="1" applyBorder="1" applyAlignment="1">
      <alignment horizontal="center" vertical="center"/>
      <protection locked="0"/>
    </xf>
    <xf numFmtId="49" fontId="51" fillId="0" borderId="34" xfId="4" applyNumberFormat="1" applyFont="1" applyBorder="1" applyAlignment="1">
      <alignment horizontal="center" vertical="center"/>
      <protection locked="0"/>
    </xf>
    <xf numFmtId="49" fontId="51" fillId="0" borderId="37" xfId="4" applyNumberFormat="1" applyFont="1" applyBorder="1" applyAlignment="1">
      <alignment horizontal="center" vertical="center"/>
      <protection locked="0"/>
    </xf>
    <xf numFmtId="0" fontId="15" fillId="0" borderId="52" xfId="0" applyFont="1" applyBorder="1" applyAlignment="1">
      <alignment horizontal="center" vertical="center" wrapText="1"/>
    </xf>
    <xf numFmtId="0" fontId="56" fillId="19" borderId="10" xfId="0" applyFont="1" applyFill="1" applyBorder="1" applyAlignment="1">
      <alignment horizontal="center" vertical="center"/>
    </xf>
    <xf numFmtId="0" fontId="60" fillId="0" borderId="0" xfId="4" applyFont="1" applyAlignment="1">
      <alignment horizontal="center" vertical="center" wrapText="1"/>
      <protection locked="0"/>
    </xf>
    <xf numFmtId="0" fontId="16" fillId="0" borderId="9" xfId="0" applyFont="1" applyBorder="1" applyAlignment="1">
      <alignment horizontal="center" vertical="center" wrapText="1"/>
    </xf>
    <xf numFmtId="0" fontId="16" fillId="0" borderId="0" xfId="0" applyFont="1" applyAlignment="1">
      <alignment horizontal="center" vertical="center" wrapText="1"/>
    </xf>
    <xf numFmtId="0" fontId="16" fillId="0" borderId="47"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52" xfId="0" applyFont="1" applyBorder="1" applyAlignment="1">
      <alignment horizontal="center" vertical="center" wrapText="1"/>
    </xf>
    <xf numFmtId="0" fontId="16" fillId="0" borderId="12" xfId="0" applyFont="1" applyBorder="1" applyAlignment="1">
      <alignment horizontal="center" vertical="center" wrapText="1"/>
    </xf>
    <xf numFmtId="0" fontId="2" fillId="10" borderId="7" xfId="0" applyFont="1" applyFill="1" applyBorder="1" applyAlignment="1">
      <alignment horizontal="center" vertical="center" wrapText="1"/>
    </xf>
    <xf numFmtId="0" fontId="2" fillId="32" borderId="13" xfId="0" applyFont="1" applyFill="1" applyBorder="1" applyAlignment="1">
      <alignment horizontal="center" vertical="center" wrapText="1"/>
    </xf>
    <xf numFmtId="0" fontId="2" fillId="32" borderId="8" xfId="0" applyFont="1" applyFill="1" applyBorder="1" applyAlignment="1">
      <alignment horizontal="center" vertical="center" wrapText="1"/>
    </xf>
    <xf numFmtId="0" fontId="2" fillId="32" borderId="28" xfId="0" applyFont="1" applyFill="1" applyBorder="1" applyAlignment="1">
      <alignment horizontal="center" vertical="center" wrapText="1"/>
    </xf>
    <xf numFmtId="0" fontId="2" fillId="32" borderId="29" xfId="0" applyFont="1" applyFill="1" applyBorder="1" applyAlignment="1">
      <alignment horizontal="center" vertical="center" wrapText="1"/>
    </xf>
    <xf numFmtId="0" fontId="2" fillId="32" borderId="32" xfId="0" applyFont="1" applyFill="1" applyBorder="1" applyAlignment="1">
      <alignment horizontal="center" vertical="center" wrapText="1"/>
    </xf>
    <xf numFmtId="0" fontId="3" fillId="0" borderId="28" xfId="0" applyFont="1" applyBorder="1" applyAlignment="1">
      <alignment horizontal="center" vertical="center"/>
    </xf>
    <xf numFmtId="0" fontId="23" fillId="33" borderId="7" xfId="0" applyFont="1" applyFill="1" applyBorder="1" applyAlignment="1">
      <alignment horizontal="center" vertical="center"/>
    </xf>
    <xf numFmtId="0" fontId="23" fillId="33" borderId="13" xfId="0" applyFont="1" applyFill="1" applyBorder="1" applyAlignment="1">
      <alignment horizontal="center" vertical="center"/>
    </xf>
    <xf numFmtId="0" fontId="23" fillId="33" borderId="8" xfId="0" applyFont="1" applyFill="1" applyBorder="1" applyAlignment="1">
      <alignment horizontal="center" vertical="center"/>
    </xf>
    <xf numFmtId="0" fontId="23" fillId="33" borderId="9" xfId="0" applyFont="1" applyFill="1" applyBorder="1" applyAlignment="1">
      <alignment horizontal="center" vertical="center"/>
    </xf>
    <xf numFmtId="0" fontId="23" fillId="33" borderId="0" xfId="0" applyFont="1" applyFill="1" applyAlignment="1">
      <alignment horizontal="center" vertical="center"/>
    </xf>
    <xf numFmtId="0" fontId="23" fillId="33" borderId="10" xfId="0" applyFont="1" applyFill="1" applyBorder="1" applyAlignment="1">
      <alignment horizontal="center" vertical="center"/>
    </xf>
    <xf numFmtId="0" fontId="3" fillId="0" borderId="47" xfId="0" applyFont="1" applyBorder="1" applyAlignment="1">
      <alignment horizontal="left" vertical="center" wrapText="1"/>
    </xf>
    <xf numFmtId="0" fontId="3" fillId="0" borderId="28" xfId="0" applyFont="1" applyBorder="1" applyAlignment="1">
      <alignment horizontal="left" vertical="center" wrapText="1"/>
    </xf>
    <xf numFmtId="0" fontId="3" fillId="0" borderId="50" xfId="0" applyFont="1" applyBorder="1" applyAlignment="1">
      <alignment horizontal="left" vertical="center" wrapText="1"/>
    </xf>
    <xf numFmtId="0" fontId="15" fillId="0" borderId="57"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48" xfId="4" applyFont="1" applyBorder="1" applyAlignment="1">
      <alignment horizontal="center" vertical="center" wrapText="1"/>
      <protection locked="0"/>
    </xf>
    <xf numFmtId="0" fontId="15" fillId="0" borderId="49" xfId="4" applyFont="1" applyBorder="1" applyAlignment="1">
      <alignment horizontal="center" vertical="center" wrapText="1"/>
      <protection locked="0"/>
    </xf>
    <xf numFmtId="0" fontId="15" fillId="0" borderId="32" xfId="4" applyFont="1" applyBorder="1" applyAlignment="1">
      <alignment horizontal="center" vertical="center" wrapText="1"/>
      <protection locked="0"/>
    </xf>
    <xf numFmtId="0" fontId="4" fillId="8" borderId="8"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8" xfId="0" applyFont="1" applyFill="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1" fillId="0" borderId="10" xfId="0" applyFont="1" applyBorder="1" applyAlignment="1">
      <alignment horizontal="left" vertical="center" wrapText="1"/>
    </xf>
    <xf numFmtId="0" fontId="1" fillId="0" borderId="12" xfId="0" applyFont="1" applyBorder="1" applyAlignment="1">
      <alignment horizontal="left" vertical="center" wrapText="1"/>
    </xf>
    <xf numFmtId="0" fontId="24" fillId="10" borderId="7" xfId="0" applyFont="1" applyFill="1" applyBorder="1" applyAlignment="1">
      <alignment horizontal="center" vertical="center" wrapText="1"/>
    </xf>
    <xf numFmtId="0" fontId="24" fillId="10" borderId="9" xfId="0" applyFont="1" applyFill="1" applyBorder="1" applyAlignment="1">
      <alignment horizontal="center" vertical="center" wrapText="1"/>
    </xf>
    <xf numFmtId="0" fontId="24" fillId="10" borderId="11"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0" borderId="21" xfId="0" applyFont="1" applyBorder="1" applyAlignment="1">
      <alignment horizontal="left" vertical="center" wrapText="1"/>
    </xf>
    <xf numFmtId="0" fontId="1" fillId="0" borderId="23" xfId="0" applyFont="1" applyBorder="1" applyAlignment="1">
      <alignment horizontal="left" vertical="center" wrapText="1"/>
    </xf>
    <xf numFmtId="0" fontId="1" fillId="0" borderId="22" xfId="0" applyFont="1" applyBorder="1" applyAlignment="1">
      <alignment horizontal="left" vertical="center" wrapText="1"/>
    </xf>
    <xf numFmtId="0" fontId="23" fillId="10" borderId="7"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23" fillId="10" borderId="8" xfId="0" applyFont="1" applyFill="1" applyBorder="1" applyAlignment="1">
      <alignment horizontal="center" vertical="center" wrapText="1"/>
    </xf>
    <xf numFmtId="0" fontId="23" fillId="10" borderId="9" xfId="0" applyFont="1" applyFill="1" applyBorder="1" applyAlignment="1">
      <alignment horizontal="center" vertical="center" wrapText="1"/>
    </xf>
    <xf numFmtId="0" fontId="23" fillId="10" borderId="0" xfId="0" applyFont="1" applyFill="1" applyAlignment="1">
      <alignment horizontal="center" vertical="center" wrapText="1"/>
    </xf>
    <xf numFmtId="0" fontId="23" fillId="10" borderId="10" xfId="0" applyFont="1" applyFill="1" applyBorder="1" applyAlignment="1">
      <alignment horizontal="center" vertical="center" wrapText="1"/>
    </xf>
    <xf numFmtId="0" fontId="23" fillId="10" borderId="11" xfId="0" applyFont="1" applyFill="1" applyBorder="1" applyAlignment="1">
      <alignment horizontal="center" vertical="center" wrapText="1"/>
    </xf>
    <xf numFmtId="0" fontId="23" fillId="10" borderId="14" xfId="0" applyFont="1" applyFill="1" applyBorder="1" applyAlignment="1">
      <alignment horizontal="center" vertical="center" wrapText="1"/>
    </xf>
    <xf numFmtId="0" fontId="23" fillId="10" borderId="12" xfId="0" applyFont="1" applyFill="1" applyBorder="1" applyAlignment="1">
      <alignment horizontal="center" vertical="center" wrapText="1"/>
    </xf>
    <xf numFmtId="0" fontId="24" fillId="10" borderId="8" xfId="0" applyFont="1" applyFill="1" applyBorder="1" applyAlignment="1">
      <alignment horizontal="center" vertical="center" wrapText="1"/>
    </xf>
    <xf numFmtId="0" fontId="24" fillId="10" borderId="10"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1" fillId="0" borderId="20" xfId="0" applyFont="1" applyBorder="1" applyAlignment="1">
      <alignment horizontal="left" vertical="center" wrapText="1"/>
    </xf>
    <xf numFmtId="0" fontId="1" fillId="0" borderId="24" xfId="0" applyFont="1" applyBorder="1" applyAlignment="1">
      <alignment horizontal="left" vertical="center" wrapText="1"/>
    </xf>
    <xf numFmtId="0" fontId="25" fillId="0" borderId="20"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1" xfId="0" applyFont="1" applyBorder="1" applyAlignment="1">
      <alignment horizontal="center" vertical="center" wrapText="1"/>
    </xf>
    <xf numFmtId="0" fontId="1" fillId="0" borderId="21" xfId="0" applyFont="1" applyBorder="1" applyAlignment="1">
      <alignment horizontal="center" vertical="center" wrapText="1"/>
    </xf>
    <xf numFmtId="0" fontId="25" fillId="0" borderId="23" xfId="0" applyFont="1" applyBorder="1" applyAlignment="1">
      <alignment horizontal="center" vertical="center" wrapText="1"/>
    </xf>
    <xf numFmtId="0" fontId="1" fillId="0" borderId="22" xfId="0" applyFont="1" applyBorder="1" applyAlignment="1">
      <alignment horizontal="center" vertical="center" wrapText="1"/>
    </xf>
    <xf numFmtId="0" fontId="4" fillId="2" borderId="0" xfId="0" applyFont="1" applyFill="1" applyAlignment="1">
      <alignment horizontal="left" vertical="center" indent="1"/>
    </xf>
    <xf numFmtId="0" fontId="4" fillId="3" borderId="0" xfId="0" applyFont="1" applyFill="1" applyAlignment="1">
      <alignment horizontal="left" vertical="center" indent="1"/>
    </xf>
    <xf numFmtId="0" fontId="1" fillId="0" borderId="1" xfId="0" applyFont="1" applyBorder="1" applyAlignment="1">
      <alignment horizontal="left"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 fillId="0" borderId="1" xfId="0" applyFont="1" applyBorder="1" applyAlignment="1">
      <alignment horizontal="left"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wrapText="1"/>
    </xf>
    <xf numFmtId="0" fontId="1" fillId="0" borderId="4" xfId="0" applyFont="1" applyBorder="1" applyAlignment="1">
      <alignment horizontal="left" vertical="center"/>
    </xf>
    <xf numFmtId="0" fontId="13" fillId="0" borderId="1" xfId="0" applyFont="1" applyBorder="1" applyAlignment="1">
      <alignment horizontal="left" vertical="center" wrapText="1"/>
    </xf>
    <xf numFmtId="0" fontId="4" fillId="2" borderId="1" xfId="0" applyFont="1" applyFill="1" applyBorder="1" applyAlignment="1">
      <alignment horizontal="left" vertical="center" indent="1"/>
    </xf>
    <xf numFmtId="0" fontId="4" fillId="3" borderId="1" xfId="0" applyFont="1" applyFill="1" applyBorder="1" applyAlignment="1">
      <alignment horizontal="left" vertical="center" indent="1"/>
    </xf>
    <xf numFmtId="0" fontId="5" fillId="0" borderId="1" xfId="0" applyFont="1" applyBorder="1" applyAlignment="1">
      <alignment horizontal="center" vertical="center"/>
    </xf>
    <xf numFmtId="0" fontId="1" fillId="0" borderId="1" xfId="0" applyFont="1" applyBorder="1" applyAlignment="1">
      <alignment horizontal="center" vertical="center"/>
    </xf>
    <xf numFmtId="0" fontId="8" fillId="5" borderId="1" xfId="0" applyFont="1" applyFill="1" applyBorder="1" applyAlignment="1">
      <alignment horizontal="center" vertical="center" textRotation="255" wrapText="1"/>
    </xf>
    <xf numFmtId="0" fontId="8" fillId="6" borderId="1" xfId="0" applyFont="1" applyFill="1" applyBorder="1" applyAlignment="1">
      <alignment horizontal="center" vertical="center" textRotation="255" wrapText="1"/>
    </xf>
    <xf numFmtId="0" fontId="4" fillId="2" borderId="3" xfId="0" applyFont="1" applyFill="1" applyBorder="1" applyAlignment="1">
      <alignment horizontal="center" vertical="center"/>
    </xf>
    <xf numFmtId="0" fontId="4" fillId="3" borderId="3" xfId="0" applyFont="1" applyFill="1" applyBorder="1" applyAlignment="1">
      <alignment horizontal="center" vertical="center"/>
    </xf>
    <xf numFmtId="0" fontId="10"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7" fillId="0" borderId="1" xfId="0" applyFont="1" applyBorder="1" applyAlignment="1">
      <alignment horizontal="left" vertical="center"/>
    </xf>
    <xf numFmtId="0" fontId="10" fillId="0" borderId="1" xfId="0" applyFont="1" applyBorder="1" applyAlignment="1">
      <alignment horizontal="left" vertical="center"/>
    </xf>
    <xf numFmtId="0" fontId="13"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1" fillId="0" borderId="1" xfId="0" applyFont="1" applyBorder="1">
      <alignment vertical="center"/>
    </xf>
    <xf numFmtId="0" fontId="4" fillId="3" borderId="2" xfId="0" applyFont="1" applyFill="1" applyBorder="1" applyAlignment="1">
      <alignment horizontal="center" vertical="center"/>
    </xf>
    <xf numFmtId="0" fontId="8" fillId="6" borderId="5" xfId="0" applyFont="1" applyFill="1" applyBorder="1" applyAlignment="1">
      <alignment horizontal="center" vertical="center" textRotation="255" wrapText="1"/>
    </xf>
    <xf numFmtId="0" fontId="8" fillId="5" borderId="3"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5" borderId="1" xfId="0" applyFont="1" applyFill="1" applyBorder="1" applyAlignment="1">
      <alignment vertical="center" wrapText="1"/>
    </xf>
    <xf numFmtId="0" fontId="8" fillId="6" borderId="1" xfId="0" applyFont="1" applyFill="1" applyBorder="1" applyAlignment="1">
      <alignment vertical="center" wrapText="1"/>
    </xf>
    <xf numFmtId="0" fontId="12" fillId="5"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0" fillId="5" borderId="1" xfId="0" applyFont="1" applyFill="1" applyBorder="1" applyAlignment="1">
      <alignment horizontal="center" vertical="center" textRotation="255" wrapText="1"/>
    </xf>
    <xf numFmtId="0" fontId="10" fillId="6" borderId="1" xfId="0" applyFont="1" applyFill="1" applyBorder="1" applyAlignment="1">
      <alignment horizontal="center" vertical="center" textRotation="255" wrapText="1"/>
    </xf>
    <xf numFmtId="0" fontId="18" fillId="0" borderId="1" xfId="0" applyFont="1" applyBorder="1" applyAlignment="1">
      <alignment horizontal="left" vertical="center"/>
    </xf>
    <xf numFmtId="0" fontId="8"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5" fillId="5" borderId="1" xfId="0" applyFont="1" applyFill="1" applyBorder="1" applyAlignment="1">
      <alignment horizontal="center" vertical="center" textRotation="255" wrapText="1"/>
    </xf>
    <xf numFmtId="0" fontId="15" fillId="6" borderId="1" xfId="0" applyFont="1" applyFill="1" applyBorder="1" applyAlignment="1">
      <alignment horizontal="center" vertical="center" textRotation="255" wrapText="1"/>
    </xf>
    <xf numFmtId="0" fontId="8" fillId="6" borderId="2" xfId="0" applyFont="1" applyFill="1" applyBorder="1" applyAlignment="1">
      <alignment horizontal="center" vertical="center" textRotation="255" wrapText="1"/>
    </xf>
    <xf numFmtId="0" fontId="19" fillId="0" borderId="1" xfId="0" applyFont="1" applyBorder="1" applyAlignment="1">
      <alignment horizontal="left" vertical="center"/>
    </xf>
    <xf numFmtId="0" fontId="10" fillId="5" borderId="3"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5"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15" fillId="5" borderId="1" xfId="0" applyFont="1" applyFill="1" applyBorder="1" applyAlignment="1">
      <alignment horizontal="center" vertical="center" textRotation="255"/>
    </xf>
    <xf numFmtId="0" fontId="15" fillId="6" borderId="1" xfId="0" applyFont="1" applyFill="1" applyBorder="1" applyAlignment="1">
      <alignment horizontal="center" vertical="center" textRotation="255"/>
    </xf>
    <xf numFmtId="0" fontId="15" fillId="5"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7" fillId="5" borderId="1" xfId="0" applyFont="1" applyFill="1" applyBorder="1" applyAlignment="1">
      <alignment horizontal="center" vertical="center" textRotation="255" wrapText="1"/>
    </xf>
    <xf numFmtId="0" fontId="17" fillId="6" borderId="1" xfId="0" applyFont="1" applyFill="1" applyBorder="1" applyAlignment="1">
      <alignment horizontal="center" vertical="center" textRotation="255" wrapText="1"/>
    </xf>
    <xf numFmtId="0" fontId="16" fillId="5"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 fillId="5" borderId="1" xfId="0" applyFont="1" applyFill="1" applyBorder="1" applyAlignment="1">
      <alignment horizontal="center" vertical="center" textRotation="255" wrapText="1"/>
    </xf>
    <xf numFmtId="0" fontId="1" fillId="6" borderId="1" xfId="0" applyFont="1" applyFill="1" applyBorder="1" applyAlignment="1">
      <alignment horizontal="center" vertical="center" textRotation="255" wrapText="1"/>
    </xf>
    <xf numFmtId="0" fontId="10" fillId="0" borderId="1" xfId="0" applyFont="1" applyBorder="1" applyAlignment="1">
      <alignment horizontal="left" vertical="center" wrapText="1"/>
    </xf>
    <xf numFmtId="0" fontId="2" fillId="0" borderId="0" xfId="0" applyFont="1" applyAlignment="1">
      <alignment horizontal="center" vertical="center"/>
    </xf>
    <xf numFmtId="0" fontId="1" fillId="0" borderId="0" xfId="0" applyFont="1" applyAlignment="1">
      <alignment vertical="center" wrapText="1"/>
    </xf>
    <xf numFmtId="0" fontId="1" fillId="0" borderId="0" xfId="0" applyFont="1">
      <alignment vertical="center"/>
    </xf>
    <xf numFmtId="0" fontId="6" fillId="0" borderId="1" xfId="6" applyFont="1" applyBorder="1" applyAlignment="1">
      <alignment horizontal="center" vertical="center" wrapText="1"/>
      <protection locked="0"/>
    </xf>
    <xf numFmtId="0" fontId="7" fillId="0" borderId="1" xfId="6" applyFont="1" applyBorder="1" applyAlignment="1">
      <alignment horizontal="center" vertical="center" wrapText="1"/>
      <protection locked="0"/>
    </xf>
    <xf numFmtId="0" fontId="3" fillId="0" borderId="1" xfId="0" applyFont="1" applyBorder="1" applyAlignment="1">
      <alignment horizontal="center" vertical="center"/>
    </xf>
    <xf numFmtId="0" fontId="9" fillId="0" borderId="1" xfId="0" applyFont="1" applyBorder="1">
      <alignment vertical="center"/>
    </xf>
    <xf numFmtId="0" fontId="9" fillId="0" borderId="1" xfId="0" applyFont="1" applyBorder="1" applyAlignment="1">
      <alignment vertical="center" wrapText="1"/>
    </xf>
    <xf numFmtId="0" fontId="1" fillId="0" borderId="4" xfId="0" applyFont="1" applyBorder="1" applyAlignment="1">
      <alignment horizontal="left"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14" fillId="0" borderId="1" xfId="0" applyFont="1" applyBorder="1" applyAlignment="1">
      <alignment horizontal="left"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 xfId="0" applyFont="1" applyBorder="1" applyAlignment="1">
      <alignment vertical="center" wrapText="1"/>
    </xf>
    <xf numFmtId="0" fontId="5" fillId="0" borderId="1" xfId="0" applyFont="1" applyBorder="1">
      <alignment vertical="center"/>
    </xf>
    <xf numFmtId="0" fontId="1" fillId="0" borderId="1" xfId="0" applyFont="1" applyBorder="1" applyAlignment="1">
      <alignment vertical="center" wrapText="1"/>
    </xf>
    <xf numFmtId="0" fontId="1" fillId="0" borderId="3" xfId="0" applyFont="1" applyBorder="1" applyAlignment="1">
      <alignment horizontal="left" vertical="center" wrapText="1"/>
    </xf>
    <xf numFmtId="0" fontId="1" fillId="0" borderId="6" xfId="0" applyFont="1" applyBorder="1" applyAlignment="1">
      <alignment horizontal="left" vertical="center" wrapText="1"/>
    </xf>
    <xf numFmtId="0" fontId="10" fillId="0" borderId="1" xfId="0" applyFont="1" applyBorder="1">
      <alignment vertical="center"/>
    </xf>
  </cellXfs>
  <cellStyles count="7">
    <cellStyle name="20% - 强调文字颜色 1" xfId="1" xr:uid="{00000000-0005-0000-0000-000031000000}"/>
    <cellStyle name="40% - 强调文字颜色 1" xfId="2" xr:uid="{00000000-0005-0000-0000-000032000000}"/>
    <cellStyle name="60% - 强调文字颜色 1" xfId="3" xr:uid="{00000000-0005-0000-0000-000033000000}"/>
    <cellStyle name="Normal" xfId="0" builtinId="0"/>
    <cellStyle name="常规 2" xfId="4" xr:uid="{00000000-0005-0000-0000-000034000000}"/>
    <cellStyle name="强调文字颜色 1" xfId="5" xr:uid="{00000000-0005-0000-0000-000035000000}"/>
    <cellStyle name="超链接" xfId="6" xr:uid="{00000000-0005-0000-0000-000036000000}"/>
  </cellStyles>
  <dxfs count="29">
    <dxf>
      <fill>
        <patternFill patternType="solid">
          <bgColor rgb="FFFFFFFF"/>
        </patternFill>
      </fill>
    </dxf>
    <dxf>
      <fill>
        <patternFill patternType="solid">
          <bgColor rgb="FFFFFFFF"/>
        </patternFill>
      </fill>
    </dxf>
    <dxf>
      <font>
        <color rgb="FFFFFFFF"/>
      </font>
      <fill>
        <patternFill patternType="solid">
          <bgColor rgb="FF808080"/>
        </patternFill>
      </fill>
    </dxf>
    <dxf>
      <fill>
        <patternFill patternType="solid">
          <bgColor rgb="FFC5C9E6"/>
        </patternFill>
      </fill>
      <border>
        <left style="dotted">
          <color auto="1"/>
        </left>
        <right style="dotted">
          <color auto="1"/>
        </right>
        <top style="dotted">
          <color auto="1"/>
        </top>
        <bottom style="dotted">
          <color auto="1"/>
        </bottom>
      </border>
    </dxf>
    <dxf>
      <fill>
        <patternFill patternType="solid">
          <bgColor rgb="FFC1D9CC"/>
        </patternFill>
      </fill>
      <border>
        <left style="dotted">
          <color auto="1"/>
        </left>
        <right style="dotted">
          <color auto="1"/>
        </right>
        <top style="dotted">
          <color auto="1"/>
        </top>
        <bottom style="dotted">
          <color auto="1"/>
        </bottom>
      </border>
    </dxf>
    <dxf>
      <fill>
        <patternFill patternType="solid">
          <bgColor rgb="FFDBBFE4"/>
        </patternFill>
      </fill>
      <border>
        <left style="dotted">
          <color auto="1"/>
        </left>
        <right style="dotted">
          <color auto="1"/>
        </right>
        <top style="dotted">
          <color auto="1"/>
        </top>
        <bottom style="dotted">
          <color auto="1"/>
        </bottom>
      </border>
    </dxf>
    <dxf>
      <fill>
        <patternFill patternType="solid">
          <bgColor rgb="FFA6A6A6"/>
        </patternFill>
      </fill>
      <border>
        <left style="dashDot">
          <color auto="1"/>
        </left>
        <right style="dashDot">
          <color auto="1"/>
        </right>
        <top style="dashDot">
          <color auto="1"/>
        </top>
        <bottom style="dashDot">
          <color auto="1"/>
        </bottom>
      </border>
    </dxf>
    <dxf>
      <font>
        <color rgb="FFFFFFFF"/>
      </font>
      <fill>
        <patternFill patternType="solid">
          <bgColor rgb="FF808080"/>
        </patternFill>
      </fill>
    </dxf>
    <dxf>
      <fill>
        <patternFill patternType="solid">
          <bgColor rgb="FFC5C9E6"/>
        </patternFill>
      </fill>
      <border>
        <left style="dotted">
          <color auto="1"/>
        </left>
        <right style="dotted">
          <color auto="1"/>
        </right>
        <top style="dotted">
          <color auto="1"/>
        </top>
        <bottom style="dotted">
          <color auto="1"/>
        </bottom>
      </border>
    </dxf>
    <dxf>
      <fill>
        <patternFill patternType="solid">
          <bgColor rgb="FFC1D9CC"/>
        </patternFill>
      </fill>
      <border>
        <left style="dotted">
          <color auto="1"/>
        </left>
        <right style="dotted">
          <color auto="1"/>
        </right>
        <top style="dotted">
          <color auto="1"/>
        </top>
        <bottom style="dotted">
          <color auto="1"/>
        </bottom>
      </border>
    </dxf>
    <dxf>
      <fill>
        <patternFill patternType="solid">
          <bgColor rgb="FFDBBFE4"/>
        </patternFill>
      </fill>
      <border>
        <left style="dotted">
          <color auto="1"/>
        </left>
        <right style="dotted">
          <color auto="1"/>
        </right>
        <top style="dotted">
          <color auto="1"/>
        </top>
        <bottom style="dotted">
          <color auto="1"/>
        </bottom>
      </border>
    </dxf>
    <dxf>
      <font>
        <color rgb="FF262626"/>
      </font>
      <fill>
        <patternFill patternType="solid">
          <bgColor rgb="FFA6A6A6"/>
        </patternFill>
      </fill>
      <border>
        <left style="dashDot">
          <color auto="1"/>
        </left>
        <right style="dashDot">
          <color auto="1"/>
        </right>
        <top style="dashDot">
          <color auto="1"/>
        </top>
        <bottom style="dashDot">
          <color auto="1"/>
        </bottom>
      </border>
    </dxf>
    <dxf>
      <fill>
        <patternFill patternType="solid">
          <fgColor rgb="FFDDEBF7"/>
          <bgColor rgb="FFDDEBF7"/>
        </patternFill>
      </fill>
      <border>
        <left/>
        <right/>
        <top/>
        <bottom style="thin">
          <color rgb="FF9BC2E6"/>
        </bottom>
      </border>
    </dxf>
    <dxf>
      <font>
        <b/>
      </font>
      <fill>
        <patternFill patternType="solid">
          <fgColor rgb="FFDDEBF7"/>
          <bgColor rgb="FFDDEBF7"/>
        </patternFill>
      </fill>
      <border>
        <left/>
        <right/>
        <top/>
        <bottom style="thin">
          <color rgb="FF9BC2E6"/>
        </bottom>
      </border>
    </dxf>
    <dxf>
      <font>
        <color rgb="FF000000"/>
      </font>
    </dxf>
    <dxf>
      <font>
        <color rgb="FF000000"/>
      </font>
      <border>
        <left/>
        <right/>
        <top/>
        <bottom style="thin">
          <color rgb="FF9BC2E6"/>
        </bottom>
      </border>
    </dxf>
    <dxf>
      <font>
        <b/>
        <color rgb="FF000000"/>
      </font>
    </dxf>
    <dxf>
      <font>
        <b/>
        <color rgb="FF000000"/>
      </font>
      <border>
        <left/>
        <right/>
        <top style="thin">
          <color rgb="FF5B9BD5"/>
        </top>
        <bottom style="thin">
          <color rgb="FF5B9BD5"/>
        </bottom>
      </border>
    </dxf>
    <dxf>
      <fill>
        <patternFill patternType="solid">
          <fgColor rgb="FFDDEBF7"/>
          <bgColor rgb="FFDDEBF7"/>
        </patternFill>
      </fill>
    </dxf>
    <dxf>
      <fill>
        <patternFill patternType="solid">
          <fgColor rgb="FFDDEBF7"/>
          <bgColor rgb="FFDDEBF7"/>
        </patternFill>
      </fill>
    </dxf>
    <dxf>
      <font>
        <b/>
        <color rgb="FF000000"/>
      </font>
      <fill>
        <patternFill patternType="solid">
          <fgColor rgb="FFDDEBF7"/>
          <bgColor rgb="FFDDEBF7"/>
        </patternFill>
      </fill>
      <border>
        <left/>
        <right/>
        <top style="thin">
          <color rgb="FF9BC2E6"/>
        </top>
        <bottom style="thin">
          <color rgb="FF9BC2E6"/>
        </bottom>
      </border>
    </dxf>
    <dxf>
      <font>
        <b/>
        <color rgb="FF000000"/>
      </font>
      <fill>
        <patternFill patternType="solid">
          <fgColor rgb="FFDDEBF7"/>
          <bgColor rgb="FFDDEBF7"/>
        </patternFill>
      </fill>
      <border>
        <left/>
        <right/>
        <top/>
        <bottom style="thin">
          <color rgb="FF9BC2E6"/>
        </bottom>
      </border>
    </dxf>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left/>
        <right/>
        <top style="double">
          <color rgb="FF5B9BD5"/>
        </top>
        <bottom/>
      </border>
    </dxf>
    <dxf>
      <font>
        <b/>
        <color rgb="FFFFFFFF"/>
      </font>
      <fill>
        <patternFill patternType="solid">
          <fgColor rgb="FF5B9BD5"/>
          <bgColor rgb="FF5B9BD5"/>
        </patternFill>
      </fill>
    </dxf>
    <dxf>
      <font>
        <color rgb="FF000000"/>
      </font>
      <border>
        <left style="thin">
          <color rgb="FF5B9BD5"/>
        </left>
        <right style="thin">
          <color rgb="FF5B9BD5"/>
        </right>
        <top style="thin">
          <color rgb="FF5B9BD5"/>
        </top>
        <bottom style="thin">
          <color rgb="FF5B9BD5"/>
        </bottom>
        <horizontal style="thin">
          <color rgb="FF9BC2E6"/>
        </horizontal>
      </border>
    </dxf>
  </dxfs>
  <tableStyles count="2" defaultTableStyle="TableStylePreset3_Accent1 1" defaultPivotStyle="PivotStylePreset2_Accent1 1">
    <tableStyle name="TableStylePreset3_Accent1 1" pivot="0" count="7" xr9:uid="{9655FB70-144E-2E31-495A-8B69CBFE104C}">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1" table="0" count="10" xr9:uid="{FCC5D697-7C2F-5C42-495A-8B692569B42E}">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8872037097670899"/>
          <c:y val="0.16944937833037299"/>
          <c:w val="0.68107652112517003"/>
          <c:h val="0.63944802550504298"/>
        </c:manualLayout>
      </c:layout>
      <c:radarChart>
        <c:radarStyle val="filled"/>
        <c:varyColors val="0"/>
        <c:ser>
          <c:idx val="0"/>
          <c:order val="0"/>
          <c:spPr>
            <a:solidFill>
              <a:schemeClr val="dk1">
                <a:tint val="88500"/>
              </a:schemeClr>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90</c:v>
                </c:pt>
                <c:pt idx="1">
                  <c:v>50</c:v>
                </c:pt>
                <c:pt idx="2">
                  <c:v>70</c:v>
                </c:pt>
                <c:pt idx="3">
                  <c:v>40</c:v>
                </c:pt>
                <c:pt idx="4">
                  <c:v>65</c:v>
                </c:pt>
                <c:pt idx="5">
                  <c:v>80</c:v>
                </c:pt>
                <c:pt idx="6">
                  <c:v>75</c:v>
                </c:pt>
                <c:pt idx="7">
                  <c:v>65</c:v>
                </c:pt>
                <c:pt idx="8">
                  <c:v>70</c:v>
                </c:pt>
              </c:numCache>
            </c:numRef>
          </c:val>
          <c:extLst>
            <c:ext xmlns:c16="http://schemas.microsoft.com/office/drawing/2014/chart" uri="{C3380CC4-5D6E-409C-BE32-E72D297353CC}">
              <c16:uniqueId val="{00000000-321A-C74E-A9B0-C1E14639F538}"/>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icrosoft YaHei" pitchFamily="34" charset="-122"/>
                <a:cs typeface="+mn-cs"/>
              </a:defRPr>
            </a:pPr>
            <a:endParaRPr lang="en-US"/>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Microsoft YaHei" pitchFamily="34" charset="-122"/>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dk1">
                <a:tint val="88500"/>
              </a:schemeClr>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0.19279661016949154</c:v>
                </c:pt>
                <c:pt idx="1">
                  <c:v>0.22033898305084745</c:v>
                </c:pt>
                <c:pt idx="2">
                  <c:v>0.30861581920903952</c:v>
                </c:pt>
                <c:pt idx="3">
                  <c:v>8.4745762711864403E-2</c:v>
                </c:pt>
                <c:pt idx="4">
                  <c:v>3.5310734463276837E-2</c:v>
                </c:pt>
                <c:pt idx="5">
                  <c:v>0.15819209039548024</c:v>
                </c:pt>
              </c:numCache>
            </c:numRef>
          </c:val>
          <c:extLst>
            <c:ext xmlns:c16="http://schemas.microsoft.com/office/drawing/2014/chart" uri="{C3380CC4-5D6E-409C-BE32-E72D297353CC}">
              <c16:uniqueId val="{00000000-71CC-BB4F-84DA-B0EA0D60AD73}"/>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icrosoft YaHei" pitchFamily="34" charset="-122"/>
                <a:cs typeface="+mn-cs"/>
              </a:defRPr>
            </a:pPr>
            <a:endParaRPr lang="en-US"/>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Microsoft YaHei" pitchFamily="34" charset="-122"/>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51</xdr:col>
      <xdr:colOff>0</xdr:colOff>
      <xdr:row>8</xdr:row>
      <xdr:rowOff>0</xdr:rowOff>
    </xdr:from>
    <xdr:to>
      <xdr:col>60</xdr:col>
      <xdr:colOff>8745</xdr:colOff>
      <xdr:row>15</xdr:row>
      <xdr:rowOff>215205</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59</xdr:col>
      <xdr:colOff>86170</xdr:colOff>
      <xdr:row>8</xdr:row>
      <xdr:rowOff>25003</xdr:rowOff>
    </xdr:from>
    <xdr:to>
      <xdr:col>69</xdr:col>
      <xdr:colOff>201135</xdr:colOff>
      <xdr:row>16</xdr:row>
      <xdr:rowOff>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143926</xdr:colOff>
      <xdr:row>39</xdr:row>
      <xdr:rowOff>0</xdr:rowOff>
    </xdr:from>
    <xdr:to>
      <xdr:col>41</xdr:col>
      <xdr:colOff>284014</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5315565" y="8293100"/>
          <a:ext cx="3880485" cy="509524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98fmti" TargetMode="External"/><Relationship Id="rId6" Type="http://schemas.openxmlformats.org/officeDocument/2006/relationships/hyperlink" Target="https://www.lanzous.com/b00nb3n2d" TargetMode="External"/><Relationship Id="rId5" Type="http://schemas.openxmlformats.org/officeDocument/2006/relationships/hyperlink" Target="https://www.lanzous.com/i76887g"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181"/>
  <sheetViews>
    <sheetView showGridLines="0" topLeftCell="F63" zoomScaleNormal="109" workbookViewId="0">
      <selection activeCell="BA20" sqref="BA20:BI20"/>
    </sheetView>
  </sheetViews>
  <sheetFormatPr baseColWidth="10" defaultColWidth="9" defaultRowHeight="18" customHeight="1"/>
  <cols>
    <col min="1" max="77" width="3.1640625" style="340" customWidth="1"/>
  </cols>
  <sheetData>
    <row r="1" spans="1:77" s="340" customFormat="1" ht="18" customHeight="1">
      <c r="B1" s="944" t="s">
        <v>0</v>
      </c>
      <c r="C1" s="945"/>
      <c r="D1" s="945"/>
      <c r="E1" s="945"/>
      <c r="F1" s="945"/>
      <c r="G1" s="945"/>
      <c r="H1" s="945"/>
      <c r="I1" s="945"/>
      <c r="J1" s="945"/>
      <c r="K1" s="945"/>
      <c r="L1" s="945"/>
      <c r="M1" s="945"/>
      <c r="N1" s="945"/>
      <c r="O1" s="945"/>
      <c r="P1" s="945"/>
      <c r="Q1" s="945"/>
      <c r="R1" s="945"/>
      <c r="S1" s="945"/>
      <c r="T1" s="945"/>
      <c r="U1" s="945"/>
      <c r="V1" s="945"/>
      <c r="W1" s="945"/>
      <c r="X1" s="945"/>
      <c r="Y1" s="945"/>
      <c r="Z1" s="945"/>
      <c r="AA1" s="945"/>
      <c r="AB1" s="945"/>
      <c r="AC1" s="945"/>
      <c r="AD1" s="945"/>
      <c r="AE1" s="945"/>
      <c r="AF1" s="945"/>
      <c r="AG1" s="945"/>
      <c r="AH1" s="945"/>
      <c r="AI1" s="945"/>
      <c r="AJ1" s="945"/>
      <c r="AK1" s="945"/>
      <c r="AL1" s="945"/>
      <c r="AM1" s="945"/>
      <c r="AN1" s="945"/>
      <c r="AO1" s="945"/>
      <c r="AP1" s="945"/>
      <c r="AQ1" s="945"/>
      <c r="AR1" s="945"/>
      <c r="AS1" s="945"/>
      <c r="AT1" s="945"/>
      <c r="AU1" s="945"/>
      <c r="AV1" s="945"/>
      <c r="AW1" s="945"/>
      <c r="AX1" s="945"/>
      <c r="AY1" s="945"/>
      <c r="AZ1" s="945"/>
      <c r="BA1" s="945"/>
      <c r="BB1" s="945"/>
      <c r="BC1" s="945"/>
      <c r="BD1" s="945"/>
      <c r="BE1" s="945"/>
      <c r="BF1" s="945"/>
      <c r="BG1" s="945"/>
      <c r="BH1" s="945"/>
      <c r="BI1" s="945"/>
      <c r="BJ1" s="945"/>
      <c r="BK1" s="945"/>
      <c r="BL1" s="945"/>
      <c r="BM1" s="945"/>
      <c r="BN1" s="945"/>
      <c r="BO1" s="945"/>
      <c r="BP1" s="945"/>
      <c r="BQ1" s="945"/>
      <c r="BR1" s="945"/>
    </row>
    <row r="2" spans="1:77" s="340" customFormat="1" ht="18" customHeight="1">
      <c r="B2" s="946" t="s">
        <v>1</v>
      </c>
      <c r="C2" s="947"/>
      <c r="D2" s="947"/>
      <c r="E2" s="947"/>
      <c r="F2" s="947"/>
      <c r="G2" s="947"/>
      <c r="H2" s="947"/>
      <c r="I2" s="947"/>
      <c r="J2" s="947"/>
      <c r="K2" s="947"/>
      <c r="L2" s="947"/>
      <c r="M2" s="947"/>
      <c r="N2" s="947"/>
      <c r="O2" s="947"/>
      <c r="P2" s="947"/>
      <c r="Q2" s="948"/>
      <c r="S2" s="949" t="s">
        <v>2</v>
      </c>
      <c r="T2" s="950"/>
      <c r="U2" s="950"/>
      <c r="V2" s="951" t="str">
        <f>附表!D37</f>
        <v>教育进步*1</v>
      </c>
      <c r="W2" s="952"/>
      <c r="X2" s="952"/>
      <c r="Y2" s="952"/>
      <c r="Z2" s="952"/>
      <c r="AA2" s="953" t="s">
        <v>3</v>
      </c>
      <c r="AB2" s="954"/>
      <c r="AC2" s="955" t="s">
        <v>4</v>
      </c>
      <c r="AD2" s="956"/>
      <c r="AE2" s="956"/>
      <c r="AF2" s="956"/>
      <c r="AG2" s="957">
        <f>U3+U5+U7+AA3+AA5+AA7+AG3+AG5+AG7</f>
        <v>605</v>
      </c>
      <c r="AH2" s="958"/>
      <c r="AI2" s="958"/>
      <c r="AJ2" s="959"/>
      <c r="AL2" s="1626" t="e">
        <v>#VALUE!</v>
      </c>
      <c r="AM2" s="1627"/>
      <c r="AN2" s="1627"/>
      <c r="AO2" s="1627"/>
      <c r="AP2" s="1627"/>
      <c r="AQ2" s="1627"/>
      <c r="AR2" s="1627"/>
      <c r="AS2" s="1628"/>
      <c r="AU2" s="960" t="s">
        <v>5</v>
      </c>
      <c r="AV2" s="961"/>
      <c r="AW2" s="961"/>
      <c r="AX2" s="961"/>
      <c r="AY2" s="961"/>
      <c r="AZ2" s="961"/>
      <c r="BA2" s="961"/>
      <c r="BB2" s="961"/>
      <c r="BC2" s="961"/>
      <c r="BD2" s="961"/>
      <c r="BE2" s="961"/>
      <c r="BF2" s="961"/>
      <c r="BG2" s="961"/>
      <c r="BH2" s="961"/>
      <c r="BI2" s="961"/>
      <c r="BJ2" s="961"/>
      <c r="BK2" s="961"/>
      <c r="BL2" s="961"/>
      <c r="BM2" s="961"/>
      <c r="BN2" s="961"/>
      <c r="BO2" s="961"/>
      <c r="BP2" s="961"/>
      <c r="BQ2" s="961"/>
      <c r="BR2" s="962"/>
    </row>
    <row r="3" spans="1:77" s="340" customFormat="1" ht="18" customHeight="1">
      <c r="B3" s="963" t="s">
        <v>6</v>
      </c>
      <c r="C3" s="964"/>
      <c r="D3" s="964"/>
      <c r="E3" s="965" t="s">
        <v>5946</v>
      </c>
      <c r="F3" s="964"/>
      <c r="G3" s="964"/>
      <c r="H3" s="964"/>
      <c r="I3" s="964"/>
      <c r="J3" s="964"/>
      <c r="K3" s="964"/>
      <c r="L3" s="964"/>
      <c r="M3" s="964"/>
      <c r="N3" s="964"/>
      <c r="O3" s="964"/>
      <c r="P3" s="964"/>
      <c r="Q3" s="966"/>
      <c r="S3" s="1615" t="s">
        <v>7</v>
      </c>
      <c r="T3" s="1616"/>
      <c r="U3" s="1619">
        <v>90</v>
      </c>
      <c r="V3" s="1616"/>
      <c r="W3" s="967">
        <f t="shared" ref="W3:W7" si="0">INT(U3/2)</f>
        <v>45</v>
      </c>
      <c r="X3" s="968"/>
      <c r="Y3" s="1620" t="s">
        <v>8</v>
      </c>
      <c r="Z3" s="1620"/>
      <c r="AA3" s="1620">
        <v>40</v>
      </c>
      <c r="AB3" s="1620"/>
      <c r="AC3" s="969">
        <f t="shared" ref="AC3:AC7" si="1">INT(AA3/2)</f>
        <v>20</v>
      </c>
      <c r="AD3" s="969"/>
      <c r="AE3" s="1621" t="s">
        <v>9</v>
      </c>
      <c r="AF3" s="1616"/>
      <c r="AG3" s="1621">
        <v>75</v>
      </c>
      <c r="AH3" s="1616"/>
      <c r="AI3" s="970">
        <f t="shared" ref="AI3:AI7" si="2">INT(AG3/2)</f>
        <v>37</v>
      </c>
      <c r="AJ3" s="971"/>
      <c r="AL3" s="1629"/>
      <c r="AM3" s="1630"/>
      <c r="AN3" s="1630"/>
      <c r="AO3" s="1630"/>
      <c r="AP3" s="1630"/>
      <c r="AQ3" s="1630"/>
      <c r="AR3" s="1630"/>
      <c r="AS3" s="1631"/>
      <c r="AU3" s="1543" t="str">
        <f>IF(U3=0,"",IF(U3&lt;=15,"虚弱，孱弱",IF(U3&lt;=40,"力量弱小",IF(U3&lt;=60,"有正常人的力量",IF(U3&lt;=80,"超乎常人的力量",IF(U3&lt;100,"超乎超乎常人的力量"))))))</f>
        <v>超乎超乎常人的力量</v>
      </c>
      <c r="AV3" s="1544"/>
      <c r="AW3" s="1544"/>
      <c r="AX3" s="1544"/>
      <c r="AY3" s="1544"/>
      <c r="AZ3" s="1544"/>
      <c r="BA3" s="1544"/>
      <c r="BB3" s="1544"/>
      <c r="BC3" s="1547" t="str">
        <f>IF(AA3=0,"",IF(AA3&lt;=20,"很不灵活",IF(AA3&lt;=40,"不是很灵活",IF(AA3&lt;=60,"普通人水平",IF(AA3&lt;=80,"是一位运动健将",IF(AA3&lt;100,"高速而灵活,可以达成超凡的技艺"))))))</f>
        <v>不是很灵活</v>
      </c>
      <c r="BD3" s="1547"/>
      <c r="BE3" s="1547"/>
      <c r="BF3" s="1547"/>
      <c r="BG3" s="1547"/>
      <c r="BH3" s="1547"/>
      <c r="BI3" s="1547"/>
      <c r="BJ3" s="1547"/>
      <c r="BK3" s="1549" t="str">
        <f>IF(AG3=0,"",IF(AG3&lt;=20,"尔不过玩物",IF(AG3&lt;=40,"痴愚盲目",IF(AG3&lt;=60,"如常人一般会有一定自制力",IF(AG3&lt;=80,"我心如铁，心坚石穿",IF(AG3&lt;100,"泰山崩于面而色不变",IF(AG3&lt;140,"钢铁之心，还能看见鬼","你怕是个假人吧")))))))</f>
        <v>我心如铁，心坚石穿</v>
      </c>
      <c r="BL3" s="1544"/>
      <c r="BM3" s="1544"/>
      <c r="BN3" s="1544"/>
      <c r="BO3" s="1544"/>
      <c r="BP3" s="1544"/>
      <c r="BQ3" s="1544"/>
      <c r="BR3" s="1550"/>
    </row>
    <row r="4" spans="1:77" s="340" customFormat="1" ht="18" customHeight="1">
      <c r="B4" s="972" t="s">
        <v>10</v>
      </c>
      <c r="C4" s="968"/>
      <c r="D4" s="968"/>
      <c r="E4" s="973" t="s">
        <v>5944</v>
      </c>
      <c r="F4" s="967"/>
      <c r="G4" s="967"/>
      <c r="H4" s="967"/>
      <c r="I4" s="967"/>
      <c r="J4" s="967" t="s">
        <v>11</v>
      </c>
      <c r="K4" s="968"/>
      <c r="L4" s="968"/>
      <c r="M4" s="967" t="s">
        <v>3241</v>
      </c>
      <c r="N4" s="968"/>
      <c r="O4" s="968"/>
      <c r="P4" s="968"/>
      <c r="Q4" s="974"/>
      <c r="S4" s="1617"/>
      <c r="T4" s="1618"/>
      <c r="U4" s="1618"/>
      <c r="V4" s="1618"/>
      <c r="W4" s="967">
        <f>INT(U3/5)</f>
        <v>18</v>
      </c>
      <c r="X4" s="968"/>
      <c r="Y4" s="1529"/>
      <c r="Z4" s="1529"/>
      <c r="AA4" s="1529"/>
      <c r="AB4" s="1529"/>
      <c r="AC4" s="964">
        <f t="shared" ref="AC4:AC8" si="3">INT(AA3/5)</f>
        <v>8</v>
      </c>
      <c r="AD4" s="964"/>
      <c r="AE4" s="1618"/>
      <c r="AF4" s="1618"/>
      <c r="AG4" s="1618"/>
      <c r="AH4" s="1618"/>
      <c r="AI4" s="967">
        <f t="shared" ref="AI4:AI8" si="4">INT(AG3/5)</f>
        <v>15</v>
      </c>
      <c r="AJ4" s="974"/>
      <c r="AL4" s="1629"/>
      <c r="AM4" s="1630"/>
      <c r="AN4" s="1630"/>
      <c r="AO4" s="1630"/>
      <c r="AP4" s="1630"/>
      <c r="AQ4" s="1630"/>
      <c r="AR4" s="1630"/>
      <c r="AS4" s="1631"/>
      <c r="AU4" s="1652"/>
      <c r="AV4" s="1544"/>
      <c r="AW4" s="1544"/>
      <c r="AX4" s="1544"/>
      <c r="AY4" s="1544"/>
      <c r="AZ4" s="1544"/>
      <c r="BA4" s="1544"/>
      <c r="BB4" s="1544"/>
      <c r="BC4" s="1547"/>
      <c r="BD4" s="1547"/>
      <c r="BE4" s="1547"/>
      <c r="BF4" s="1547"/>
      <c r="BG4" s="1547"/>
      <c r="BH4" s="1547"/>
      <c r="BI4" s="1547"/>
      <c r="BJ4" s="1547"/>
      <c r="BK4" s="1544"/>
      <c r="BL4" s="1544"/>
      <c r="BM4" s="1544"/>
      <c r="BN4" s="1544"/>
      <c r="BO4" s="1544"/>
      <c r="BP4" s="1544"/>
      <c r="BQ4" s="1544"/>
      <c r="BR4" s="1550"/>
    </row>
    <row r="5" spans="1:77" s="340" customFormat="1" ht="18" customHeight="1">
      <c r="B5" s="963" t="s">
        <v>13</v>
      </c>
      <c r="C5" s="964"/>
      <c r="D5" s="964"/>
      <c r="E5" s="965" t="s">
        <v>1222</v>
      </c>
      <c r="F5" s="964"/>
      <c r="G5" s="964"/>
      <c r="H5" s="964"/>
      <c r="I5" s="964"/>
      <c r="J5" s="964" t="s">
        <v>14</v>
      </c>
      <c r="K5" s="964"/>
      <c r="L5" s="964"/>
      <c r="M5" s="964">
        <v>218</v>
      </c>
      <c r="N5" s="964"/>
      <c r="O5" s="964"/>
      <c r="P5" s="964"/>
      <c r="Q5" s="966"/>
      <c r="S5" s="1528" t="s">
        <v>15</v>
      </c>
      <c r="T5" s="1529"/>
      <c r="U5" s="1529">
        <v>50</v>
      </c>
      <c r="V5" s="1529"/>
      <c r="W5" s="969">
        <f t="shared" si="0"/>
        <v>25</v>
      </c>
      <c r="X5" s="969"/>
      <c r="Y5" s="1175" t="s">
        <v>16</v>
      </c>
      <c r="Z5" s="1618"/>
      <c r="AA5" s="1175">
        <v>65</v>
      </c>
      <c r="AB5" s="1618"/>
      <c r="AC5" s="967">
        <f t="shared" si="1"/>
        <v>32</v>
      </c>
      <c r="AD5" s="968"/>
      <c r="AE5" s="1529" t="s">
        <v>17</v>
      </c>
      <c r="AF5" s="1529"/>
      <c r="AG5" s="1529">
        <v>65</v>
      </c>
      <c r="AH5" s="1529"/>
      <c r="AI5" s="964">
        <f t="shared" si="2"/>
        <v>32</v>
      </c>
      <c r="AJ5" s="966"/>
      <c r="AL5" s="1629"/>
      <c r="AM5" s="1630"/>
      <c r="AN5" s="1630"/>
      <c r="AO5" s="1630"/>
      <c r="AP5" s="1630"/>
      <c r="AQ5" s="1630"/>
      <c r="AR5" s="1630"/>
      <c r="AS5" s="1631"/>
      <c r="AU5" s="1613" t="str">
        <f>IF(U5=0,"",IF(U5&lt;=20,"常年患病在身",IF(U5&lt;=40,"体弱多病",IF(U5&lt;=60,"不会生什么大毛病",IF(U5&lt;=80,"健硕，浑身湿透也不会感冒",IF(U5&lt;100,"身体素质极好，精神抖擞"))))))</f>
        <v>不会生什么大毛病</v>
      </c>
      <c r="AV5" s="1547"/>
      <c r="AW5" s="1547"/>
      <c r="AX5" s="1547"/>
      <c r="AY5" s="1547"/>
      <c r="AZ5" s="1547"/>
      <c r="BA5" s="1547"/>
      <c r="BB5" s="1547"/>
      <c r="BC5" s="1549" t="str">
        <f>IF(AA5=0,"",IF(AA5&lt;=20,"用脸就能恐惧敌人。。或队友",IF(AA5&lt;=40,"有些难看",IF(AA5&lt;=60,"人群之中谁也不会看你一眼之后就忘不掉你容颜",IF(AA5&lt;=80,"五官端正，仪表堂堂",IF(AA5&lt;100,"沉鱼落雁，闭月羞花"))))))</f>
        <v>五官端正，仪表堂堂</v>
      </c>
      <c r="BD5" s="1544"/>
      <c r="BE5" s="1544"/>
      <c r="BF5" s="1544"/>
      <c r="BG5" s="1544"/>
      <c r="BH5" s="1544"/>
      <c r="BI5" s="1544"/>
      <c r="BJ5" s="1544"/>
      <c r="BK5" s="1547" t="str">
        <f>IF(AG5=0,"",IF(AG5&lt;=20,"目不识丁",IF(AG5&lt;=40,"小学毕业",IF(AG5&lt;=60,"高中毕业",IF(AG5&lt;=80,"是重点大学的学生，或是普通大学的研究生",IF(AG5&lt;100,"饱读诗书，满腹经纶"))))))</f>
        <v>是重点大学的学生，或是普通大学的研究生</v>
      </c>
      <c r="BL5" s="1547"/>
      <c r="BM5" s="1547"/>
      <c r="BN5" s="1547"/>
      <c r="BO5" s="1547"/>
      <c r="BP5" s="1547"/>
      <c r="BQ5" s="1547"/>
      <c r="BR5" s="1614"/>
    </row>
    <row r="6" spans="1:77" s="340" customFormat="1" ht="18" customHeight="1">
      <c r="B6" s="972" t="s">
        <v>18</v>
      </c>
      <c r="C6" s="968"/>
      <c r="D6" s="968"/>
      <c r="E6" s="975">
        <v>31</v>
      </c>
      <c r="F6" s="976"/>
      <c r="G6" s="976"/>
      <c r="H6" s="976"/>
      <c r="I6" s="976"/>
      <c r="J6" s="967" t="s">
        <v>19</v>
      </c>
      <c r="K6" s="968"/>
      <c r="L6" s="968"/>
      <c r="M6" s="973" t="s">
        <v>5945</v>
      </c>
      <c r="N6" s="968"/>
      <c r="O6" s="968"/>
      <c r="P6" s="968"/>
      <c r="Q6" s="974"/>
      <c r="S6" s="1528"/>
      <c r="T6" s="1529"/>
      <c r="U6" s="1529"/>
      <c r="V6" s="1529"/>
      <c r="W6" s="964">
        <f t="shared" ref="W6:W8" si="5">INT(U5/5)</f>
        <v>10</v>
      </c>
      <c r="X6" s="964"/>
      <c r="Y6" s="1618"/>
      <c r="Z6" s="1618"/>
      <c r="AA6" s="1618"/>
      <c r="AB6" s="1618"/>
      <c r="AC6" s="967">
        <f t="shared" si="3"/>
        <v>13</v>
      </c>
      <c r="AD6" s="968"/>
      <c r="AE6" s="1646"/>
      <c r="AF6" s="1647"/>
      <c r="AG6" s="1646"/>
      <c r="AH6" s="1646"/>
      <c r="AI6" s="977">
        <f t="shared" si="4"/>
        <v>13</v>
      </c>
      <c r="AJ6" s="978"/>
      <c r="AL6" s="1629"/>
      <c r="AM6" s="1630"/>
      <c r="AN6" s="1630"/>
      <c r="AO6" s="1630"/>
      <c r="AP6" s="1630"/>
      <c r="AQ6" s="1630"/>
      <c r="AR6" s="1630"/>
      <c r="AS6" s="1631"/>
      <c r="AU6" s="1613"/>
      <c r="AV6" s="1547"/>
      <c r="AW6" s="1547"/>
      <c r="AX6" s="1547"/>
      <c r="AY6" s="1547"/>
      <c r="AZ6" s="1547"/>
      <c r="BA6" s="1547"/>
      <c r="BB6" s="1547"/>
      <c r="BC6" s="1544"/>
      <c r="BD6" s="1544"/>
      <c r="BE6" s="1544"/>
      <c r="BF6" s="1544"/>
      <c r="BG6" s="1544"/>
      <c r="BH6" s="1544"/>
      <c r="BI6" s="1544"/>
      <c r="BJ6" s="1544"/>
      <c r="BK6" s="1547"/>
      <c r="BL6" s="1547"/>
      <c r="BM6" s="1547"/>
      <c r="BN6" s="1547"/>
      <c r="BO6" s="1547"/>
      <c r="BP6" s="1547"/>
      <c r="BQ6" s="1547"/>
      <c r="BR6" s="1614"/>
    </row>
    <row r="7" spans="1:77" s="340" customFormat="1" ht="18" customHeight="1">
      <c r="B7" s="963" t="s">
        <v>20</v>
      </c>
      <c r="C7" s="964"/>
      <c r="D7" s="964"/>
      <c r="E7" s="965" t="s">
        <v>5948</v>
      </c>
      <c r="F7" s="964"/>
      <c r="G7" s="964"/>
      <c r="H7" s="964"/>
      <c r="I7" s="964"/>
      <c r="J7" s="964" t="s">
        <v>21</v>
      </c>
      <c r="K7" s="964"/>
      <c r="L7" s="964"/>
      <c r="M7" s="965" t="s">
        <v>5947</v>
      </c>
      <c r="N7" s="964"/>
      <c r="O7" s="964"/>
      <c r="P7" s="964"/>
      <c r="Q7" s="966"/>
      <c r="S7" s="1609" t="s">
        <v>22</v>
      </c>
      <c r="T7" s="1618"/>
      <c r="U7" s="1175">
        <v>70</v>
      </c>
      <c r="V7" s="1618"/>
      <c r="W7" s="970">
        <f t="shared" si="0"/>
        <v>35</v>
      </c>
      <c r="X7" s="979"/>
      <c r="Y7" s="1529" t="s">
        <v>23</v>
      </c>
      <c r="Z7" s="1529"/>
      <c r="AA7" s="1529">
        <v>80</v>
      </c>
      <c r="AB7" s="1529"/>
      <c r="AC7" s="964">
        <f t="shared" si="1"/>
        <v>40</v>
      </c>
      <c r="AD7" s="980"/>
      <c r="AE7" s="1638" t="s">
        <v>24</v>
      </c>
      <c r="AF7" s="1639"/>
      <c r="AG7" s="1642">
        <v>70</v>
      </c>
      <c r="AH7" s="1643"/>
      <c r="AI7" s="981">
        <f t="shared" si="2"/>
        <v>35</v>
      </c>
      <c r="AJ7" s="982"/>
      <c r="AL7" s="1629"/>
      <c r="AM7" s="1630"/>
      <c r="AN7" s="1630"/>
      <c r="AO7" s="1630"/>
      <c r="AP7" s="1630"/>
      <c r="AQ7" s="1630"/>
      <c r="AR7" s="1630"/>
      <c r="AS7" s="1631"/>
      <c r="AU7" s="1543" t="str">
        <f>IF(U7=0,"",IF(U7&lt;=20,"孩童，身短体瘦",IF(U7&lt;=40,"乙女身材",IF(U7&lt;=60,"普遍身高155-175",IF(U7&lt;=80,"不是高就是胖",IF(U7&lt;=100,"大号的人",IF(U7&lt;150,"听说你正在申请身高世界记录？",IF(U7&lt;180,"你可能是一头牛",IF(U7&lt;200,"你已经是历史上最重的人类了","过分了喂！")))))))))</f>
        <v>不是高就是胖</v>
      </c>
      <c r="AV7" s="1544"/>
      <c r="AW7" s="1544"/>
      <c r="AX7" s="1544"/>
      <c r="AY7" s="1544"/>
      <c r="AZ7" s="1544"/>
      <c r="BA7" s="1544"/>
      <c r="BB7" s="1544"/>
      <c r="BC7" s="1547" t="str">
        <f>IF(AA7=0,"",IF(AA7&lt;=20,"脑子是个好东西，可惜。。。",IF(AA7&lt;=40,"宛如智障",IF(AA7&lt;=60,"有着普通人的灵光一现",IF(AA7&lt;=80,"可以自主进行发明创造",IF(AA7&lt;100,"天才级水准"))))))</f>
        <v>可以自主进行发明创造</v>
      </c>
      <c r="BD7" s="1547"/>
      <c r="BE7" s="1547"/>
      <c r="BF7" s="1547"/>
      <c r="BG7" s="1547"/>
      <c r="BH7" s="1547"/>
      <c r="BI7" s="1547"/>
      <c r="BJ7" s="1547"/>
      <c r="BK7" s="1549" t="str">
        <f>IF(AG7=0,"",IF(AG7&lt;=20,"克夫克妻",IF(AG7&lt;=40,"霉运连连",IF(AG7&lt;=60,"命格平庸",IF(AG7&lt;=80,"在马路边捡到100块",IF(AG7&lt;100,"被幸运女神所眷顾"))))))</f>
        <v>在马路边捡到100块</v>
      </c>
      <c r="BL7" s="1544"/>
      <c r="BM7" s="1544"/>
      <c r="BN7" s="1544"/>
      <c r="BO7" s="1544"/>
      <c r="BP7" s="1544"/>
      <c r="BQ7" s="1544"/>
      <c r="BR7" s="1550"/>
    </row>
    <row r="8" spans="1:77" s="340" customFormat="1" ht="18" customHeight="1">
      <c r="B8" s="983" t="s">
        <v>25</v>
      </c>
      <c r="C8" s="984"/>
      <c r="D8" s="984"/>
      <c r="E8" s="985"/>
      <c r="F8" s="986"/>
      <c r="G8" s="987">
        <v>1980</v>
      </c>
      <c r="H8" s="988"/>
      <c r="I8" s="988"/>
      <c r="J8" s="985" t="s">
        <v>26</v>
      </c>
      <c r="K8" s="986"/>
      <c r="L8" s="989" t="s">
        <v>27</v>
      </c>
      <c r="M8" s="990"/>
      <c r="N8" s="991" t="s">
        <v>28</v>
      </c>
      <c r="O8" s="992"/>
      <c r="P8" s="992"/>
      <c r="Q8" s="993"/>
      <c r="S8" s="1635"/>
      <c r="T8" s="1636"/>
      <c r="U8" s="1636"/>
      <c r="V8" s="1636"/>
      <c r="W8" s="994">
        <f t="shared" si="5"/>
        <v>14</v>
      </c>
      <c r="X8" s="984"/>
      <c r="Y8" s="1637"/>
      <c r="Z8" s="1637"/>
      <c r="AA8" s="1637"/>
      <c r="AB8" s="1637"/>
      <c r="AC8" s="995">
        <f t="shared" si="3"/>
        <v>16</v>
      </c>
      <c r="AD8" s="996"/>
      <c r="AE8" s="1640"/>
      <c r="AF8" s="1641"/>
      <c r="AG8" s="1644"/>
      <c r="AH8" s="1645"/>
      <c r="AI8" s="997">
        <f t="shared" si="4"/>
        <v>14</v>
      </c>
      <c r="AJ8" s="998"/>
      <c r="AL8" s="1632"/>
      <c r="AM8" s="1633"/>
      <c r="AN8" s="1633"/>
      <c r="AO8" s="1633"/>
      <c r="AP8" s="1633"/>
      <c r="AQ8" s="1633"/>
      <c r="AR8" s="1633"/>
      <c r="AS8" s="1634"/>
      <c r="AU8" s="1545"/>
      <c r="AV8" s="1546"/>
      <c r="AW8" s="1546"/>
      <c r="AX8" s="1546"/>
      <c r="AY8" s="1546"/>
      <c r="AZ8" s="1546"/>
      <c r="BA8" s="1546"/>
      <c r="BB8" s="1546"/>
      <c r="BC8" s="1548"/>
      <c r="BD8" s="1548"/>
      <c r="BE8" s="1548"/>
      <c r="BF8" s="1548"/>
      <c r="BG8" s="1548"/>
      <c r="BH8" s="1548"/>
      <c r="BI8" s="1548"/>
      <c r="BJ8" s="1548"/>
      <c r="BK8" s="1546"/>
      <c r="BL8" s="1546"/>
      <c r="BM8" s="1546"/>
      <c r="BN8" s="1546"/>
      <c r="BO8" s="1546"/>
      <c r="BP8" s="1546"/>
      <c r="BQ8" s="1546"/>
      <c r="BR8" s="1551"/>
    </row>
    <row r="9" spans="1:77" s="340" customFormat="1" ht="18" customHeight="1">
      <c r="B9" s="999" t="str">
        <f>IF(F9=0,"","任意特长数：")</f>
        <v/>
      </c>
      <c r="C9" s="999"/>
      <c r="D9" s="999"/>
      <c r="E9" s="999"/>
      <c r="F9" s="1000">
        <f>INDEX(本职技能!$A$2:$HX$69,MATCH("任意特长",本职技能!$A$2:$A$75,0),MATCH($M$5,本职技能!$A$1:$HX$1,0))</f>
        <v>0</v>
      </c>
      <c r="G9" s="1000"/>
      <c r="H9" s="1000"/>
      <c r="I9" s="1000"/>
      <c r="K9" s="1001">
        <f>INDEX(本职技能!$A$2:$HX$69,MATCH("☆",本职技能!$A$2:$A$75,0),MATCH($M$5,本职技能!$A$1:$HX$1,0))</f>
        <v>0</v>
      </c>
      <c r="L9" s="1001"/>
      <c r="M9" s="1001"/>
      <c r="N9" s="1001"/>
      <c r="O9" s="1001"/>
      <c r="P9" s="1001"/>
      <c r="Q9" s="1001"/>
      <c r="R9" s="1001"/>
      <c r="S9" s="519"/>
      <c r="T9" s="1002">
        <f>INDEX(本职技能!$A$2:$HX$69,MATCH("⊙",本职技能!$A$2:$A$75,0),MATCH($M$5,本职技能!$A$1:$HX$1,0))</f>
        <v>0</v>
      </c>
      <c r="U9" s="1002"/>
      <c r="V9" s="1002"/>
      <c r="W9" s="1002"/>
      <c r="X9" s="1002"/>
      <c r="Y9" s="1003"/>
      <c r="Z9" s="1003"/>
      <c r="AA9" s="1003"/>
      <c r="AC9" s="1004">
        <f>INDEX(本职技能!$A$2:$HX$69,MATCH("☯",本职技能!$A$2:$A$75,0),MATCH($M$5,本职技能!$A$1:$HX$1,0))</f>
        <v>0</v>
      </c>
      <c r="AD9" s="1004"/>
      <c r="AE9" s="1005"/>
      <c r="AF9" s="1005"/>
      <c r="AG9" s="1005"/>
      <c r="AH9" s="1005"/>
      <c r="AI9" s="1005"/>
      <c r="AJ9" s="1005"/>
      <c r="AK9" s="934"/>
      <c r="AL9" s="1006">
        <f>INDEX(本职技能!$A$2:$HX$69,MATCH("※",本职技能!$A$2:$A$75,0),MATCH($M$5,本职技能!$A$1:$HX$1,0))</f>
        <v>0</v>
      </c>
      <c r="AM9" s="1006"/>
      <c r="AN9" s="1006"/>
      <c r="AO9" s="1006"/>
      <c r="AP9" s="1007"/>
      <c r="AQ9" s="1007"/>
      <c r="AR9" s="1007"/>
      <c r="AS9" s="1007"/>
      <c r="AU9" s="328"/>
      <c r="AV9" s="328"/>
      <c r="AW9" s="328"/>
      <c r="AX9" s="328"/>
      <c r="AY9" s="937"/>
      <c r="AZ9" s="328"/>
      <c r="BA9" s="328"/>
      <c r="BB9" s="328"/>
      <c r="BC9" s="328"/>
      <c r="BD9" s="328"/>
      <c r="BE9" s="328"/>
      <c r="BF9" s="328"/>
      <c r="BG9" s="328"/>
      <c r="BH9" s="328"/>
      <c r="BI9" s="328"/>
      <c r="BJ9" s="328"/>
      <c r="BK9" s="328"/>
      <c r="BL9" s="328"/>
      <c r="BM9" s="328"/>
      <c r="BN9" s="328"/>
      <c r="BO9" s="328"/>
      <c r="BP9" s="328"/>
      <c r="BQ9" s="328"/>
      <c r="BR9" s="937"/>
      <c r="BX9" s="1541"/>
      <c r="BY9" s="1542"/>
    </row>
    <row r="10" spans="1:77" s="340" customFormat="1" ht="18" customHeight="1">
      <c r="B10" s="1060" t="s">
        <v>29</v>
      </c>
      <c r="C10" s="1061"/>
      <c r="D10" s="1061"/>
      <c r="E10" s="1049">
        <f>G10</f>
        <v>12</v>
      </c>
      <c r="F10" s="1050"/>
      <c r="G10" s="1052">
        <f>INT((U5+U7)/10)</f>
        <v>12</v>
      </c>
      <c r="H10" s="1053"/>
      <c r="I10" s="1008" t="s">
        <v>30</v>
      </c>
      <c r="J10" s="1009"/>
      <c r="K10" s="1064" t="s">
        <v>31</v>
      </c>
      <c r="L10" s="1065"/>
      <c r="M10" s="1065"/>
      <c r="N10" s="1055">
        <f>AG3</f>
        <v>75</v>
      </c>
      <c r="O10" s="1055"/>
      <c r="P10" s="1057">
        <f>99-R27</f>
        <v>99</v>
      </c>
      <c r="Q10" s="1058"/>
      <c r="R10" s="1010" t="s">
        <v>30</v>
      </c>
      <c r="S10" s="1011"/>
      <c r="T10" s="1622" t="s">
        <v>32</v>
      </c>
      <c r="U10" s="1664"/>
      <c r="V10" s="1664"/>
      <c r="W10" s="1653">
        <f>Y10</f>
        <v>15</v>
      </c>
      <c r="X10" s="1654"/>
      <c r="Y10" s="1656">
        <f>INT(AG3/5)</f>
        <v>15</v>
      </c>
      <c r="Z10" s="1657"/>
      <c r="AA10" s="1012" t="s">
        <v>33</v>
      </c>
      <c r="AB10" s="1013"/>
      <c r="AC10" s="1667" t="s">
        <v>34</v>
      </c>
      <c r="AD10" s="1668"/>
      <c r="AE10" s="1669"/>
      <c r="AF10" s="1606">
        <f>AI11+8</f>
        <v>8</v>
      </c>
      <c r="AG10" s="1607"/>
      <c r="AH10" s="1607"/>
      <c r="AI10" s="1014" t="s">
        <v>35</v>
      </c>
      <c r="AJ10" s="1015"/>
      <c r="AK10" s="1622" t="s">
        <v>36</v>
      </c>
      <c r="AL10" s="1623"/>
      <c r="AM10" s="1623"/>
      <c r="AN10" s="1648">
        <f>IF($AN12=0,"0",VLOOKUP($AN12,'防具表 载具表'!B2:J82,2,FALSE))</f>
        <v>0</v>
      </c>
      <c r="AO10" s="1623"/>
      <c r="AP10" s="1649"/>
      <c r="AQ10" s="1650"/>
      <c r="AR10" s="1660" t="s">
        <v>37</v>
      </c>
      <c r="AS10" s="1661"/>
      <c r="AT10" s="1559">
        <f>IF($AN12=0,"",VLOOKUP($AN12,'防具表 载具表'!B2:I101,4,FALSE))</f>
        <v>0</v>
      </c>
      <c r="AU10" s="1560"/>
      <c r="AV10" s="1560"/>
      <c r="AW10" s="1560"/>
      <c r="AX10" s="1560"/>
      <c r="AY10" s="1560"/>
      <c r="AZ10"/>
      <c r="BR10" s="937"/>
      <c r="BX10" s="1542"/>
      <c r="BY10" s="1542"/>
    </row>
    <row r="11" spans="1:77" s="340" customFormat="1" ht="18" customHeight="1">
      <c r="B11" s="1062"/>
      <c r="C11" s="1063"/>
      <c r="D11" s="1063"/>
      <c r="E11" s="1051"/>
      <c r="F11" s="1051"/>
      <c r="G11" s="1054"/>
      <c r="H11" s="1054"/>
      <c r="I11" s="1019" t="s">
        <v>38</v>
      </c>
      <c r="J11" s="1020"/>
      <c r="K11" s="1066"/>
      <c r="L11" s="1067"/>
      <c r="M11" s="1067"/>
      <c r="N11" s="1056"/>
      <c r="O11" s="1056"/>
      <c r="P11" s="1059"/>
      <c r="Q11" s="1059"/>
      <c r="R11" s="1021" t="s">
        <v>39</v>
      </c>
      <c r="S11" s="1022"/>
      <c r="T11" s="1665"/>
      <c r="U11" s="1666"/>
      <c r="V11" s="1666"/>
      <c r="W11" s="1655"/>
      <c r="X11" s="1655"/>
      <c r="Y11" s="1658"/>
      <c r="Z11" s="1659"/>
      <c r="AA11" s="1023">
        <f>IF(AG3="","",INT(AG3/100+1))</f>
        <v>1</v>
      </c>
      <c r="AB11" s="1024"/>
      <c r="AC11" s="1670"/>
      <c r="AD11" s="1670"/>
      <c r="AE11" s="1670"/>
      <c r="AF11" s="1608"/>
      <c r="AG11" s="1608"/>
      <c r="AH11" s="1608"/>
      <c r="AI11" s="1025">
        <f>附表!C9</f>
        <v>0</v>
      </c>
      <c r="AJ11" s="1026"/>
      <c r="AK11" s="1624"/>
      <c r="AL11" s="1625"/>
      <c r="AM11" s="1625"/>
      <c r="AN11" s="1623"/>
      <c r="AO11" s="1623"/>
      <c r="AP11" s="1623"/>
      <c r="AQ11" s="1651"/>
      <c r="AR11" s="1662"/>
      <c r="AS11" s="1663"/>
      <c r="AT11" s="1561"/>
      <c r="AU11" s="1560"/>
      <c r="AV11" s="1560"/>
      <c r="AW11" s="1560"/>
      <c r="AX11" s="1560"/>
      <c r="AY11" s="1560"/>
      <c r="AZ11"/>
      <c r="BR11" s="937"/>
    </row>
    <row r="12" spans="1:77" s="340" customFormat="1" ht="18" customHeight="1">
      <c r="B12" s="1027" t="s">
        <v>40</v>
      </c>
      <c r="C12" s="1028"/>
      <c r="D12" s="1029">
        <f>CEILING(G10/2,1)</f>
        <v>6</v>
      </c>
      <c r="E12" s="1030"/>
      <c r="F12" s="1029" t="s">
        <v>41</v>
      </c>
      <c r="G12" s="1028"/>
      <c r="H12" s="1028"/>
      <c r="I12" s="1031">
        <v>0</v>
      </c>
      <c r="J12" s="1032"/>
      <c r="K12" s="1033" t="s">
        <v>42</v>
      </c>
      <c r="L12" s="1034"/>
      <c r="M12" s="1034"/>
      <c r="N12" s="1035">
        <v>0</v>
      </c>
      <c r="O12" s="1036"/>
      <c r="P12" s="1037" t="s">
        <v>43</v>
      </c>
      <c r="Q12" s="1038"/>
      <c r="R12" s="1039">
        <f>N10-N12</f>
        <v>75</v>
      </c>
      <c r="S12" s="1040"/>
      <c r="T12" s="1041" t="s">
        <v>44</v>
      </c>
      <c r="U12" s="1042"/>
      <c r="V12" s="1042"/>
      <c r="W12" s="1042"/>
      <c r="X12" s="1043"/>
      <c r="Y12" s="1044"/>
      <c r="Z12" s="1044"/>
      <c r="AA12" s="1044"/>
      <c r="AB12" s="1045"/>
      <c r="AC12" s="1046" t="s">
        <v>45</v>
      </c>
      <c r="AD12" s="1047"/>
      <c r="AE12" s="1046" t="s">
        <v>46</v>
      </c>
      <c r="AF12" s="1048"/>
      <c r="AG12" s="1046" t="s">
        <v>47</v>
      </c>
      <c r="AH12" s="1047"/>
      <c r="AI12" s="1046" t="s">
        <v>48</v>
      </c>
      <c r="AJ12" s="1047"/>
      <c r="AK12" s="1071" t="s">
        <v>49</v>
      </c>
      <c r="AL12" s="1072"/>
      <c r="AM12" s="1072"/>
      <c r="AN12" s="1073" t="s">
        <v>50</v>
      </c>
      <c r="AO12" s="1074"/>
      <c r="AP12" s="1074"/>
      <c r="AQ12" s="1074"/>
      <c r="AR12" s="1074"/>
      <c r="AS12" s="1074"/>
      <c r="AT12" s="1074"/>
      <c r="AU12" s="1074"/>
      <c r="AV12" s="1074"/>
      <c r="AW12" s="1074"/>
      <c r="AX12" s="1074"/>
      <c r="AY12" s="1074"/>
      <c r="AZ12"/>
      <c r="BR12" s="937"/>
    </row>
    <row r="13" spans="1:77" s="340" customFormat="1" ht="18" customHeight="1">
      <c r="B13" s="1075" t="str">
        <f>IF(M5=0," ","["&amp;LOOKUP(M5,职业列表!A2:A232,职业列表!B2:B232)&amp;"]的本职技能："&amp;LOOKUP(M5,职业列表!A2:A232,职业列表!G2:G232))</f>
        <v>[探险家]的本职技能：人类学，考古学，估价，科学（生物学），攀爬，急救，射击（手枪、来复枪），格斗（斗殴），博物学，导航，其他语言（任意），驾驶（小艇，船，热气球），骑术，潜行，侦查，游泳，追踪</v>
      </c>
      <c r="C13" s="1076"/>
      <c r="D13" s="1076"/>
      <c r="E13" s="1076"/>
      <c r="F13" s="1076"/>
      <c r="G13" s="1076"/>
      <c r="H13" s="1076"/>
      <c r="I13" s="1076"/>
      <c r="J13" s="1076"/>
      <c r="K13" s="1076"/>
      <c r="L13" s="1076"/>
      <c r="M13" s="1076"/>
      <c r="N13" s="1076"/>
      <c r="O13" s="1076"/>
      <c r="P13" s="1076"/>
      <c r="Q13" s="1076"/>
      <c r="R13" s="1076"/>
      <c r="S13" s="1076"/>
      <c r="T13" s="1076"/>
      <c r="U13" s="1076"/>
      <c r="V13" s="1076"/>
      <c r="W13" s="1076"/>
      <c r="X13" s="1076"/>
      <c r="Y13" s="1076"/>
      <c r="Z13" s="1076"/>
      <c r="AA13" s="1076"/>
      <c r="AB13" s="1076"/>
      <c r="AC13" s="1076"/>
      <c r="AD13" s="1076"/>
      <c r="AE13" s="1076"/>
      <c r="AF13" s="1076"/>
      <c r="AG13" s="1076"/>
      <c r="AH13" s="1076"/>
      <c r="AI13" s="1076"/>
      <c r="AJ13" s="1076"/>
      <c r="AK13" s="1076"/>
      <c r="AL13" s="1076"/>
      <c r="AM13" s="1076"/>
      <c r="AN13" s="1076"/>
      <c r="AO13" s="1076"/>
      <c r="AP13" s="1076"/>
      <c r="AQ13" s="1076"/>
      <c r="AR13" s="1076"/>
      <c r="AS13" s="1076"/>
      <c r="AT13" s="935"/>
      <c r="AU13" s="328"/>
      <c r="AV13"/>
      <c r="AW13"/>
      <c r="AX13"/>
      <c r="AY13" s="938"/>
      <c r="AZ13"/>
      <c r="BR13" s="937"/>
    </row>
    <row r="14" spans="1:77" s="340" customFormat="1" ht="18" customHeight="1">
      <c r="B14" s="946" t="s">
        <v>51</v>
      </c>
      <c r="C14" s="947"/>
      <c r="D14" s="947"/>
      <c r="E14" s="947"/>
      <c r="F14" s="947"/>
      <c r="G14" s="947"/>
      <c r="H14" s="947"/>
      <c r="I14" s="947"/>
      <c r="J14" s="947"/>
      <c r="K14" s="947"/>
      <c r="L14" s="947"/>
      <c r="M14" s="947"/>
      <c r="N14" s="947"/>
      <c r="O14" s="947"/>
      <c r="P14" s="947"/>
      <c r="Q14" s="947"/>
      <c r="R14" s="947"/>
      <c r="S14" s="947"/>
      <c r="T14" s="947"/>
      <c r="U14" s="947"/>
      <c r="V14" s="947"/>
      <c r="W14" s="947"/>
      <c r="X14" s="947"/>
      <c r="Y14" s="1077"/>
      <c r="Z14" s="947"/>
      <c r="AA14" s="947"/>
      <c r="AB14" s="947"/>
      <c r="AC14" s="947"/>
      <c r="AD14" s="947"/>
      <c r="AE14" s="947"/>
      <c r="AF14" s="947"/>
      <c r="AG14" s="947"/>
      <c r="AH14" s="947"/>
      <c r="AI14" s="947"/>
      <c r="AJ14" s="947"/>
      <c r="AK14" s="947"/>
      <c r="AL14" s="947"/>
      <c r="AM14" s="947"/>
      <c r="AN14" s="947"/>
      <c r="AO14" s="947"/>
      <c r="AP14" s="947"/>
      <c r="AQ14" s="947"/>
      <c r="AR14" s="947"/>
      <c r="AS14" s="948"/>
      <c r="AT14" s="935"/>
      <c r="AU14" s="328"/>
      <c r="AV14" s="328"/>
      <c r="AW14" s="328"/>
      <c r="AX14" s="328"/>
      <c r="AY14" s="938"/>
      <c r="AZ14"/>
      <c r="BR14" s="937"/>
    </row>
    <row r="15" spans="1:77" s="340" customFormat="1" ht="18" customHeight="1">
      <c r="B15" s="1078" t="s">
        <v>52</v>
      </c>
      <c r="C15" s="1079"/>
      <c r="D15" s="1016" t="s">
        <v>53</v>
      </c>
      <c r="E15" s="1017"/>
      <c r="F15" s="1016" t="s">
        <v>54</v>
      </c>
      <c r="G15" s="1017"/>
      <c r="H15" s="1017"/>
      <c r="I15" s="1017"/>
      <c r="J15" s="1016" t="s">
        <v>55</v>
      </c>
      <c r="K15" s="1017"/>
      <c r="L15" s="1016" t="s">
        <v>56</v>
      </c>
      <c r="M15" s="1017"/>
      <c r="N15" s="1016" t="s">
        <v>13</v>
      </c>
      <c r="O15" s="1017"/>
      <c r="P15" s="1016" t="s">
        <v>57</v>
      </c>
      <c r="Q15" s="1017"/>
      <c r="R15" s="1016" t="s">
        <v>58</v>
      </c>
      <c r="S15" s="1017"/>
      <c r="T15" s="1017"/>
      <c r="U15" s="1017"/>
      <c r="V15" s="1017"/>
      <c r="W15" s="1080"/>
      <c r="X15" s="1081" t="s">
        <v>52</v>
      </c>
      <c r="Y15" s="1082"/>
      <c r="Z15" s="1016" t="s">
        <v>53</v>
      </c>
      <c r="AA15" s="1017"/>
      <c r="AB15" s="1016" t="s">
        <v>54</v>
      </c>
      <c r="AC15" s="1017"/>
      <c r="AD15" s="1017"/>
      <c r="AE15" s="1017"/>
      <c r="AF15" s="1016" t="s">
        <v>55</v>
      </c>
      <c r="AG15" s="1017"/>
      <c r="AH15" s="1016" t="s">
        <v>56</v>
      </c>
      <c r="AI15" s="1017"/>
      <c r="AJ15" s="1016" t="s">
        <v>13</v>
      </c>
      <c r="AK15" s="1017"/>
      <c r="AL15" s="1016" t="s">
        <v>57</v>
      </c>
      <c r="AM15" s="1017"/>
      <c r="AN15" s="1016" t="s">
        <v>58</v>
      </c>
      <c r="AO15" s="1017"/>
      <c r="AP15" s="1017"/>
      <c r="AQ15" s="1017"/>
      <c r="AR15" s="1017"/>
      <c r="AS15" s="1018"/>
      <c r="AT15" s="935"/>
      <c r="AU15" s="328"/>
      <c r="AV15" s="328"/>
      <c r="AW15" s="328"/>
      <c r="AX15" s="328"/>
      <c r="AY15" s="938"/>
      <c r="AZ15"/>
      <c r="BR15" s="937"/>
    </row>
    <row r="16" spans="1:77" s="340" customFormat="1" ht="18" customHeight="1">
      <c r="A16" s="931"/>
      <c r="B16" s="1101" t="s">
        <v>59</v>
      </c>
      <c r="C16" s="1102"/>
      <c r="D16" s="1070">
        <f>IF(ISTEXT(IFERROR(VLOOKUP(人物卡!F16,人物卡!BJ18:BR22,1,FALSE),IFERROR(VLOOKUP(人物卡!F16,人物卡!BA18:BC22,1,FALSE),0))),"★",INDEX(本职技能!$A$2:$HX$76,MATCH(人物卡!F16,本职技能!$A$2:$A$75,0),MATCH(人物卡!$M$5,本职技能!$A$1:$HX$1,0)))</f>
        <v>0</v>
      </c>
      <c r="E16" s="1070"/>
      <c r="F16" s="964" t="s">
        <v>60</v>
      </c>
      <c r="G16" s="964"/>
      <c r="H16" s="964"/>
      <c r="I16" s="964"/>
      <c r="J16" s="964">
        <v>5</v>
      </c>
      <c r="K16" s="964"/>
      <c r="L16" s="964"/>
      <c r="M16" s="964"/>
      <c r="N16" s="964"/>
      <c r="O16" s="964"/>
      <c r="P16" s="964"/>
      <c r="Q16" s="964"/>
      <c r="R16" s="1068">
        <f t="shared" ref="R16:R19" si="6">SUM(J16:P16)</f>
        <v>5</v>
      </c>
      <c r="S16" s="1068"/>
      <c r="T16" s="964">
        <f t="shared" ref="T16:T49" si="7">INT(R16/2)</f>
        <v>2</v>
      </c>
      <c r="U16" s="964"/>
      <c r="V16" s="964">
        <f t="shared" ref="V16:V49" si="8">INT(R16/5)</f>
        <v>1</v>
      </c>
      <c r="W16" s="980"/>
      <c r="X16" s="1069" t="s">
        <v>59</v>
      </c>
      <c r="Y16" s="964"/>
      <c r="Z16" s="1070">
        <f>IF(ISTEXT(IFERROR(VLOOKUP(人物卡!AB16,人物卡!BJ18:BR22,1,FALSE),IFERROR(VLOOKUP(人物卡!AB16,人物卡!BA18:BC22,1,FALSE),0))),"★",INDEX(本职技能!$A$2:$HX$76,MATCH(人物卡!AB16,本职技能!$A$2:$A$75,0),MATCH(人物卡!$M$5,本职技能!$A$1:$HX$1,0)))</f>
        <v>0</v>
      </c>
      <c r="AA16" s="1070"/>
      <c r="AB16" s="964" t="s">
        <v>61</v>
      </c>
      <c r="AC16" s="964"/>
      <c r="AD16" s="964"/>
      <c r="AE16" s="964"/>
      <c r="AF16" s="964">
        <v>5</v>
      </c>
      <c r="AG16" s="964"/>
      <c r="AH16" s="964"/>
      <c r="AI16" s="964"/>
      <c r="AJ16" s="964"/>
      <c r="AK16" s="964"/>
      <c r="AL16" s="1068"/>
      <c r="AM16" s="1068"/>
      <c r="AN16" s="1068">
        <f t="shared" ref="AN16:AN30" si="9">SUM(AF16:AL16)</f>
        <v>5</v>
      </c>
      <c r="AO16" s="1068"/>
      <c r="AP16" s="1068">
        <f t="shared" ref="AP16:AP49" si="10">INT(AN16/2)</f>
        <v>2</v>
      </c>
      <c r="AQ16" s="1068"/>
      <c r="AR16" s="1068">
        <f t="shared" ref="AR16:AR49" si="11">INT(AN16/5)</f>
        <v>1</v>
      </c>
      <c r="AS16" s="1083"/>
      <c r="AU16" s="936"/>
      <c r="AV16" s="936"/>
      <c r="AW16" s="936"/>
      <c r="AX16" s="936"/>
      <c r="AY16" s="939"/>
      <c r="AZ16" s="936"/>
      <c r="BA16" s="936"/>
      <c r="BB16" s="936"/>
      <c r="BC16" s="936"/>
      <c r="BD16" s="936"/>
      <c r="BE16" s="936"/>
      <c r="BF16" s="936"/>
      <c r="BG16" s="936"/>
      <c r="BH16" s="936"/>
      <c r="BI16" s="936"/>
      <c r="BJ16" s="936"/>
      <c r="BK16" s="936"/>
      <c r="BL16" s="936"/>
      <c r="BM16" s="936"/>
      <c r="BN16" s="936"/>
      <c r="BO16" s="936"/>
      <c r="BP16" s="936"/>
      <c r="BQ16" s="936"/>
      <c r="BR16" s="939"/>
    </row>
    <row r="17" spans="2:70" s="340" customFormat="1" ht="18" customHeight="1">
      <c r="B17" s="1090" t="s">
        <v>59</v>
      </c>
      <c r="C17" s="1091"/>
      <c r="D17" s="1092" t="str">
        <f>IF(ISTEXT(IFERROR(VLOOKUP(人物卡!F17,人物卡!BJ18:BR22,1,FALSE),IFERROR(VLOOKUP(人物卡!F17,人物卡!BA18:BC22,1,FALSE),0))),"★",INDEX(本职技能!$A$2:$HX$76,MATCH(人物卡!F17,本职技能!$A$2:$A$75,0),MATCH(人物卡!$M$5,本职技能!$A$1:$HX$1,0)))</f>
        <v>★</v>
      </c>
      <c r="E17" s="1093"/>
      <c r="F17" s="967" t="s">
        <v>62</v>
      </c>
      <c r="G17" s="1094"/>
      <c r="H17" s="1094"/>
      <c r="I17" s="1094"/>
      <c r="J17" s="967">
        <v>1</v>
      </c>
      <c r="K17" s="1094"/>
      <c r="L17" s="967"/>
      <c r="M17" s="1094"/>
      <c r="N17" s="967"/>
      <c r="O17" s="1095"/>
      <c r="P17" s="967"/>
      <c r="Q17" s="1094"/>
      <c r="R17" s="1096">
        <f t="shared" si="6"/>
        <v>1</v>
      </c>
      <c r="S17" s="1097"/>
      <c r="T17" s="967">
        <f t="shared" si="7"/>
        <v>0</v>
      </c>
      <c r="U17" s="1094"/>
      <c r="V17" s="967">
        <f t="shared" si="8"/>
        <v>0</v>
      </c>
      <c r="W17" s="1098"/>
      <c r="X17" s="1099" t="s">
        <v>59</v>
      </c>
      <c r="Y17" s="1094"/>
      <c r="Z17" s="1092">
        <f>IF(ISTEXT(IFERROR(VLOOKUP(人物卡!AB17,人物卡!BJ18:BR22,1,FALSE),IFERROR(VLOOKUP(人物卡!AB17,人物卡!BA18:BC22,1,FALSE),0))),"★",INDEX(本职技能!$A$2:$HX$76,MATCH(人物卡!AB17,本职技能!$A$2:$A$75,0),MATCH(人物卡!$M$5,本职技能!$A$1:$HX$1,0)))</f>
        <v>0</v>
      </c>
      <c r="AA17" s="1093"/>
      <c r="AB17" s="967" t="s">
        <v>63</v>
      </c>
      <c r="AC17" s="1094"/>
      <c r="AD17" s="1094"/>
      <c r="AE17" s="1094"/>
      <c r="AF17" s="967">
        <v>20</v>
      </c>
      <c r="AG17" s="1094"/>
      <c r="AH17" s="967"/>
      <c r="AI17" s="1094"/>
      <c r="AJ17" s="967"/>
      <c r="AK17" s="1094"/>
      <c r="AL17" s="1096"/>
      <c r="AM17" s="1097"/>
      <c r="AN17" s="1096">
        <f t="shared" si="9"/>
        <v>20</v>
      </c>
      <c r="AO17" s="1097"/>
      <c r="AP17" s="1096">
        <f t="shared" si="10"/>
        <v>10</v>
      </c>
      <c r="AQ17" s="1097"/>
      <c r="AR17" s="1096">
        <f t="shared" si="11"/>
        <v>4</v>
      </c>
      <c r="AS17" s="1100"/>
      <c r="AU17" s="1103" t="s">
        <v>64</v>
      </c>
      <c r="AV17" s="1104"/>
      <c r="AW17" s="1104"/>
      <c r="AX17" s="1104"/>
      <c r="AY17" s="1104"/>
      <c r="AZ17" s="1104"/>
      <c r="BA17" s="1105" t="s">
        <v>65</v>
      </c>
      <c r="BB17" s="1104"/>
      <c r="BC17" s="1104"/>
      <c r="BD17" s="1104"/>
      <c r="BE17" s="1104"/>
      <c r="BF17" s="1104"/>
      <c r="BG17" s="1104"/>
      <c r="BH17" s="1104"/>
      <c r="BI17" s="1104"/>
      <c r="BJ17" s="1104"/>
      <c r="BK17" s="1104"/>
      <c r="BL17" s="1104"/>
      <c r="BM17" s="1104"/>
      <c r="BN17" s="1104"/>
      <c r="BO17" s="1104"/>
      <c r="BP17" s="1104"/>
      <c r="BQ17" s="1104"/>
      <c r="BR17" s="1106"/>
    </row>
    <row r="18" spans="2:70" s="340" customFormat="1" ht="18" customHeight="1">
      <c r="B18" s="1101" t="s">
        <v>59</v>
      </c>
      <c r="C18" s="1102"/>
      <c r="D18" s="1070" t="str">
        <f>IF(ISTEXT(IFERROR(VLOOKUP(人物卡!F18,人物卡!BJ18:BR22,1,FALSE),IFERROR(VLOOKUP(人物卡!F18,人物卡!BA18:BC22,1,FALSE),0))),"★",INDEX(本职技能!$A$2:$HX$76,MATCH(人物卡!F18,本职技能!$A$2:$A$75,0),MATCH(人物卡!$M$5,本职技能!$A$1:$HX$1,0)))</f>
        <v>★</v>
      </c>
      <c r="E18" s="1070"/>
      <c r="F18" s="964" t="s">
        <v>66</v>
      </c>
      <c r="G18" s="964"/>
      <c r="H18" s="964"/>
      <c r="I18" s="964"/>
      <c r="J18" s="964">
        <v>5</v>
      </c>
      <c r="K18" s="964"/>
      <c r="L18" s="964"/>
      <c r="M18" s="964"/>
      <c r="N18" s="964"/>
      <c r="O18" s="964"/>
      <c r="P18" s="964"/>
      <c r="Q18" s="964"/>
      <c r="R18" s="1068">
        <f t="shared" si="6"/>
        <v>5</v>
      </c>
      <c r="S18" s="1068"/>
      <c r="T18" s="964">
        <f t="shared" si="7"/>
        <v>2</v>
      </c>
      <c r="U18" s="964"/>
      <c r="V18" s="964">
        <f t="shared" si="8"/>
        <v>1</v>
      </c>
      <c r="W18" s="980"/>
      <c r="X18" s="1069" t="s">
        <v>59</v>
      </c>
      <c r="Y18" s="964"/>
      <c r="Z18" s="1070">
        <f>IF(ISTEXT(IFERROR(VLOOKUP(人物卡!AB18,人物卡!BJ18:BR22,1,FALSE),IFERROR(VLOOKUP(人物卡!AB18,人物卡!BA18:BC22,1,FALSE),0))),"★",INDEX(本职技能!$A$2:$HX$76,MATCH(人物卡!AB18,本职技能!$A$2:$A$75,0),MATCH(人物卡!$M$5,本职技能!$A$1:$HX$1,0)))</f>
        <v>0</v>
      </c>
      <c r="AA18" s="1070"/>
      <c r="AB18" s="964" t="s">
        <v>67</v>
      </c>
      <c r="AC18" s="964"/>
      <c r="AD18" s="964"/>
      <c r="AE18" s="964"/>
      <c r="AF18" s="964">
        <v>20</v>
      </c>
      <c r="AG18" s="964"/>
      <c r="AH18" s="964"/>
      <c r="AI18" s="964"/>
      <c r="AJ18" s="964"/>
      <c r="AK18" s="964"/>
      <c r="AL18" s="1068">
        <v>29</v>
      </c>
      <c r="AM18" s="1068"/>
      <c r="AN18" s="1068">
        <f t="shared" si="9"/>
        <v>49</v>
      </c>
      <c r="AO18" s="1068"/>
      <c r="AP18" s="1068">
        <f t="shared" si="10"/>
        <v>24</v>
      </c>
      <c r="AQ18" s="1068"/>
      <c r="AR18" s="1068">
        <f t="shared" si="11"/>
        <v>9</v>
      </c>
      <c r="AS18" s="1083"/>
      <c r="AU18" s="1084" t="s">
        <v>68</v>
      </c>
      <c r="AV18" s="1085"/>
      <c r="AW18" s="1085"/>
      <c r="AX18" s="1085"/>
      <c r="AY18" s="1085"/>
      <c r="AZ18" s="1085"/>
      <c r="BA18" s="1086"/>
      <c r="BB18" s="1087"/>
      <c r="BC18" s="1087"/>
      <c r="BD18" s="1087"/>
      <c r="BE18" s="1087"/>
      <c r="BF18" s="1087"/>
      <c r="BG18" s="1087"/>
      <c r="BH18" s="1087"/>
      <c r="BI18" s="1087"/>
      <c r="BJ18" s="1086"/>
      <c r="BK18" s="1087"/>
      <c r="BL18" s="1087"/>
      <c r="BM18" s="1087"/>
      <c r="BN18" s="1087"/>
      <c r="BO18" s="1087"/>
      <c r="BP18" s="1088"/>
      <c r="BQ18" s="1087"/>
      <c r="BR18" s="1089"/>
    </row>
    <row r="19" spans="2:70" s="340" customFormat="1" ht="18" customHeight="1">
      <c r="B19" s="1090" t="s">
        <v>59</v>
      </c>
      <c r="C19" s="1091"/>
      <c r="D19" s="1092" t="str">
        <f>IF(ISTEXT(IFERROR(VLOOKUP(人物卡!F19,人物卡!BJ18:BR22,1,FALSE),IFERROR(VLOOKUP(人物卡!F19,人物卡!BA18:BC22,1,FALSE),0))),"★",INDEX(本职技能!$A$2:$HX$76,MATCH(人物卡!F19,本职技能!$A$2:$A$75,0),MATCH(人物卡!$M$5,本职技能!$A$1:$HX$1,0)))</f>
        <v>★</v>
      </c>
      <c r="E19" s="1093"/>
      <c r="F19" s="967" t="s">
        <v>70</v>
      </c>
      <c r="G19" s="1098"/>
      <c r="H19" s="1117"/>
      <c r="I19" s="1094"/>
      <c r="J19" s="967">
        <v>1</v>
      </c>
      <c r="K19" s="1094"/>
      <c r="L19" s="967"/>
      <c r="M19" s="1094"/>
      <c r="N19" s="967"/>
      <c r="O19" s="1094"/>
      <c r="P19" s="967"/>
      <c r="Q19" s="1094"/>
      <c r="R19" s="1096">
        <f t="shared" si="6"/>
        <v>1</v>
      </c>
      <c r="S19" s="1097"/>
      <c r="T19" s="967">
        <f t="shared" si="7"/>
        <v>0</v>
      </c>
      <c r="U19" s="1094"/>
      <c r="V19" s="967">
        <f t="shared" si="8"/>
        <v>0</v>
      </c>
      <c r="W19" s="1098"/>
      <c r="X19" s="1099" t="s">
        <v>59</v>
      </c>
      <c r="Y19" s="1094"/>
      <c r="Z19" s="1092">
        <f>IF(ISTEXT(IFERROR(VLOOKUP(人物卡!AB19,人物卡!BJ18:BR22,1,FALSE),IFERROR(VLOOKUP(人物卡!AB19,人物卡!BA18:BC22,1,FALSE),0))),"★",INDEX(本职技能!$A$2:$HX$76,MATCH(人物卡!AB19,本职技能!$A$2:$A$75,0),MATCH(人物卡!$M$5,本职技能!$A$1:$HX$1,0)))</f>
        <v>0</v>
      </c>
      <c r="AA19" s="1093"/>
      <c r="AB19" s="967" t="s">
        <v>71</v>
      </c>
      <c r="AC19" s="1094"/>
      <c r="AD19" s="1094"/>
      <c r="AE19" s="1094"/>
      <c r="AF19" s="967">
        <v>1</v>
      </c>
      <c r="AG19" s="1094"/>
      <c r="AH19" s="967"/>
      <c r="AI19" s="1094"/>
      <c r="AJ19" s="967"/>
      <c r="AK19" s="1094"/>
      <c r="AL19" s="1096"/>
      <c r="AM19" s="1097"/>
      <c r="AN19" s="1096">
        <f t="shared" si="9"/>
        <v>1</v>
      </c>
      <c r="AO19" s="1097"/>
      <c r="AP19" s="1096">
        <f t="shared" si="10"/>
        <v>0</v>
      </c>
      <c r="AQ19" s="1097"/>
      <c r="AR19" s="1096">
        <f t="shared" si="11"/>
        <v>0</v>
      </c>
      <c r="AS19" s="1100"/>
      <c r="AU19" s="1582" t="str">
        <f>附表!AD25</f>
        <v>无</v>
      </c>
      <c r="AV19" s="1583"/>
      <c r="AW19" s="1583"/>
      <c r="AX19" s="1583"/>
      <c r="AY19" s="1583"/>
      <c r="AZ19" s="1583"/>
      <c r="BA19" s="1107"/>
      <c r="BB19" s="1108"/>
      <c r="BC19" s="1108"/>
      <c r="BD19" s="1108"/>
      <c r="BE19" s="1108"/>
      <c r="BF19" s="1108"/>
      <c r="BG19" s="1108"/>
      <c r="BH19" s="1108"/>
      <c r="BI19" s="1108"/>
      <c r="BJ19" s="1107"/>
      <c r="BK19" s="1108"/>
      <c r="BL19" s="1108"/>
      <c r="BM19" s="1108"/>
      <c r="BN19" s="1108"/>
      <c r="BO19" s="1108"/>
      <c r="BP19" s="1108"/>
      <c r="BQ19" s="1108"/>
      <c r="BR19" s="1109"/>
    </row>
    <row r="20" spans="2:70" s="340" customFormat="1" ht="18" customHeight="1">
      <c r="B20" s="1101" t="s">
        <v>59</v>
      </c>
      <c r="C20" s="1102"/>
      <c r="D20" s="1070">
        <f>IF(ISTEXT(IFERROR(VLOOKUP(人物卡!F20,人物卡!BJ18:BR22,1,FALSE),IFERROR(VLOOKUP(人物卡!F20,人物卡!BA18:BC22,1,FALSE),0))),"★",INDEX(本职技能!$A$2:$HX$76,MATCH(人物卡!F20,本职技能!$A$2:$A$75,0),MATCH(人物卡!$M$5,本职技能!$A$1:$HX$1,0)))</f>
        <v>0</v>
      </c>
      <c r="E20" s="1070"/>
      <c r="F20" s="1110" t="s">
        <v>72</v>
      </c>
      <c r="G20" s="1111"/>
      <c r="H20" s="1112"/>
      <c r="I20" s="1113"/>
      <c r="J20" s="964">
        <f>IF(ISBLANK(AU26),5,IF(H20=AU26,BA26,5))</f>
        <v>5</v>
      </c>
      <c r="K20" s="964"/>
      <c r="L20" s="964"/>
      <c r="M20" s="964"/>
      <c r="N20" s="964"/>
      <c r="O20" s="964"/>
      <c r="P20" s="964"/>
      <c r="Q20" s="964"/>
      <c r="R20" s="1068">
        <f>J20+L20+N20+P20</f>
        <v>5</v>
      </c>
      <c r="S20" s="1068"/>
      <c r="T20" s="964">
        <f t="shared" si="7"/>
        <v>2</v>
      </c>
      <c r="U20" s="964"/>
      <c r="V20" s="964">
        <f t="shared" si="8"/>
        <v>1</v>
      </c>
      <c r="W20" s="980"/>
      <c r="X20" s="1069" t="s">
        <v>59</v>
      </c>
      <c r="Y20" s="964"/>
      <c r="Z20" s="1070">
        <f>IF(ISTEXT(IFERROR(VLOOKUP(人物卡!AB20,人物卡!BJ18:BR22,1,FALSE),IFERROR(VLOOKUP(人物卡!AB20,人物卡!BA18:BC22,1,FALSE),0))),"★",INDEX(本职技能!$A$2:$HX$76,MATCH(人物卡!AB20,本职技能!$A$2:$A$75,0),MATCH(人物卡!$M$5,本职技能!$A$1:$HX$1,0)))</f>
        <v>0</v>
      </c>
      <c r="AA20" s="1070"/>
      <c r="AB20" s="964" t="s">
        <v>73</v>
      </c>
      <c r="AC20" s="964"/>
      <c r="AD20" s="964"/>
      <c r="AE20" s="964"/>
      <c r="AF20" s="964">
        <v>10</v>
      </c>
      <c r="AG20" s="964"/>
      <c r="AH20" s="964"/>
      <c r="AI20" s="964"/>
      <c r="AJ20" s="964"/>
      <c r="AK20" s="964"/>
      <c r="AL20" s="1068"/>
      <c r="AM20" s="1068"/>
      <c r="AN20" s="1068">
        <f t="shared" si="9"/>
        <v>10</v>
      </c>
      <c r="AO20" s="1068"/>
      <c r="AP20" s="1068">
        <f t="shared" si="10"/>
        <v>5</v>
      </c>
      <c r="AQ20" s="1068"/>
      <c r="AR20" s="1068">
        <f t="shared" si="11"/>
        <v>2</v>
      </c>
      <c r="AS20" s="1083"/>
      <c r="AU20" s="1584"/>
      <c r="AV20" s="1583"/>
      <c r="AW20" s="1583"/>
      <c r="AX20" s="1583"/>
      <c r="AY20" s="1583"/>
      <c r="AZ20" s="1583"/>
      <c r="BA20" s="1114"/>
      <c r="BB20" s="1115"/>
      <c r="BC20" s="1115"/>
      <c r="BD20" s="1115"/>
      <c r="BE20" s="1115"/>
      <c r="BF20" s="1115"/>
      <c r="BG20" s="1115"/>
      <c r="BH20" s="1115"/>
      <c r="BI20" s="1115"/>
      <c r="BJ20" s="1114"/>
      <c r="BK20" s="1115"/>
      <c r="BL20" s="1115"/>
      <c r="BM20" s="1115"/>
      <c r="BN20" s="1115"/>
      <c r="BO20" s="1115"/>
      <c r="BP20" s="1115"/>
      <c r="BQ20" s="1115"/>
      <c r="BR20" s="1116"/>
    </row>
    <row r="21" spans="2:70" s="340" customFormat="1" ht="18" customHeight="1">
      <c r="B21" s="1090" t="s">
        <v>59</v>
      </c>
      <c r="C21" s="1091"/>
      <c r="D21" s="1092">
        <f>IF(ISTEXT(IFERROR(VLOOKUP(人物卡!F21,人物卡!BJ18:BR22,1,FALSE),IFERROR(VLOOKUP(人物卡!F21,人物卡!BA18:BC22,1,FALSE),0))),"★",INDEX(本职技能!$A$2:$HX$76,MATCH(人物卡!F21,本职技能!$A$2:$A$75,0),MATCH(人物卡!$M$5,本职技能!$A$1:$HX$1,0)))</f>
        <v>0</v>
      </c>
      <c r="E21" s="1093"/>
      <c r="F21" s="1121" t="s">
        <v>74</v>
      </c>
      <c r="G21" s="1122"/>
      <c r="H21" s="1123"/>
      <c r="I21" s="1124"/>
      <c r="J21" s="967">
        <f>IF(ISBLANK(AU26),5,IF(H21=AU26,BA26,5))</f>
        <v>5</v>
      </c>
      <c r="K21" s="1094"/>
      <c r="L21" s="967"/>
      <c r="M21" s="1094"/>
      <c r="N21" s="967"/>
      <c r="O21" s="1094"/>
      <c r="P21" s="967"/>
      <c r="Q21" s="1094"/>
      <c r="R21" s="1096">
        <f>P21+N21+L21+J21</f>
        <v>5</v>
      </c>
      <c r="S21" s="1097"/>
      <c r="T21" s="967">
        <f t="shared" si="7"/>
        <v>2</v>
      </c>
      <c r="U21" s="1094"/>
      <c r="V21" s="967">
        <f t="shared" si="8"/>
        <v>1</v>
      </c>
      <c r="W21" s="1098"/>
      <c r="X21" s="1099" t="s">
        <v>59</v>
      </c>
      <c r="Y21" s="1094"/>
      <c r="Z21" s="1092">
        <f>IF(ISTEXT(IFERROR(VLOOKUP(人物卡!AB21,人物卡!BJ18:BR22,1,FALSE),IFERROR(VLOOKUP(人物卡!AB21,人物卡!BA18:BC22,1,FALSE),0))),"★",INDEX(本职技能!$A$2:$HX$76,MATCH(人物卡!AB21,本职技能!$A$2:$A$75,0),MATCH(人物卡!$M$5,本职技能!$A$1:$HX$1,0)))</f>
        <v>0</v>
      </c>
      <c r="AA21" s="1093"/>
      <c r="AB21" s="967" t="s">
        <v>75</v>
      </c>
      <c r="AC21" s="1094"/>
      <c r="AD21" s="1094"/>
      <c r="AE21" s="1094"/>
      <c r="AF21" s="967">
        <v>1</v>
      </c>
      <c r="AG21" s="1094"/>
      <c r="AH21" s="967"/>
      <c r="AI21" s="1094"/>
      <c r="AJ21" s="967"/>
      <c r="AK21" s="1094"/>
      <c r="AL21" s="1096"/>
      <c r="AM21" s="1097"/>
      <c r="AN21" s="1096">
        <f t="shared" si="9"/>
        <v>1</v>
      </c>
      <c r="AO21" s="1097"/>
      <c r="AP21" s="1096">
        <f t="shared" si="10"/>
        <v>0</v>
      </c>
      <c r="AQ21" s="1097"/>
      <c r="AR21" s="1096">
        <f t="shared" si="11"/>
        <v>0</v>
      </c>
      <c r="AS21" s="1100"/>
      <c r="AU21" s="1584"/>
      <c r="AV21" s="1583"/>
      <c r="AW21" s="1583"/>
      <c r="AX21" s="1583"/>
      <c r="AY21" s="1583"/>
      <c r="AZ21" s="1583"/>
      <c r="BA21" s="1107"/>
      <c r="BB21" s="1108"/>
      <c r="BC21" s="1108"/>
      <c r="BD21" s="1108"/>
      <c r="BE21" s="1108"/>
      <c r="BF21" s="1108"/>
      <c r="BG21" s="1108"/>
      <c r="BH21" s="1108"/>
      <c r="BI21" s="1108"/>
      <c r="BJ21" s="1107"/>
      <c r="BK21" s="1108"/>
      <c r="BL21" s="1108"/>
      <c r="BM21" s="1108"/>
      <c r="BN21" s="1108"/>
      <c r="BO21" s="1108"/>
      <c r="BP21" s="1108"/>
      <c r="BQ21" s="1108"/>
      <c r="BR21" s="1109"/>
    </row>
    <row r="22" spans="2:70" s="340" customFormat="1" ht="18" customHeight="1">
      <c r="B22" s="1101" t="s">
        <v>59</v>
      </c>
      <c r="C22" s="1102"/>
      <c r="D22" s="1070">
        <f>IF(ISTEXT(IFERROR(VLOOKUP(人物卡!F22,人物卡!BJ18:BR22,1,FALSE),IFERROR(VLOOKUP(人物卡!F22,人物卡!BA18:BC22,1,FALSE),0))),"★",INDEX(本职技能!$A$2:$HX$76,MATCH(人物卡!F22,本职技能!$A$2:$A$75,0),MATCH(人物卡!$M$5,本职技能!$A$1:$HX$1,0)))</f>
        <v>0</v>
      </c>
      <c r="E22" s="1070"/>
      <c r="F22" s="1110" t="s">
        <v>76</v>
      </c>
      <c r="G22" s="1111"/>
      <c r="H22" s="1112"/>
      <c r="I22" s="1113"/>
      <c r="J22" s="964">
        <f>IF(ISBLANK(AU26),5,IF(H22=AU26,BA26,5))</f>
        <v>5</v>
      </c>
      <c r="K22" s="964"/>
      <c r="L22" s="964"/>
      <c r="M22" s="964"/>
      <c r="N22" s="964"/>
      <c r="O22" s="964"/>
      <c r="P22" s="964"/>
      <c r="Q22" s="964"/>
      <c r="R22" s="1068">
        <f>P22+N22+L22+J22</f>
        <v>5</v>
      </c>
      <c r="S22" s="1068"/>
      <c r="T22" s="964">
        <f t="shared" si="7"/>
        <v>2</v>
      </c>
      <c r="U22" s="964"/>
      <c r="V22" s="964">
        <f t="shared" si="8"/>
        <v>1</v>
      </c>
      <c r="W22" s="980"/>
      <c r="X22" s="1069" t="s">
        <v>59</v>
      </c>
      <c r="Y22" s="964"/>
      <c r="Z22" s="1070" t="str">
        <f>IF(ISTEXT(IFERROR(VLOOKUP(人物卡!AB22,人物卡!BJ18:BR22,1,FALSE),IFERROR(VLOOKUP(人物卡!AB22,人物卡!BA18:BC22,1,FALSE),0))),"★",INDEX(本职技能!$A$2:$HX$76,MATCH(人物卡!AB22,本职技能!$A$2:$A$75,0),MATCH(人物卡!$M$5,本职技能!$A$1:$HX$1,0)))</f>
        <v>★</v>
      </c>
      <c r="AA22" s="1070"/>
      <c r="AB22" s="964" t="s">
        <v>77</v>
      </c>
      <c r="AC22" s="964"/>
      <c r="AD22" s="964"/>
      <c r="AE22" s="964"/>
      <c r="AF22" s="964">
        <v>10</v>
      </c>
      <c r="AG22" s="964"/>
      <c r="AH22" s="964"/>
      <c r="AI22" s="964"/>
      <c r="AJ22" s="964">
        <v>40</v>
      </c>
      <c r="AK22" s="964"/>
      <c r="AL22" s="1068"/>
      <c r="AM22" s="1068"/>
      <c r="AN22" s="1068">
        <f t="shared" si="9"/>
        <v>50</v>
      </c>
      <c r="AO22" s="1068"/>
      <c r="AP22" s="1068">
        <f t="shared" si="10"/>
        <v>25</v>
      </c>
      <c r="AQ22" s="1068"/>
      <c r="AR22" s="1068">
        <f t="shared" si="11"/>
        <v>10</v>
      </c>
      <c r="AS22" s="1083"/>
      <c r="AU22" s="1584"/>
      <c r="AV22" s="1583"/>
      <c r="AW22" s="1583"/>
      <c r="AX22" s="1583"/>
      <c r="AY22" s="1583"/>
      <c r="AZ22" s="1583"/>
      <c r="BA22" s="1118"/>
      <c r="BB22" s="1119"/>
      <c r="BC22" s="1119"/>
      <c r="BD22" s="1119"/>
      <c r="BE22" s="1119"/>
      <c r="BF22" s="1119"/>
      <c r="BG22" s="1119"/>
      <c r="BH22" s="1119"/>
      <c r="BI22" s="1119"/>
      <c r="BJ22" s="1118"/>
      <c r="BK22" s="1119"/>
      <c r="BL22" s="1119"/>
      <c r="BM22" s="1119"/>
      <c r="BN22" s="1119"/>
      <c r="BO22" s="1119"/>
      <c r="BP22" s="1119"/>
      <c r="BQ22" s="1119"/>
      <c r="BR22" s="1120"/>
    </row>
    <row r="23" spans="2:70" s="340" customFormat="1" ht="18" customHeight="1">
      <c r="B23" s="1090" t="s">
        <v>59</v>
      </c>
      <c r="C23" s="1091"/>
      <c r="D23" s="1092">
        <f>IF(ISTEXT(IFERROR(VLOOKUP(人物卡!F23,人物卡!BJ18:BR22,1,FALSE),IFERROR(VLOOKUP(人物卡!F23,人物卡!BA18:BC22,1,FALSE),0))),"★",INDEX(本职技能!$A$2:$HX$76,MATCH(人物卡!F23,本职技能!$A$2:$A$75,0),MATCH(人物卡!$M$5,本职技能!$A$1:$HX$1,0)))</f>
        <v>0</v>
      </c>
      <c r="E23" s="1093"/>
      <c r="F23" s="967" t="s">
        <v>78</v>
      </c>
      <c r="G23" s="1098"/>
      <c r="H23" s="1117"/>
      <c r="I23" s="1094"/>
      <c r="J23" s="967">
        <v>15</v>
      </c>
      <c r="K23" s="1094"/>
      <c r="L23" s="967"/>
      <c r="M23" s="1094"/>
      <c r="N23" s="967">
        <v>5</v>
      </c>
      <c r="O23" s="1094"/>
      <c r="P23" s="967">
        <v>29</v>
      </c>
      <c r="Q23" s="1094"/>
      <c r="R23" s="1096">
        <f t="shared" ref="R23:R34" si="12">SUM(J23:P23)</f>
        <v>49</v>
      </c>
      <c r="S23" s="1097"/>
      <c r="T23" s="967">
        <f t="shared" si="7"/>
        <v>24</v>
      </c>
      <c r="U23" s="1094"/>
      <c r="V23" s="967">
        <f t="shared" si="8"/>
        <v>9</v>
      </c>
      <c r="W23" s="1098"/>
      <c r="X23" s="1099" t="s">
        <v>59</v>
      </c>
      <c r="Y23" s="1094"/>
      <c r="Z23" s="1092" t="str">
        <f>IF(ISTEXT(IFERROR(VLOOKUP(人物卡!AB23,人物卡!BJ18:BR22,1,FALSE),IFERROR(VLOOKUP(人物卡!AB23,人物卡!BA18:BC22,1,FALSE),0))),"★",INDEX(本职技能!$A$2:$HX$76,MATCH(人物卡!AB23,本职技能!$A$2:$A$75,0),MATCH(人物卡!$M$5,本职技能!$A$1:$HX$1,0)))</f>
        <v>★</v>
      </c>
      <c r="AA23" s="1093"/>
      <c r="AB23" s="967" t="s">
        <v>79</v>
      </c>
      <c r="AC23" s="1094"/>
      <c r="AD23" s="1094"/>
      <c r="AE23" s="1094"/>
      <c r="AF23" s="967">
        <v>10</v>
      </c>
      <c r="AG23" s="1094"/>
      <c r="AH23" s="967"/>
      <c r="AI23" s="1094"/>
      <c r="AJ23" s="967"/>
      <c r="AK23" s="1094"/>
      <c r="AL23" s="1096"/>
      <c r="AM23" s="1097"/>
      <c r="AN23" s="1096">
        <f t="shared" si="9"/>
        <v>10</v>
      </c>
      <c r="AO23" s="1097"/>
      <c r="AP23" s="1096">
        <f t="shared" si="10"/>
        <v>5</v>
      </c>
      <c r="AQ23" s="1097"/>
      <c r="AR23" s="1096">
        <f t="shared" si="11"/>
        <v>2</v>
      </c>
      <c r="AS23" s="1100"/>
      <c r="AU23" s="1125" t="s">
        <v>80</v>
      </c>
      <c r="AV23" s="1126"/>
      <c r="AW23" s="1126"/>
      <c r="AX23" s="1126"/>
      <c r="AY23" s="1126"/>
      <c r="AZ23" s="1126"/>
      <c r="BA23" s="1126"/>
      <c r="BB23" s="1126"/>
      <c r="BC23" s="1126"/>
      <c r="BD23" s="1126"/>
      <c r="BE23" s="1126"/>
      <c r="BF23" s="1126"/>
      <c r="BG23" s="1126"/>
      <c r="BH23" s="1126"/>
      <c r="BI23" s="1126"/>
      <c r="BJ23" s="1126"/>
      <c r="BK23" s="1126"/>
      <c r="BL23" s="1126"/>
      <c r="BM23" s="1126"/>
      <c r="BN23" s="1126"/>
      <c r="BO23" s="1126"/>
      <c r="BP23" s="1126"/>
      <c r="BQ23" s="1126"/>
      <c r="BR23" s="1127"/>
    </row>
    <row r="24" spans="2:70" s="340" customFormat="1" ht="18" customHeight="1">
      <c r="B24" s="1101" t="s">
        <v>59</v>
      </c>
      <c r="C24" s="1102"/>
      <c r="D24" s="1070" t="str">
        <f>IF(ISTEXT(IFERROR(VLOOKUP(人物卡!F24,人物卡!BJ18:BR22,1,FALSE),IFERROR(VLOOKUP(人物卡!F24,人物卡!BA18:BC22,1,FALSE),0))),"★",INDEX(本职技能!$A$2:$HX$76,MATCH(人物卡!F24,本职技能!$A$2:$A$75,0),MATCH(人物卡!$M$5,本职技能!$A$1:$HX$1,0)))</f>
        <v>★</v>
      </c>
      <c r="E24" s="1070"/>
      <c r="F24" s="964" t="s">
        <v>81</v>
      </c>
      <c r="G24" s="980"/>
      <c r="H24" s="1128"/>
      <c r="I24" s="964"/>
      <c r="J24" s="964">
        <v>20</v>
      </c>
      <c r="K24" s="964"/>
      <c r="L24" s="964"/>
      <c r="M24" s="964"/>
      <c r="N24" s="964"/>
      <c r="O24" s="964"/>
      <c r="P24" s="964"/>
      <c r="Q24" s="964"/>
      <c r="R24" s="1068">
        <f t="shared" si="12"/>
        <v>20</v>
      </c>
      <c r="S24" s="1068"/>
      <c r="T24" s="964">
        <f t="shared" si="7"/>
        <v>10</v>
      </c>
      <c r="U24" s="964"/>
      <c r="V24" s="964">
        <f t="shared" si="8"/>
        <v>4</v>
      </c>
      <c r="W24" s="980"/>
      <c r="X24" s="1069" t="s">
        <v>59</v>
      </c>
      <c r="Y24" s="964"/>
      <c r="Z24" s="1070">
        <f>IF(ISTEXT(IFERROR(VLOOKUP(人物卡!AB24,人物卡!BJ18:BR22,1,FALSE),IFERROR(VLOOKUP(人物卡!AB24,人物卡!BA18:BC22,1,FALSE),0))),"★",INDEX(本职技能!$A$2:$HX$76,MATCH(人物卡!AB24,本职技能!$A$2:$A$75,0),MATCH(人物卡!$M$5,本职技能!$A$1:$HX$1,0)))</f>
        <v>0</v>
      </c>
      <c r="AA24" s="1070"/>
      <c r="AB24" s="964" t="s">
        <v>82</v>
      </c>
      <c r="AC24" s="964"/>
      <c r="AD24" s="964"/>
      <c r="AE24" s="964"/>
      <c r="AF24" s="964">
        <v>5</v>
      </c>
      <c r="AG24" s="964"/>
      <c r="AH24" s="964"/>
      <c r="AI24" s="964"/>
      <c r="AJ24" s="964"/>
      <c r="AK24" s="964"/>
      <c r="AL24" s="1068"/>
      <c r="AM24" s="1068"/>
      <c r="AN24" s="1068">
        <f t="shared" si="9"/>
        <v>5</v>
      </c>
      <c r="AO24" s="1068"/>
      <c r="AP24" s="1068">
        <f t="shared" si="10"/>
        <v>2</v>
      </c>
      <c r="AQ24" s="1068"/>
      <c r="AR24" s="1068">
        <f t="shared" si="11"/>
        <v>1</v>
      </c>
      <c r="AS24" s="1083"/>
      <c r="AU24" s="960" t="s">
        <v>83</v>
      </c>
      <c r="AV24" s="961"/>
      <c r="AW24" s="961"/>
      <c r="AX24" s="961"/>
      <c r="AY24" s="961"/>
      <c r="AZ24" s="961"/>
      <c r="BA24" s="961"/>
      <c r="BB24" s="962"/>
      <c r="BC24" s="1129" t="s">
        <v>84</v>
      </c>
      <c r="BD24" s="1130"/>
      <c r="BE24" s="1130"/>
      <c r="BF24" s="1130"/>
      <c r="BG24" s="1130"/>
      <c r="BH24" s="1130"/>
      <c r="BI24" s="1130"/>
      <c r="BJ24" s="1131"/>
      <c r="BK24" s="1132" t="s">
        <v>85</v>
      </c>
      <c r="BL24" s="1133"/>
      <c r="BM24" s="1133"/>
      <c r="BN24" s="1133"/>
      <c r="BO24" s="1133"/>
      <c r="BP24" s="1133"/>
      <c r="BQ24" s="1133"/>
      <c r="BR24" s="1134"/>
    </row>
    <row r="25" spans="2:70" s="340" customFormat="1" ht="18" customHeight="1">
      <c r="B25" s="1090" t="s">
        <v>59</v>
      </c>
      <c r="C25" s="1091"/>
      <c r="D25" s="1092">
        <f>IF(ISTEXT(IFERROR(VLOOKUP(人物卡!F25,人物卡!BJ18:BR22,1,FALSE),IFERROR(VLOOKUP(人物卡!F25,人物卡!BA18:BC22,1,FALSE),0))),"★",INDEX(本职技能!$A$2:$HX$76,MATCH(人物卡!F25,本职技能!$A$2:$A$75,0),MATCH(人物卡!$M$5,本职技能!$A$1:$HX$1,0)))</f>
        <v>0</v>
      </c>
      <c r="E25" s="1093"/>
      <c r="F25" s="967" t="s">
        <v>86</v>
      </c>
      <c r="G25" s="1098"/>
      <c r="H25" s="1117"/>
      <c r="I25" s="1094"/>
      <c r="J25" s="967">
        <v>5</v>
      </c>
      <c r="K25" s="1094"/>
      <c r="L25" s="967"/>
      <c r="M25" s="1094"/>
      <c r="N25" s="967"/>
      <c r="O25" s="1094"/>
      <c r="P25" s="967"/>
      <c r="Q25" s="1094"/>
      <c r="R25" s="1096">
        <f t="shared" si="12"/>
        <v>5</v>
      </c>
      <c r="S25" s="1097"/>
      <c r="T25" s="967">
        <f t="shared" si="7"/>
        <v>2</v>
      </c>
      <c r="U25" s="1094"/>
      <c r="V25" s="967">
        <f t="shared" si="8"/>
        <v>1</v>
      </c>
      <c r="W25" s="1098"/>
      <c r="X25" s="1099" t="s">
        <v>59</v>
      </c>
      <c r="Y25" s="1094"/>
      <c r="Z25" s="1092">
        <f>IF(ISTEXT(IFERROR(VLOOKUP(人物卡!AB25,人物卡!BJ18:BR22,1,FALSE),IFERROR(VLOOKUP(人物卡!AB25,人物卡!BA18:BC22,1,FALSE),0))),"★",INDEX(本职技能!$A$2:$HX$76,MATCH(人物卡!AB25,本职技能!$A$2:$A$75,0),MATCH(人物卡!$M$5,本职技能!$A$1:$HX$1,0)))</f>
        <v>0</v>
      </c>
      <c r="AA25" s="1093"/>
      <c r="AB25" s="967" t="s">
        <v>87</v>
      </c>
      <c r="AC25" s="1094"/>
      <c r="AD25" s="1094"/>
      <c r="AE25" s="1094"/>
      <c r="AF25" s="967">
        <v>1</v>
      </c>
      <c r="AG25" s="1094"/>
      <c r="AH25" s="967"/>
      <c r="AI25" s="1094"/>
      <c r="AJ25" s="967"/>
      <c r="AK25" s="1094"/>
      <c r="AL25" s="1096"/>
      <c r="AM25" s="1097"/>
      <c r="AN25" s="1096">
        <f t="shared" si="9"/>
        <v>1</v>
      </c>
      <c r="AO25" s="1097"/>
      <c r="AP25" s="1096">
        <f t="shared" si="10"/>
        <v>0</v>
      </c>
      <c r="AQ25" s="1097"/>
      <c r="AR25" s="1096">
        <f t="shared" si="11"/>
        <v>0</v>
      </c>
      <c r="AS25" s="1100"/>
      <c r="AU25" s="1135" t="s">
        <v>88</v>
      </c>
      <c r="AV25" s="1136"/>
      <c r="AW25" s="1136"/>
      <c r="AX25" s="1136"/>
      <c r="AY25" s="1136"/>
      <c r="AZ25" s="1136"/>
      <c r="BA25" s="1137" t="s">
        <v>89</v>
      </c>
      <c r="BB25" s="1138"/>
      <c r="BC25" s="1139" t="s">
        <v>90</v>
      </c>
      <c r="BD25" s="1140"/>
      <c r="BE25" s="1140"/>
      <c r="BF25" s="1140"/>
      <c r="BG25" s="1140"/>
      <c r="BH25" s="1140"/>
      <c r="BI25" s="1140"/>
      <c r="BJ25" s="1141"/>
      <c r="BK25" s="1142" t="s">
        <v>91</v>
      </c>
      <c r="BL25" s="1143"/>
      <c r="BM25" s="1143"/>
      <c r="BN25" s="1143"/>
      <c r="BO25" s="1143"/>
      <c r="BP25" s="1143"/>
      <c r="BQ25" s="1143"/>
      <c r="BR25" s="1144"/>
    </row>
    <row r="26" spans="2:70" s="340" customFormat="1" ht="18" customHeight="1">
      <c r="B26" s="1101" t="s">
        <v>92</v>
      </c>
      <c r="C26" s="1102"/>
      <c r="D26" s="1070" t="s">
        <v>93</v>
      </c>
      <c r="E26" s="1070"/>
      <c r="F26" s="964" t="s">
        <v>94</v>
      </c>
      <c r="G26" s="980"/>
      <c r="H26" s="1128"/>
      <c r="I26" s="964"/>
      <c r="J26" s="964">
        <v>0</v>
      </c>
      <c r="K26" s="964"/>
      <c r="L26" s="964"/>
      <c r="M26" s="964"/>
      <c r="N26" s="964">
        <v>50</v>
      </c>
      <c r="O26" s="964"/>
      <c r="P26" s="964"/>
      <c r="Q26" s="964"/>
      <c r="R26" s="1068">
        <f t="shared" si="12"/>
        <v>50</v>
      </c>
      <c r="S26" s="1068"/>
      <c r="T26" s="964">
        <f t="shared" si="7"/>
        <v>25</v>
      </c>
      <c r="U26" s="964"/>
      <c r="V26" s="964">
        <f t="shared" si="8"/>
        <v>10</v>
      </c>
      <c r="W26" s="980"/>
      <c r="X26" s="1069" t="s">
        <v>59</v>
      </c>
      <c r="Y26" s="964"/>
      <c r="Z26" s="1070">
        <f>IF(ISTEXT(IFERROR(VLOOKUP(人物卡!AB26,人物卡!BJ18:BR22,1,FALSE),IFERROR(VLOOKUP(人物卡!AB26,人物卡!BA18:BC22,1,FALSE),0))),"★",INDEX(本职技能!$A$2:$HX$76,MATCH(人物卡!AB26,本职技能!$A$2:$A$75,0),MATCH(人物卡!$M$5,本职技能!$A$1:$HX$1,0)))</f>
        <v>0</v>
      </c>
      <c r="AA26" s="1070"/>
      <c r="AB26" s="964" t="s">
        <v>95</v>
      </c>
      <c r="AC26" s="964"/>
      <c r="AD26" s="964"/>
      <c r="AE26" s="964"/>
      <c r="AF26" s="964">
        <v>10</v>
      </c>
      <c r="AG26" s="964"/>
      <c r="AH26" s="964"/>
      <c r="AI26" s="964"/>
      <c r="AJ26" s="964"/>
      <c r="AK26" s="964"/>
      <c r="AL26" s="1068">
        <v>39</v>
      </c>
      <c r="AM26" s="1068"/>
      <c r="AN26" s="1068">
        <f t="shared" si="9"/>
        <v>49</v>
      </c>
      <c r="AO26" s="1068"/>
      <c r="AP26" s="1068">
        <f t="shared" si="10"/>
        <v>24</v>
      </c>
      <c r="AQ26" s="1068"/>
      <c r="AR26" s="1068">
        <f t="shared" si="11"/>
        <v>9</v>
      </c>
      <c r="AS26" s="1083"/>
      <c r="AU26" s="1145"/>
      <c r="AV26" s="1146"/>
      <c r="AW26" s="1146"/>
      <c r="AX26" s="1146"/>
      <c r="AY26" s="1146"/>
      <c r="AZ26" s="1146"/>
      <c r="BA26" s="1147"/>
      <c r="BB26" s="1148"/>
      <c r="BC26" s="1149"/>
      <c r="BD26" s="1150"/>
      <c r="BE26" s="1150"/>
      <c r="BF26" s="1150"/>
      <c r="BG26" s="1150"/>
      <c r="BH26" s="1150"/>
      <c r="BI26" s="1150"/>
      <c r="BJ26" s="1151"/>
      <c r="BK26" s="1152"/>
      <c r="BL26" s="1153"/>
      <c r="BM26" s="1153"/>
      <c r="BN26" s="1153"/>
      <c r="BO26" s="1154"/>
      <c r="BP26" s="1153"/>
      <c r="BQ26" s="1153"/>
      <c r="BR26" s="1155"/>
    </row>
    <row r="27" spans="2:70" s="340" customFormat="1" ht="18" customHeight="1">
      <c r="B27" s="1090" t="s">
        <v>92</v>
      </c>
      <c r="C27" s="1091"/>
      <c r="D27" s="1092">
        <f>IF(ISTEXT(IFERROR(VLOOKUP(F27,人物卡!BJ18:BR22,1,FALSE),IFERROR(VLOOKUP(F27,人物卡!BA18:BC22,1,FALSE),0))),"★",INDEX(本职技能!$A$2:$HX$76,MATCH(F27,本职技能!$A$2:$A$75,0),MATCH(人物卡!$M$5,本职技能!$A$1:$HX$1,0)))</f>
        <v>0</v>
      </c>
      <c r="E27" s="1093"/>
      <c r="F27" s="967" t="s">
        <v>96</v>
      </c>
      <c r="G27" s="1098"/>
      <c r="H27" s="1117"/>
      <c r="I27" s="1094"/>
      <c r="J27" s="967">
        <v>0</v>
      </c>
      <c r="K27" s="1094"/>
      <c r="L27" s="967"/>
      <c r="M27" s="1094"/>
      <c r="N27" s="967" t="s">
        <v>92</v>
      </c>
      <c r="O27" s="1094"/>
      <c r="P27" s="967" t="s">
        <v>92</v>
      </c>
      <c r="Q27" s="1094"/>
      <c r="R27" s="1096">
        <f t="shared" si="12"/>
        <v>0</v>
      </c>
      <c r="S27" s="1097"/>
      <c r="T27" s="967">
        <f t="shared" si="7"/>
        <v>0</v>
      </c>
      <c r="U27" s="1094"/>
      <c r="V27" s="967">
        <f t="shared" si="8"/>
        <v>0</v>
      </c>
      <c r="W27" s="1098"/>
      <c r="X27" s="1099" t="s">
        <v>59</v>
      </c>
      <c r="Y27" s="1094"/>
      <c r="Z27" s="1092" t="str">
        <f>IF(ISTEXT(IFERROR(VLOOKUP(人物卡!AB27,人物卡!BJ18:BR22,1,FALSE),IFERROR(VLOOKUP(人物卡!AB27,人物卡!BA18:BC22,1,FALSE),0))),"★",INDEX(本职技能!$A$2:$HX$76,MATCH(人物卡!AB27,本职技能!$A$2:$A$75,0),MATCH(人物卡!$M$5,本职技能!$A$1:$HX$1,0)))</f>
        <v>艇船球</v>
      </c>
      <c r="AA27" s="1093"/>
      <c r="AB27" s="1121" t="s">
        <v>97</v>
      </c>
      <c r="AC27" s="1122"/>
      <c r="AD27" s="1159"/>
      <c r="AE27" s="1160"/>
      <c r="AF27" s="967">
        <f>IF(ISBLANK(AU32),1,IF(AD27=AU32,BA32,1))</f>
        <v>1</v>
      </c>
      <c r="AG27" s="1094"/>
      <c r="AH27" s="967"/>
      <c r="AI27" s="1094"/>
      <c r="AJ27" s="967"/>
      <c r="AK27" s="1094"/>
      <c r="AL27" s="1096"/>
      <c r="AM27" s="1097"/>
      <c r="AN27" s="1096">
        <f t="shared" si="9"/>
        <v>1</v>
      </c>
      <c r="AO27" s="1097"/>
      <c r="AP27" s="1096">
        <f t="shared" si="10"/>
        <v>0</v>
      </c>
      <c r="AQ27" s="1097"/>
      <c r="AR27" s="1096">
        <f t="shared" si="11"/>
        <v>0</v>
      </c>
      <c r="AS27" s="1100"/>
      <c r="AU27" s="1135" t="s">
        <v>98</v>
      </c>
      <c r="AV27" s="1136"/>
      <c r="AW27" s="1136"/>
      <c r="AX27" s="1136"/>
      <c r="AY27" s="1136"/>
      <c r="AZ27" s="1136"/>
      <c r="BA27" s="1137" t="s">
        <v>89</v>
      </c>
      <c r="BB27" s="1138"/>
      <c r="BC27" s="1164" t="s">
        <v>99</v>
      </c>
      <c r="BD27" s="1140"/>
      <c r="BE27" s="1140"/>
      <c r="BF27" s="1165"/>
      <c r="BG27" s="1166" t="s">
        <v>100</v>
      </c>
      <c r="BH27" s="1140"/>
      <c r="BI27" s="1140"/>
      <c r="BJ27" s="1141"/>
      <c r="BK27" s="1167" t="s">
        <v>101</v>
      </c>
      <c r="BL27" s="1168"/>
      <c r="BM27" s="1168"/>
      <c r="BN27" s="1168"/>
      <c r="BO27" s="1169" t="s">
        <v>102</v>
      </c>
      <c r="BP27" s="1168"/>
      <c r="BQ27" s="1168"/>
      <c r="BR27" s="1170"/>
    </row>
    <row r="28" spans="2:70" s="340" customFormat="1" ht="18" customHeight="1">
      <c r="B28" s="1101" t="s">
        <v>59</v>
      </c>
      <c r="C28" s="1102"/>
      <c r="D28" s="1070">
        <f>IF(ISTEXT(IFERROR(VLOOKUP(人物卡!F28,人物卡!BJ18:BR22,1,FALSE),IFERROR(VLOOKUP(人物卡!F28,人物卡!BA18:BC22,1,FALSE),0))),"★",INDEX(本职技能!$A$2:$HX$76,MATCH(人物卡!F28,本职技能!$A$2:$A$75,0),MATCH(人物卡!$M$5,本职技能!$A$1:$HX$1,0)))</f>
        <v>0</v>
      </c>
      <c r="E28" s="1070"/>
      <c r="F28" s="964" t="s">
        <v>103</v>
      </c>
      <c r="G28" s="980"/>
      <c r="H28" s="1128"/>
      <c r="I28" s="964"/>
      <c r="J28" s="964">
        <v>5</v>
      </c>
      <c r="K28" s="964"/>
      <c r="L28" s="964"/>
      <c r="M28" s="964"/>
      <c r="N28" s="964"/>
      <c r="O28" s="964"/>
      <c r="P28" s="964"/>
      <c r="Q28" s="964"/>
      <c r="R28" s="1068">
        <f t="shared" si="12"/>
        <v>5</v>
      </c>
      <c r="S28" s="1068"/>
      <c r="T28" s="964">
        <f t="shared" si="7"/>
        <v>2</v>
      </c>
      <c r="U28" s="964"/>
      <c r="V28" s="964">
        <f t="shared" si="8"/>
        <v>1</v>
      </c>
      <c r="W28" s="980"/>
      <c r="X28" s="1069" t="s">
        <v>59</v>
      </c>
      <c r="Y28" s="964"/>
      <c r="Z28" s="1070">
        <f>IF(ISTEXT(IFERROR(VLOOKUP(人物卡!AB28,人物卡!BJ18:BR22,1,FALSE),IFERROR(VLOOKUP(人物卡!AB28,人物卡!BA18:BC22,1,FALSE),0))),"★",INDEX(本职技能!$A$2:$HX$76,MATCH(人物卡!AB28,本职技能!$A$2:$A$75,0),MATCH(人物卡!$M$5,本职技能!$A$1:$HX$1,0)))</f>
        <v>0</v>
      </c>
      <c r="AA28" s="1070"/>
      <c r="AB28" s="964" t="s">
        <v>104</v>
      </c>
      <c r="AC28" s="964"/>
      <c r="AD28" s="964"/>
      <c r="AE28" s="964"/>
      <c r="AF28" s="964">
        <v>1</v>
      </c>
      <c r="AG28" s="964"/>
      <c r="AH28" s="964"/>
      <c r="AI28" s="964"/>
      <c r="AL28" s="1068"/>
      <c r="AM28" s="1068"/>
      <c r="AN28" s="1068">
        <f t="shared" si="9"/>
        <v>1</v>
      </c>
      <c r="AO28" s="1068"/>
      <c r="AP28" s="1068">
        <f t="shared" si="10"/>
        <v>0</v>
      </c>
      <c r="AQ28" s="1068"/>
      <c r="AR28" s="1068">
        <f t="shared" si="11"/>
        <v>0</v>
      </c>
      <c r="AS28" s="1083"/>
      <c r="AU28" s="1145"/>
      <c r="AV28" s="1146"/>
      <c r="AW28" s="1146"/>
      <c r="AX28" s="1146"/>
      <c r="AY28" s="1146"/>
      <c r="AZ28" s="1146"/>
      <c r="BA28" s="1147"/>
      <c r="BB28" s="1148"/>
      <c r="BC28" s="1156"/>
      <c r="BD28" s="1157"/>
      <c r="BE28" s="1157"/>
      <c r="BF28" s="1158"/>
      <c r="BG28" s="1171"/>
      <c r="BH28" s="1172"/>
      <c r="BI28" s="1172"/>
      <c r="BJ28" s="1173"/>
      <c r="BK28" s="1587"/>
      <c r="BL28" s="1588"/>
      <c r="BM28" s="1588"/>
      <c r="BN28" s="1589"/>
      <c r="BO28" s="1588"/>
      <c r="BP28" s="1588"/>
      <c r="BQ28" s="1588"/>
      <c r="BR28" s="1592"/>
    </row>
    <row r="29" spans="2:70" s="340" customFormat="1" ht="18" customHeight="1">
      <c r="B29" s="1090" t="s">
        <v>59</v>
      </c>
      <c r="C29" s="1091"/>
      <c r="D29" s="1092">
        <f>IF(ISTEXT(IFERROR(VLOOKUP(人物卡!F29,人物卡!BJ18:BR22,1,FALSE),IFERROR(VLOOKUP(人物卡!F29,人物卡!BA18:BC22,1,FALSE),0))),"★",INDEX(本职技能!$A$2:$HX$76,MATCH(人物卡!F29,本职技能!$A$2:$A$75,0),MATCH(人物卡!$M$5,本职技能!$A$1:$HX$1,0)))</f>
        <v>0</v>
      </c>
      <c r="E29" s="1093"/>
      <c r="F29" s="967" t="s">
        <v>105</v>
      </c>
      <c r="G29" s="1098"/>
      <c r="H29" s="1117"/>
      <c r="I29" s="1094"/>
      <c r="J29" s="967">
        <f>INT(附表!J14/2)</f>
        <v>20</v>
      </c>
      <c r="K29" s="1094"/>
      <c r="L29" s="967"/>
      <c r="M29" s="1094"/>
      <c r="N29" s="967"/>
      <c r="O29" s="1094"/>
      <c r="P29" s="967">
        <v>24</v>
      </c>
      <c r="Q29" s="1094"/>
      <c r="R29" s="1096">
        <f t="shared" si="12"/>
        <v>44</v>
      </c>
      <c r="S29" s="1097"/>
      <c r="T29" s="967">
        <f t="shared" si="7"/>
        <v>22</v>
      </c>
      <c r="U29" s="1094"/>
      <c r="V29" s="967">
        <f t="shared" si="8"/>
        <v>8</v>
      </c>
      <c r="W29" s="1098"/>
      <c r="X29" s="1099" t="s">
        <v>59</v>
      </c>
      <c r="Y29" s="1094"/>
      <c r="Z29" s="1092">
        <f>IF(ISTEXT(IFERROR(VLOOKUP(人物卡!AB29,人物卡!BJ18:BR22,1,FALSE),IFERROR(VLOOKUP(人物卡!AB29,人物卡!BA18:BC22,1,FALSE),0))),"★",INDEX(本职技能!$A$2:$HX$76,MATCH(人物卡!AB29,本职技能!$A$2:$A$75,0),MATCH(人物卡!$M$5,本职技能!$A$1:$HX$1,0)))</f>
        <v>0</v>
      </c>
      <c r="AA29" s="1093"/>
      <c r="AB29" s="967" t="s">
        <v>106</v>
      </c>
      <c r="AC29" s="1094"/>
      <c r="AD29" s="1094"/>
      <c r="AE29" s="1094"/>
      <c r="AF29" s="967">
        <v>10</v>
      </c>
      <c r="AG29" s="1094"/>
      <c r="AH29" s="967"/>
      <c r="AI29" s="1094"/>
      <c r="AJ29" s="1174"/>
      <c r="AK29" s="1174"/>
      <c r="AL29" s="1096">
        <v>39</v>
      </c>
      <c r="AM29" s="1097"/>
      <c r="AN29" s="1096">
        <f t="shared" si="9"/>
        <v>49</v>
      </c>
      <c r="AO29" s="1097"/>
      <c r="AP29" s="1096">
        <f t="shared" si="10"/>
        <v>24</v>
      </c>
      <c r="AQ29" s="1097"/>
      <c r="AR29" s="1096">
        <f t="shared" si="11"/>
        <v>9</v>
      </c>
      <c r="AS29" s="1100"/>
      <c r="AU29" s="1135" t="s">
        <v>107</v>
      </c>
      <c r="AV29" s="1136"/>
      <c r="AW29" s="1136"/>
      <c r="AX29" s="1136"/>
      <c r="AY29" s="1136"/>
      <c r="AZ29" s="1136"/>
      <c r="BA29" s="1137" t="s">
        <v>89</v>
      </c>
      <c r="BB29" s="1138"/>
      <c r="BC29" s="1161" t="s">
        <v>108</v>
      </c>
      <c r="BD29" s="1162"/>
      <c r="BE29" s="1162"/>
      <c r="BF29" s="1162"/>
      <c r="BG29" s="1162"/>
      <c r="BH29" s="1162"/>
      <c r="BI29" s="1162"/>
      <c r="BJ29" s="1163"/>
      <c r="BK29" s="1562"/>
      <c r="BL29" s="1563"/>
      <c r="BM29" s="1563"/>
      <c r="BN29" s="1590"/>
      <c r="BO29" s="1563"/>
      <c r="BP29" s="1563"/>
      <c r="BQ29" s="1563"/>
      <c r="BR29" s="1564"/>
    </row>
    <row r="30" spans="2:70" s="340" customFormat="1" ht="18" customHeight="1">
      <c r="B30" s="1101" t="s">
        <v>59</v>
      </c>
      <c r="C30" s="1102"/>
      <c r="D30" s="1070">
        <f>IF(ISTEXT(IFERROR(VLOOKUP(人物卡!F30,人物卡!BJ18:BR22,1,FALSE),IFERROR(VLOOKUP(人物卡!F30,人物卡!BA18:BC22,1,FALSE),0))),"★",INDEX(本职技能!$A$2:$HX$76,MATCH(人物卡!F30,本职技能!$A$2:$A$75,0),MATCH(人物卡!$M$5,本职技能!$A$1:$HX$1,0)))</f>
        <v>0</v>
      </c>
      <c r="E30" s="1070"/>
      <c r="F30" s="964" t="s">
        <v>109</v>
      </c>
      <c r="G30" s="980"/>
      <c r="H30" s="1128"/>
      <c r="I30" s="964"/>
      <c r="J30" s="964">
        <v>20</v>
      </c>
      <c r="K30" s="964"/>
      <c r="L30" s="964"/>
      <c r="M30" s="964"/>
      <c r="N30" s="964"/>
      <c r="O30" s="964"/>
      <c r="P30" s="964"/>
      <c r="Q30" s="964"/>
      <c r="R30" s="1068">
        <f t="shared" si="12"/>
        <v>20</v>
      </c>
      <c r="S30" s="1068"/>
      <c r="T30" s="964">
        <f t="shared" si="7"/>
        <v>10</v>
      </c>
      <c r="U30" s="964"/>
      <c r="V30" s="964">
        <f t="shared" si="8"/>
        <v>4</v>
      </c>
      <c r="W30" s="980"/>
      <c r="X30" s="1069" t="s">
        <v>59</v>
      </c>
      <c r="Y30" s="964"/>
      <c r="Z30" s="1070" t="str">
        <f>IF(ISTEXT(IFERROR(VLOOKUP(人物卡!AB30,人物卡!BJ18:BR22,1,FALSE),IFERROR(VLOOKUP(人物卡!AB30,人物卡!BA18:BC22,1,FALSE),0))),"★",INDEX(本职技能!$A$2:$HX$76,MATCH(人物卡!AB30,本职技能!$A$2:$A$75,0),MATCH(人物卡!$M$5,本职技能!$A$1:$HX$1,0)))</f>
        <v>★</v>
      </c>
      <c r="AA30" s="1070"/>
      <c r="AB30" s="964" t="s">
        <v>110</v>
      </c>
      <c r="AC30" s="964"/>
      <c r="AD30" s="964"/>
      <c r="AE30" s="964"/>
      <c r="AF30" s="964">
        <v>5</v>
      </c>
      <c r="AG30" s="964"/>
      <c r="AH30" s="964"/>
      <c r="AI30" s="964"/>
      <c r="AJ30" s="964"/>
      <c r="AK30" s="964"/>
      <c r="AL30" s="1068"/>
      <c r="AM30" s="1068"/>
      <c r="AN30" s="1068">
        <f t="shared" si="9"/>
        <v>5</v>
      </c>
      <c r="AO30" s="1068"/>
      <c r="AP30" s="1068">
        <f t="shared" si="10"/>
        <v>2</v>
      </c>
      <c r="AQ30" s="1068"/>
      <c r="AR30" s="1068">
        <f t="shared" si="11"/>
        <v>1</v>
      </c>
      <c r="AS30" s="1083"/>
      <c r="AU30" s="1145"/>
      <c r="AV30" s="1146"/>
      <c r="AW30" s="1146"/>
      <c r="AX30" s="1146"/>
      <c r="AY30" s="1146"/>
      <c r="AZ30" s="1146"/>
      <c r="BA30" s="1147"/>
      <c r="BB30" s="1148"/>
      <c r="BC30" s="1562"/>
      <c r="BD30" s="1563"/>
      <c r="BE30" s="1563"/>
      <c r="BF30" s="1563"/>
      <c r="BG30" s="1563"/>
      <c r="BH30" s="1563"/>
      <c r="BI30" s="1563"/>
      <c r="BJ30" s="1564"/>
      <c r="BK30" s="1562"/>
      <c r="BL30" s="1563"/>
      <c r="BM30" s="1563"/>
      <c r="BN30" s="1590"/>
      <c r="BO30" s="1563"/>
      <c r="BP30" s="1563"/>
      <c r="BQ30" s="1563"/>
      <c r="BR30" s="1564"/>
    </row>
    <row r="31" spans="2:70" s="340" customFormat="1" ht="18" customHeight="1">
      <c r="B31" s="1090" t="s">
        <v>59</v>
      </c>
      <c r="C31" s="1091"/>
      <c r="D31" s="1092">
        <f>IF(ISTEXT(IFERROR(VLOOKUP(人物卡!F31,人物卡!BJ18:BR22,1,FALSE),IFERROR(VLOOKUP(人物卡!F31,人物卡!BA18:BC22,1,FALSE),0))),"★",INDEX(本职技能!$A$2:$HX$76,MATCH(人物卡!F31,本职技能!$A$2:$A$75,0),MATCH(人物卡!$M$5,本职技能!$A$1:$HX$1,0)))</f>
        <v>0</v>
      </c>
      <c r="E31" s="1093"/>
      <c r="F31" s="967" t="s">
        <v>111</v>
      </c>
      <c r="G31" s="1098"/>
      <c r="H31" s="1117"/>
      <c r="I31" s="1094"/>
      <c r="J31" s="967">
        <v>10</v>
      </c>
      <c r="K31" s="1094"/>
      <c r="L31" s="967"/>
      <c r="M31" s="1094"/>
      <c r="N31" s="967"/>
      <c r="O31" s="1094"/>
      <c r="P31" s="1175"/>
      <c r="Q31" s="1176"/>
      <c r="R31" s="1096">
        <f t="shared" si="12"/>
        <v>10</v>
      </c>
      <c r="S31" s="1097"/>
      <c r="T31" s="967">
        <f t="shared" si="7"/>
        <v>5</v>
      </c>
      <c r="U31" s="1094"/>
      <c r="V31" s="967">
        <f t="shared" si="8"/>
        <v>2</v>
      </c>
      <c r="W31" s="1098"/>
      <c r="X31" s="1099" t="s">
        <v>59</v>
      </c>
      <c r="Y31" s="1094"/>
      <c r="Z31" s="1092" t="str">
        <f>IF(ISTEXT(IFERROR(VLOOKUP(人物卡!AB31,人物卡!BJ18:BR22,1,FALSE),IFERROR(VLOOKUP(人物卡!AB31,人物卡!BA18:BC22,1,FALSE),0))),"★",INDEX(本职技能!$A$2:$HX$76,MATCH(人物卡!AB31,本职技能!$A$2:$A$75,0),MATCH(人物卡!$M$5,本职技能!$A$1:$HX$1,0)))</f>
        <v>生物</v>
      </c>
      <c r="AA31" s="1093"/>
      <c r="AB31" s="1121" t="s">
        <v>112</v>
      </c>
      <c r="AC31" s="1122"/>
      <c r="AD31" s="1159"/>
      <c r="AE31" s="1160"/>
      <c r="AF31" s="967">
        <f>IF(ISBLANK(AU34),IF(AD31="数学",10,1),IF(AD31=AU34,BA34,1))</f>
        <v>1</v>
      </c>
      <c r="AG31" s="1094"/>
      <c r="AH31" s="967"/>
      <c r="AI31" s="1094"/>
      <c r="AJ31" s="967"/>
      <c r="AK31" s="1094"/>
      <c r="AL31" s="1096"/>
      <c r="AM31" s="1097"/>
      <c r="AN31" s="1096">
        <f>AF31+AH31+AL31+AJ31</f>
        <v>1</v>
      </c>
      <c r="AO31" s="1097"/>
      <c r="AP31" s="1096">
        <f t="shared" si="10"/>
        <v>0</v>
      </c>
      <c r="AQ31" s="1097"/>
      <c r="AR31" s="1096">
        <f t="shared" si="11"/>
        <v>0</v>
      </c>
      <c r="AS31" s="1100"/>
      <c r="AU31" s="1135" t="s">
        <v>113</v>
      </c>
      <c r="AV31" s="1136"/>
      <c r="AW31" s="1136"/>
      <c r="AX31" s="1136"/>
      <c r="AY31" s="1136"/>
      <c r="AZ31" s="1136"/>
      <c r="BA31" s="1137" t="s">
        <v>89</v>
      </c>
      <c r="BB31" s="1138"/>
      <c r="BC31" s="1562"/>
      <c r="BD31" s="1563"/>
      <c r="BE31" s="1563"/>
      <c r="BF31" s="1563"/>
      <c r="BG31" s="1563"/>
      <c r="BH31" s="1563"/>
      <c r="BI31" s="1563"/>
      <c r="BJ31" s="1564"/>
      <c r="BK31" s="1562"/>
      <c r="BL31" s="1563"/>
      <c r="BM31" s="1563"/>
      <c r="BN31" s="1590"/>
      <c r="BO31" s="1563"/>
      <c r="BP31" s="1563"/>
      <c r="BQ31" s="1563"/>
      <c r="BR31" s="1564"/>
    </row>
    <row r="32" spans="2:70" s="340" customFormat="1" ht="18" customHeight="1">
      <c r="B32" s="1101" t="s">
        <v>59</v>
      </c>
      <c r="C32" s="1102"/>
      <c r="D32" s="1070">
        <f>IF(ISTEXT(IFERROR(VLOOKUP(人物卡!F32,人物卡!BJ18:BR22,1,FALSE),IFERROR(VLOOKUP(人物卡!F32,人物卡!BA18:BC22,1,FALSE),0))),"★",INDEX(本职技能!$A$2:$HX$76,MATCH(人物卡!F32,本职技能!$A$2:$A$75,0),MATCH(人物卡!$M$5,本职技能!$A$1:$HX$1,0)))</f>
        <v>0</v>
      </c>
      <c r="E32" s="1070"/>
      <c r="F32" s="964" t="s">
        <v>114</v>
      </c>
      <c r="G32" s="980"/>
      <c r="H32" s="1128"/>
      <c r="I32" s="964"/>
      <c r="J32" s="964">
        <v>1</v>
      </c>
      <c r="K32" s="964"/>
      <c r="L32" s="964"/>
      <c r="M32" s="964"/>
      <c r="N32" s="964"/>
      <c r="O32" s="964"/>
      <c r="P32" s="964"/>
      <c r="Q32" s="964"/>
      <c r="R32" s="1068">
        <f t="shared" si="12"/>
        <v>1</v>
      </c>
      <c r="S32" s="1068"/>
      <c r="T32" s="964">
        <f t="shared" si="7"/>
        <v>0</v>
      </c>
      <c r="U32" s="964"/>
      <c r="V32" s="964">
        <f t="shared" si="8"/>
        <v>0</v>
      </c>
      <c r="W32" s="980"/>
      <c r="X32" s="1069" t="s">
        <v>59</v>
      </c>
      <c r="Y32" s="964"/>
      <c r="Z32" s="1070">
        <f>IF(ISTEXT(IFERROR(VLOOKUP(人物卡!AB32,人物卡!BJ18:BR22,1,FALSE),IFERROR(VLOOKUP(人物卡!AB32,人物卡!BA18:BC22,1,FALSE),0))),"★",INDEX(本职技能!$A$2:$HX$76,MATCH(人物卡!AB32,本职技能!$A$2:$A$75,0),MATCH(人物卡!$M$5,本职技能!$A$1:$HX$1,0)))</f>
        <v>0</v>
      </c>
      <c r="AA32" s="1070"/>
      <c r="AB32" s="1177" t="s">
        <v>115</v>
      </c>
      <c r="AC32" s="1178"/>
      <c r="AD32" s="1179"/>
      <c r="AE32" s="1180"/>
      <c r="AF32" s="964">
        <f>IF(ISBLANK(AU34),IF(AD32="数学",10,1),IF(AD32=AU34,BA34,1))</f>
        <v>1</v>
      </c>
      <c r="AG32" s="964"/>
      <c r="AH32" s="964"/>
      <c r="AI32" s="964"/>
      <c r="AJ32" s="964"/>
      <c r="AK32" s="964"/>
      <c r="AL32" s="1068"/>
      <c r="AM32" s="1068"/>
      <c r="AN32" s="1068">
        <f>AL32+AJ32+AF32+AH32</f>
        <v>1</v>
      </c>
      <c r="AO32" s="1068"/>
      <c r="AP32" s="1068">
        <f t="shared" si="10"/>
        <v>0</v>
      </c>
      <c r="AQ32" s="1068"/>
      <c r="AR32" s="1068">
        <f t="shared" si="11"/>
        <v>0</v>
      </c>
      <c r="AS32" s="1083"/>
      <c r="AU32" s="1145"/>
      <c r="AV32" s="1146"/>
      <c r="AW32" s="1146"/>
      <c r="AX32" s="1146"/>
      <c r="AY32" s="1146"/>
      <c r="AZ32" s="1146"/>
      <c r="BA32" s="1147"/>
      <c r="BB32" s="1148"/>
      <c r="BC32" s="1562"/>
      <c r="BD32" s="1563"/>
      <c r="BE32" s="1563"/>
      <c r="BF32" s="1563"/>
      <c r="BG32" s="1563"/>
      <c r="BH32" s="1563"/>
      <c r="BI32" s="1563"/>
      <c r="BJ32" s="1564"/>
      <c r="BK32" s="1562"/>
      <c r="BL32" s="1563"/>
      <c r="BM32" s="1563"/>
      <c r="BN32" s="1590"/>
      <c r="BO32" s="1563"/>
      <c r="BP32" s="1563"/>
      <c r="BQ32" s="1563"/>
      <c r="BR32" s="1564"/>
    </row>
    <row r="33" spans="1:70" s="340" customFormat="1" ht="18" customHeight="1">
      <c r="A33" s="932"/>
      <c r="B33" s="1090" t="s">
        <v>59</v>
      </c>
      <c r="C33" s="1091"/>
      <c r="D33" s="1092">
        <f>IF(ISTEXT(IFERROR(VLOOKUP(人物卡!F33,人物卡!BJ18:BR22,1,FALSE),IFERROR(VLOOKUP(人物卡!F33,人物卡!BA18:BC22,1,FALSE),0))),"★",INDEX(本职技能!$A$2:$HX$76,MATCH(人物卡!F33,本职技能!$A$2:$A$75,0),MATCH(人物卡!$M$5,本职技能!$A$1:$HX$1,0)))</f>
        <v>0</v>
      </c>
      <c r="E33" s="1093"/>
      <c r="F33" s="967" t="s">
        <v>116</v>
      </c>
      <c r="G33" s="1098"/>
      <c r="H33" s="1117"/>
      <c r="I33" s="1094"/>
      <c r="J33" s="967">
        <v>5</v>
      </c>
      <c r="K33" s="1094"/>
      <c r="L33" s="967"/>
      <c r="M33" s="1094"/>
      <c r="N33" s="967"/>
      <c r="O33" s="1094"/>
      <c r="P33" s="967"/>
      <c r="Q33" s="1094"/>
      <c r="R33" s="1096">
        <f t="shared" si="12"/>
        <v>5</v>
      </c>
      <c r="S33" s="1097"/>
      <c r="T33" s="967">
        <f t="shared" si="7"/>
        <v>2</v>
      </c>
      <c r="U33" s="1094"/>
      <c r="V33" s="967">
        <f t="shared" si="8"/>
        <v>1</v>
      </c>
      <c r="W33" s="1098"/>
      <c r="X33" s="1099" t="s">
        <v>59</v>
      </c>
      <c r="Y33" s="1094"/>
      <c r="Z33" s="1092">
        <f>IF(ISTEXT(IFERROR(VLOOKUP(人物卡!AB33,人物卡!BJ18:BR22,1,FALSE),IFERROR(VLOOKUP(人物卡!AB33,人物卡!BA18:BC22,1,FALSE),0))),"★",INDEX(本职技能!$A$2:$HX$76,MATCH(人物卡!AB33,本职技能!$A$2:$A$75,0),MATCH(人物卡!$M$5,本职技能!$A$1:$HX$1,0)))</f>
        <v>0</v>
      </c>
      <c r="AA33" s="1093"/>
      <c r="AB33" s="1121" t="s">
        <v>117</v>
      </c>
      <c r="AC33" s="1122"/>
      <c r="AD33" s="1159"/>
      <c r="AE33" s="1160"/>
      <c r="AF33" s="967">
        <f>IF(ISBLANK(AU34),IF(AD33="数学",10,1),IF(AD33=AU34,BA34,1))</f>
        <v>1</v>
      </c>
      <c r="AG33" s="1094"/>
      <c r="AH33" s="967"/>
      <c r="AI33" s="1094"/>
      <c r="AJ33" s="967"/>
      <c r="AK33" s="1094"/>
      <c r="AL33" s="1096"/>
      <c r="AM33" s="1097"/>
      <c r="AN33" s="1096">
        <f>AF33+AH33+AJ33+AL33</f>
        <v>1</v>
      </c>
      <c r="AO33" s="1097"/>
      <c r="AP33" s="1096">
        <f t="shared" si="10"/>
        <v>0</v>
      </c>
      <c r="AQ33" s="1097"/>
      <c r="AR33" s="1096">
        <f t="shared" si="11"/>
        <v>0</v>
      </c>
      <c r="AS33" s="1100"/>
      <c r="AU33" s="1135" t="s">
        <v>118</v>
      </c>
      <c r="AV33" s="1136"/>
      <c r="AW33" s="1136"/>
      <c r="AX33" s="1136"/>
      <c r="AY33" s="1136"/>
      <c r="AZ33" s="1136"/>
      <c r="BA33" s="1137" t="s">
        <v>89</v>
      </c>
      <c r="BB33" s="1138"/>
      <c r="BC33" s="1562"/>
      <c r="BD33" s="1563"/>
      <c r="BE33" s="1563"/>
      <c r="BF33" s="1563"/>
      <c r="BG33" s="1563"/>
      <c r="BH33" s="1563"/>
      <c r="BI33" s="1563"/>
      <c r="BJ33" s="1564"/>
      <c r="BK33" s="1562"/>
      <c r="BL33" s="1563"/>
      <c r="BM33" s="1563"/>
      <c r="BN33" s="1590"/>
      <c r="BO33" s="1563"/>
      <c r="BP33" s="1563"/>
      <c r="BQ33" s="1563"/>
      <c r="BR33" s="1564"/>
    </row>
    <row r="34" spans="1:70" s="340" customFormat="1" ht="18" customHeight="1">
      <c r="A34" s="932"/>
      <c r="B34" s="1101" t="s">
        <v>59</v>
      </c>
      <c r="C34" s="1102"/>
      <c r="D34" s="1070" t="str">
        <f>IF(ISTEXT(IFERROR(VLOOKUP(人物卡!F34,人物卡!BJ18:BR22,1,FALSE),IFERROR(VLOOKUP(人物卡!F34,人物卡!BA18:BC22,1,FALSE),0))),"★",INDEX(本职技能!$A$2:$HX$76,MATCH(人物卡!F34,本职技能!$A$2:$A$75,0),MATCH(人物卡!$M$5,本职技能!$A$1:$HX$1,0)))</f>
        <v>★</v>
      </c>
      <c r="E34" s="1070"/>
      <c r="F34" s="1177" t="s">
        <v>69</v>
      </c>
      <c r="G34" s="1178"/>
      <c r="H34" s="1186" t="s">
        <v>119</v>
      </c>
      <c r="I34" s="1187"/>
      <c r="J34" s="964">
        <v>25</v>
      </c>
      <c r="K34" s="964"/>
      <c r="L34" s="964"/>
      <c r="M34" s="964"/>
      <c r="N34" s="964">
        <v>40</v>
      </c>
      <c r="O34" s="964"/>
      <c r="P34" s="964"/>
      <c r="Q34" s="964"/>
      <c r="R34" s="1068">
        <f t="shared" si="12"/>
        <v>65</v>
      </c>
      <c r="S34" s="1068"/>
      <c r="T34" s="964">
        <f t="shared" si="7"/>
        <v>32</v>
      </c>
      <c r="U34" s="964"/>
      <c r="V34" s="964">
        <f t="shared" si="8"/>
        <v>13</v>
      </c>
      <c r="W34" s="980"/>
      <c r="X34" s="1069" t="s">
        <v>59</v>
      </c>
      <c r="Y34" s="964"/>
      <c r="Z34" s="1070">
        <f>IF(ISTEXT(IFERROR(VLOOKUP(人物卡!AB34,人物卡!BJ18:BR22,1,FALSE),IFERROR(VLOOKUP(人物卡!AB34,人物卡!BA18:BC22,1,FALSE),0))),"★",INDEX(本职技能!$A$2:$HX$76,MATCH(人物卡!AB34,本职技能!$A$2:$A$75,0),MATCH(人物卡!$M$5,本职技能!$A$1:$HX$1,0)))</f>
        <v>0</v>
      </c>
      <c r="AA34" s="1070"/>
      <c r="AB34" s="964" t="s">
        <v>120</v>
      </c>
      <c r="AC34" s="964"/>
      <c r="AD34" s="964"/>
      <c r="AE34" s="964"/>
      <c r="AF34" s="964">
        <v>10</v>
      </c>
      <c r="AG34" s="964"/>
      <c r="AH34" s="964"/>
      <c r="AI34" s="964"/>
      <c r="AJ34" s="964"/>
      <c r="AK34" s="964"/>
      <c r="AL34" s="1068"/>
      <c r="AM34" s="1068"/>
      <c r="AN34" s="1068">
        <f t="shared" ref="AN34:AN49" si="13">SUM(AF34:AL34)</f>
        <v>10</v>
      </c>
      <c r="AO34" s="1068"/>
      <c r="AP34" s="1068">
        <f t="shared" si="10"/>
        <v>5</v>
      </c>
      <c r="AQ34" s="1068"/>
      <c r="AR34" s="1068">
        <f t="shared" si="11"/>
        <v>2</v>
      </c>
      <c r="AS34" s="1083"/>
      <c r="AU34" s="1145"/>
      <c r="AV34" s="1146"/>
      <c r="AW34" s="1146"/>
      <c r="AX34" s="1146"/>
      <c r="AY34" s="1146"/>
      <c r="AZ34" s="1146"/>
      <c r="BA34" s="1147"/>
      <c r="BB34" s="1148"/>
      <c r="BC34" s="1562"/>
      <c r="BD34" s="1563"/>
      <c r="BE34" s="1563"/>
      <c r="BF34" s="1563"/>
      <c r="BG34" s="1563"/>
      <c r="BH34" s="1563"/>
      <c r="BI34" s="1563"/>
      <c r="BJ34" s="1564"/>
      <c r="BK34" s="1565"/>
      <c r="BL34" s="1566"/>
      <c r="BM34" s="1566"/>
      <c r="BN34" s="1591"/>
      <c r="BO34" s="1566"/>
      <c r="BP34" s="1566"/>
      <c r="BQ34" s="1566"/>
      <c r="BR34" s="1567"/>
    </row>
    <row r="35" spans="1:70" s="340" customFormat="1" ht="18" customHeight="1">
      <c r="A35" s="932"/>
      <c r="B35" s="1090" t="s">
        <v>59</v>
      </c>
      <c r="C35" s="1091"/>
      <c r="D35" s="1092">
        <f>IF(ISTEXT(IFERROR(VLOOKUP(人物卡!F35,人物卡!BJ18:BR22,1,FALSE),IFERROR(VLOOKUP(人物卡!F35,人物卡!BA18:BC22,1,FALSE),0))),"★",INDEX(本职技能!$A$2:$HX$76,MATCH(人物卡!F35,本职技能!$A$2:$A$75,0),MATCH(人物卡!$M$5,本职技能!$A$1:$HX$1,0)))</f>
        <v>0</v>
      </c>
      <c r="E35" s="1093"/>
      <c r="F35" s="1121" t="s">
        <v>121</v>
      </c>
      <c r="G35" s="1122"/>
      <c r="H35" s="1181"/>
      <c r="I35" s="1182"/>
      <c r="J35" s="967">
        <f>附表!C11</f>
        <v>0</v>
      </c>
      <c r="K35" s="1094"/>
      <c r="L35" s="967"/>
      <c r="M35" s="1094"/>
      <c r="N35" s="967"/>
      <c r="O35" s="1094"/>
      <c r="P35" s="967"/>
      <c r="Q35" s="1094"/>
      <c r="R35" s="1096">
        <f>J35+L35+N35+P35</f>
        <v>0</v>
      </c>
      <c r="S35" s="1097"/>
      <c r="T35" s="967">
        <f t="shared" si="7"/>
        <v>0</v>
      </c>
      <c r="U35" s="1094"/>
      <c r="V35" s="967">
        <f t="shared" si="8"/>
        <v>0</v>
      </c>
      <c r="W35" s="1098"/>
      <c r="X35" s="1099" t="s">
        <v>59</v>
      </c>
      <c r="Y35" s="1094"/>
      <c r="Z35" s="1092" t="str">
        <f>IF(ISTEXT(IFERROR(VLOOKUP(人物卡!AB35,人物卡!BJ18:BR22,1,FALSE),IFERROR(VLOOKUP(人物卡!AB35,人物卡!BA18:BC22,1,FALSE),0))),"★",INDEX(本职技能!$A$2:$HX$76,MATCH(人物卡!AB35,本职技能!$A$2:$A$75,0),MATCH(人物卡!$M$5,本职技能!$A$1:$HX$1,0)))</f>
        <v>★</v>
      </c>
      <c r="AA35" s="1093"/>
      <c r="AB35" s="967" t="s">
        <v>122</v>
      </c>
      <c r="AC35" s="1094"/>
      <c r="AD35" s="1094"/>
      <c r="AE35" s="1094"/>
      <c r="AF35" s="967">
        <v>25</v>
      </c>
      <c r="AG35" s="1094"/>
      <c r="AH35" s="967"/>
      <c r="AI35" s="1094"/>
      <c r="AJ35" s="967">
        <v>45</v>
      </c>
      <c r="AK35" s="1094"/>
      <c r="AL35" s="1096"/>
      <c r="AM35" s="1097"/>
      <c r="AN35" s="1096">
        <f t="shared" si="13"/>
        <v>70</v>
      </c>
      <c r="AO35" s="1097"/>
      <c r="AP35" s="1096">
        <f t="shared" si="10"/>
        <v>35</v>
      </c>
      <c r="AQ35" s="1097"/>
      <c r="AR35" s="1096">
        <f t="shared" si="11"/>
        <v>14</v>
      </c>
      <c r="AS35" s="1100"/>
      <c r="AU35" s="1183" t="s">
        <v>123</v>
      </c>
      <c r="AV35" s="1184"/>
      <c r="AW35" s="1184"/>
      <c r="AX35" s="1184"/>
      <c r="AY35" s="1184"/>
      <c r="AZ35" s="1184"/>
      <c r="BA35" s="1184"/>
      <c r="BB35" s="1185"/>
      <c r="BC35" s="1562"/>
      <c r="BD35" s="1563"/>
      <c r="BE35" s="1563"/>
      <c r="BF35" s="1563"/>
      <c r="BG35" s="1563"/>
      <c r="BH35" s="1563"/>
      <c r="BI35" s="1563"/>
      <c r="BJ35" s="1564"/>
      <c r="BK35" s="1188" t="s">
        <v>124</v>
      </c>
      <c r="BL35" s="1189"/>
      <c r="BM35" s="1189"/>
      <c r="BN35" s="1189"/>
      <c r="BO35" s="1189"/>
      <c r="BP35" s="1189"/>
      <c r="BQ35" s="1189"/>
      <c r="BR35" s="1190"/>
    </row>
    <row r="36" spans="1:70" s="340" customFormat="1" ht="18" customHeight="1">
      <c r="A36" s="932"/>
      <c r="B36" s="1101" t="s">
        <v>59</v>
      </c>
      <c r="C36" s="1102"/>
      <c r="D36" s="1070">
        <f>IF(ISTEXT(IFERROR(VLOOKUP(F36,人物卡!BJ18:BR22,1,FALSE),IFERROR(VLOOKUP(F36,人物卡!BA18:BC22,1,FALSE),0))),"★",INDEX(本职技能!$A$2:$HX$76,MATCH(F36,本职技能!$A$2:$A$75,0),MATCH(人物卡!$M$5,本职技能!$A$1:$HX$1,0)))</f>
        <v>0</v>
      </c>
      <c r="E36" s="1070"/>
      <c r="F36" s="1177" t="s">
        <v>125</v>
      </c>
      <c r="G36" s="1178"/>
      <c r="H36" s="1186"/>
      <c r="I36" s="1187"/>
      <c r="J36" s="964">
        <f>附表!C12</f>
        <v>0</v>
      </c>
      <c r="K36" s="964"/>
      <c r="L36" s="964"/>
      <c r="M36" s="964"/>
      <c r="N36" s="964"/>
      <c r="O36" s="964"/>
      <c r="P36" s="964"/>
      <c r="Q36" s="964"/>
      <c r="R36" s="1068">
        <f>J36+L36+P36+N36</f>
        <v>0</v>
      </c>
      <c r="S36" s="1068"/>
      <c r="T36" s="964">
        <f t="shared" si="7"/>
        <v>0</v>
      </c>
      <c r="U36" s="964"/>
      <c r="V36" s="964">
        <f t="shared" si="8"/>
        <v>0</v>
      </c>
      <c r="W36" s="980"/>
      <c r="X36" s="1069" t="s">
        <v>59</v>
      </c>
      <c r="Y36" s="964"/>
      <c r="Z36" s="1070" t="str">
        <f>IF(ISTEXT(IFERROR(VLOOKUP(人物卡!AB36,人物卡!BJ18:BR22,1,FALSE),IFERROR(VLOOKUP(人物卡!AB36,人物卡!BA18:BC22,1,FALSE),0))),"★",INDEX(本职技能!$A$2:$HX$76,MATCH(人物卡!AB36,本职技能!$A$2:$A$75,0),MATCH(人物卡!$M$5,本职技能!$A$1:$HX$1,0)))</f>
        <v>★</v>
      </c>
      <c r="AA36" s="1070"/>
      <c r="AB36" s="964" t="s">
        <v>126</v>
      </c>
      <c r="AC36" s="964"/>
      <c r="AD36" s="964"/>
      <c r="AE36" s="964"/>
      <c r="AF36" s="964">
        <v>20</v>
      </c>
      <c r="AG36" s="964"/>
      <c r="AH36" s="964"/>
      <c r="AI36" s="964"/>
      <c r="AJ36" s="964">
        <v>40</v>
      </c>
      <c r="AK36" s="964"/>
      <c r="AL36" s="1068"/>
      <c r="AM36" s="1068"/>
      <c r="AN36" s="1068">
        <f t="shared" si="13"/>
        <v>60</v>
      </c>
      <c r="AO36" s="1068"/>
      <c r="AP36" s="1068">
        <f t="shared" si="10"/>
        <v>30</v>
      </c>
      <c r="AQ36" s="1068"/>
      <c r="AR36" s="1068">
        <f t="shared" si="11"/>
        <v>12</v>
      </c>
      <c r="AS36" s="1083"/>
      <c r="AU36" s="1191" t="s">
        <v>127</v>
      </c>
      <c r="AV36" s="1192"/>
      <c r="AW36" s="1192"/>
      <c r="AX36" s="1192"/>
      <c r="AY36" s="1192"/>
      <c r="AZ36" s="1192"/>
      <c r="BA36" s="1192"/>
      <c r="BB36" s="1193"/>
      <c r="BC36" s="1562"/>
      <c r="BD36" s="1563"/>
      <c r="BE36" s="1563"/>
      <c r="BF36" s="1563"/>
      <c r="BG36" s="1563"/>
      <c r="BH36" s="1563"/>
      <c r="BI36" s="1563"/>
      <c r="BJ36" s="1564"/>
      <c r="BK36" s="1194" t="s">
        <v>128</v>
      </c>
      <c r="BL36" s="1195"/>
      <c r="BM36" s="1195"/>
      <c r="BN36" s="1195"/>
      <c r="BO36" s="1196" t="s">
        <v>129</v>
      </c>
      <c r="BP36" s="1195"/>
      <c r="BQ36" s="1195"/>
      <c r="BR36" s="1197"/>
    </row>
    <row r="37" spans="1:70" s="340" customFormat="1" ht="18" customHeight="1">
      <c r="A37" s="932"/>
      <c r="B37" s="1090" t="s">
        <v>59</v>
      </c>
      <c r="C37" s="1091"/>
      <c r="D37" s="1092">
        <f>IF(ISTEXT(IFERROR(VLOOKUP(F37,人物卡!BJ18:BR22,1,FALSE),IFERROR(VLOOKUP(F37,人物卡!BA18:BC22,1,FALSE),0))),"★",INDEX(本职技能!$A$2:$HX$76,MATCH(F37,本职技能!$A$2:$A$75,0),MATCH(人物卡!$M$5,本职技能!$A$1:$HX$1,0)))</f>
        <v>0</v>
      </c>
      <c r="E37" s="1093"/>
      <c r="F37" s="1121" t="s">
        <v>130</v>
      </c>
      <c r="G37" s="1122"/>
      <c r="H37" s="1181"/>
      <c r="I37" s="1182"/>
      <c r="J37" s="967">
        <f>附表!C13</f>
        <v>0</v>
      </c>
      <c r="K37" s="1094"/>
      <c r="L37" s="967"/>
      <c r="M37" s="1094"/>
      <c r="N37" s="967"/>
      <c r="O37" s="1094"/>
      <c r="P37" s="967"/>
      <c r="Q37" s="1094"/>
      <c r="R37" s="1096">
        <f t="shared" ref="R37:R41" si="14">P37+N37+L37+J37</f>
        <v>0</v>
      </c>
      <c r="S37" s="1097"/>
      <c r="T37" s="967">
        <f t="shared" si="7"/>
        <v>0</v>
      </c>
      <c r="U37" s="1094"/>
      <c r="V37" s="967">
        <f t="shared" si="8"/>
        <v>0</v>
      </c>
      <c r="W37" s="1098"/>
      <c r="X37" s="1099" t="s">
        <v>59</v>
      </c>
      <c r="Y37" s="1094"/>
      <c r="Z37" s="1092">
        <f>IF(ISTEXT(IFERROR(VLOOKUP(人物卡!AB37,人物卡!BJ18:BR22,1,FALSE),IFERROR(VLOOKUP(人物卡!AB37,人物卡!BA18:BC22,1,FALSE),0))),"★",INDEX(本职技能!$A$2:$HX$76,MATCH(人物卡!AB37,本职技能!$A$2:$A$75,0),MATCH(人物卡!$M$5,本职技能!$A$1:$HX$1,0)))</f>
        <v>0</v>
      </c>
      <c r="AA37" s="1093"/>
      <c r="AB37" s="1121" t="s">
        <v>131</v>
      </c>
      <c r="AC37" s="1122"/>
      <c r="AD37" s="1159"/>
      <c r="AE37" s="1160"/>
      <c r="AF37" s="967">
        <v>10</v>
      </c>
      <c r="AG37" s="1094"/>
      <c r="AH37" s="967"/>
      <c r="AI37" s="1094"/>
      <c r="AJ37" s="967"/>
      <c r="AK37" s="1094"/>
      <c r="AL37" s="1096"/>
      <c r="AM37" s="1097"/>
      <c r="AN37" s="1096">
        <f t="shared" si="13"/>
        <v>10</v>
      </c>
      <c r="AO37" s="1097"/>
      <c r="AP37" s="1096">
        <f t="shared" si="10"/>
        <v>5</v>
      </c>
      <c r="AQ37" s="1097"/>
      <c r="AR37" s="1096">
        <f t="shared" si="11"/>
        <v>2</v>
      </c>
      <c r="AS37" s="1100"/>
      <c r="AT37" s="360"/>
      <c r="AU37" s="1203"/>
      <c r="AV37" s="1199"/>
      <c r="AW37" s="1199"/>
      <c r="AX37" s="1199"/>
      <c r="AY37" s="1199"/>
      <c r="AZ37" s="1199"/>
      <c r="BA37" s="1199"/>
      <c r="BB37" s="1200"/>
      <c r="BC37" s="1565"/>
      <c r="BD37" s="1566"/>
      <c r="BE37" s="1566"/>
      <c r="BF37" s="1566"/>
      <c r="BG37" s="1566"/>
      <c r="BH37" s="1566"/>
      <c r="BI37" s="1566"/>
      <c r="BJ37" s="1567"/>
      <c r="BK37" s="1203"/>
      <c r="BL37" s="1199"/>
      <c r="BM37" s="1199"/>
      <c r="BN37" s="1199"/>
      <c r="BO37" s="1198"/>
      <c r="BP37" s="1199"/>
      <c r="BQ37" s="1199"/>
      <c r="BR37" s="1200"/>
    </row>
    <row r="38" spans="1:70" s="340" customFormat="1" ht="18" customHeight="1">
      <c r="A38" s="932"/>
      <c r="B38" s="1101" t="s">
        <v>59</v>
      </c>
      <c r="C38" s="1102"/>
      <c r="D38" s="1070" t="str">
        <f>IF(ISTEXT(IFERROR(VLOOKUP(人物卡!F38,人物卡!BJ18:BR22,1,FALSE),IFERROR(VLOOKUP(人物卡!F38,人物卡!BA18:BC22,1,FALSE),0))),"★",INDEX(本职技能!$A$2:$HX$76,MATCH(人物卡!F38,本职技能!$A$2:$A$75,0),MATCH(人物卡!$M$5,本职技能!$A$1:$HX$1,0)))</f>
        <v>★</v>
      </c>
      <c r="E38" s="1070"/>
      <c r="F38" s="1110" t="s">
        <v>132</v>
      </c>
      <c r="G38" s="1111"/>
      <c r="H38" s="1201" t="s">
        <v>133</v>
      </c>
      <c r="I38" s="1202"/>
      <c r="J38" s="964">
        <v>20</v>
      </c>
      <c r="K38" s="964"/>
      <c r="L38" s="964"/>
      <c r="M38" s="964"/>
      <c r="N38" s="964">
        <v>50</v>
      </c>
      <c r="O38" s="964"/>
      <c r="P38" s="964"/>
      <c r="Q38" s="964"/>
      <c r="R38" s="1068">
        <f t="shared" ref="R38:R49" si="15">SUM(J38:P38)</f>
        <v>70</v>
      </c>
      <c r="S38" s="1068"/>
      <c r="T38" s="964">
        <f t="shared" si="7"/>
        <v>35</v>
      </c>
      <c r="U38" s="964"/>
      <c r="V38" s="964">
        <f t="shared" si="8"/>
        <v>14</v>
      </c>
      <c r="W38" s="980"/>
      <c r="X38" s="1069" t="s">
        <v>59</v>
      </c>
      <c r="Y38" s="964"/>
      <c r="Z38" s="1070" t="str">
        <f>IF(ISTEXT(IFERROR(VLOOKUP(人物卡!AB38,人物卡!BJ18:BR22,1,FALSE),IFERROR(VLOOKUP(人物卡!AB38,人物卡!BA18:BC22,1,FALSE),0))),"★",INDEX(本职技能!$A$2:$HX$76,MATCH(人物卡!AB38,本职技能!$A$2:$A$75,0),MATCH(人物卡!$M$5,本职技能!$A$1:$HX$1,0)))</f>
        <v>★</v>
      </c>
      <c r="AA38" s="1070"/>
      <c r="AB38" s="964" t="s">
        <v>134</v>
      </c>
      <c r="AC38" s="980"/>
      <c r="AD38" s="1128"/>
      <c r="AE38" s="964"/>
      <c r="AF38" s="964">
        <v>20</v>
      </c>
      <c r="AG38" s="964"/>
      <c r="AH38" s="964"/>
      <c r="AI38" s="964"/>
      <c r="AJ38" s="964"/>
      <c r="AK38" s="964"/>
      <c r="AL38" s="1068"/>
      <c r="AM38" s="1068"/>
      <c r="AN38" s="1068">
        <f t="shared" si="13"/>
        <v>20</v>
      </c>
      <c r="AO38" s="1068"/>
      <c r="AP38" s="1068">
        <f t="shared" si="10"/>
        <v>10</v>
      </c>
      <c r="AQ38" s="1068"/>
      <c r="AR38" s="1068">
        <f t="shared" si="11"/>
        <v>4</v>
      </c>
      <c r="AS38" s="1083"/>
      <c r="AT38" s="360"/>
      <c r="AU38" s="1501" t="s">
        <v>135</v>
      </c>
      <c r="AV38" s="1568" t="str">
        <f>IF(M5=0," ",""&amp;LOOKUP(M5,职业列表!A2:A232,职业列表!K2:K232))</f>
        <v/>
      </c>
      <c r="AW38" s="1569"/>
      <c r="AX38" s="1569"/>
      <c r="AY38" s="1569"/>
      <c r="AZ38" s="1569"/>
      <c r="BA38" s="1569"/>
      <c r="BB38" s="1569"/>
      <c r="BC38" s="1569"/>
      <c r="BD38" s="1569"/>
      <c r="BE38" s="1569"/>
      <c r="BF38" s="1569"/>
      <c r="BG38" s="1569"/>
      <c r="BH38" s="1569"/>
      <c r="BI38" s="1569"/>
      <c r="BJ38" s="1569"/>
      <c r="BK38" s="1569"/>
      <c r="BL38" s="1569"/>
      <c r="BM38" s="1569"/>
      <c r="BN38" s="1569"/>
      <c r="BO38" s="1569"/>
      <c r="BP38" s="1569"/>
      <c r="BQ38" s="1569"/>
      <c r="BR38" s="1570"/>
    </row>
    <row r="39" spans="1:70" s="340" customFormat="1" ht="18" customHeight="1">
      <c r="B39" s="1090" t="s">
        <v>59</v>
      </c>
      <c r="C39" s="1091"/>
      <c r="D39" s="1092" t="str">
        <f>IF(ISTEXT(IFERROR(VLOOKUP(人物卡!F39,人物卡!BJ18:BR22,1,FALSE),IFERROR(VLOOKUP(人物卡!F39,人物卡!BA18:BC22,1,FALSE),0))),"★",INDEX(本职技能!$A$2:$HX$76,MATCH(人物卡!F39,本职技能!$A$2:$A$75,0),MATCH(人物卡!$M$5,本职技能!$A$1:$HX$1,0)))</f>
        <v>来复</v>
      </c>
      <c r="E39" s="1093"/>
      <c r="F39" s="1121" t="s">
        <v>136</v>
      </c>
      <c r="G39" s="1122"/>
      <c r="H39" s="1181"/>
      <c r="I39" s="1182"/>
      <c r="J39" s="967">
        <f>附表!E11</f>
        <v>0</v>
      </c>
      <c r="K39" s="1094"/>
      <c r="L39" s="967"/>
      <c r="M39" s="1094"/>
      <c r="N39" s="967"/>
      <c r="O39" s="1094"/>
      <c r="P39" s="967"/>
      <c r="Q39" s="1094"/>
      <c r="R39" s="1096">
        <f t="shared" si="14"/>
        <v>0</v>
      </c>
      <c r="S39" s="1097"/>
      <c r="T39" s="967">
        <f t="shared" si="7"/>
        <v>0</v>
      </c>
      <c r="U39" s="1094"/>
      <c r="V39" s="967">
        <f t="shared" si="8"/>
        <v>0</v>
      </c>
      <c r="W39" s="1098"/>
      <c r="X39" s="1099" t="s">
        <v>59</v>
      </c>
      <c r="Y39" s="1094"/>
      <c r="Z39" s="1092">
        <f>IF(ISTEXT(IFERROR(VLOOKUP(人物卡!AB39,人物卡!BJ18:BR22,1,FALSE),IFERROR(VLOOKUP(人物卡!AB39,人物卡!BA18:BC22,1,FALSE),0))),"★",INDEX(本职技能!$A$2:$HX$76,MATCH(人物卡!AB39,本职技能!$A$2:$A$75,0),MATCH(人物卡!$M$5,本职技能!$A$1:$HX$1,0)))</f>
        <v>0</v>
      </c>
      <c r="AA39" s="1093"/>
      <c r="AB39" s="967" t="s">
        <v>137</v>
      </c>
      <c r="AC39" s="1098"/>
      <c r="AD39" s="1117"/>
      <c r="AE39" s="1094"/>
      <c r="AF39" s="967">
        <v>20</v>
      </c>
      <c r="AG39" s="1094"/>
      <c r="AH39" s="967"/>
      <c r="AI39" s="1094"/>
      <c r="AJ39" s="967"/>
      <c r="AK39" s="1094"/>
      <c r="AL39" s="1096"/>
      <c r="AM39" s="1097"/>
      <c r="AN39" s="1096">
        <f t="shared" si="13"/>
        <v>20</v>
      </c>
      <c r="AO39" s="1097"/>
      <c r="AP39" s="1096">
        <f t="shared" si="10"/>
        <v>10</v>
      </c>
      <c r="AQ39" s="1097"/>
      <c r="AR39" s="1096">
        <f t="shared" si="11"/>
        <v>4</v>
      </c>
      <c r="AS39" s="1100"/>
      <c r="AT39" s="360"/>
      <c r="AU39" s="1502"/>
      <c r="AV39" s="1571"/>
      <c r="AW39" s="1571"/>
      <c r="AX39" s="1571"/>
      <c r="AY39" s="1571"/>
      <c r="AZ39" s="1571"/>
      <c r="BA39" s="1571"/>
      <c r="BB39" s="1571"/>
      <c r="BC39" s="1571"/>
      <c r="BD39" s="1571"/>
      <c r="BE39" s="1571"/>
      <c r="BF39" s="1571"/>
      <c r="BG39" s="1571"/>
      <c r="BH39" s="1571"/>
      <c r="BI39" s="1571"/>
      <c r="BJ39" s="1571"/>
      <c r="BK39" s="1571"/>
      <c r="BL39" s="1571"/>
      <c r="BM39" s="1571"/>
      <c r="BN39" s="1571"/>
      <c r="BO39" s="1571"/>
      <c r="BP39" s="1571"/>
      <c r="BQ39" s="1571"/>
      <c r="BR39" s="1572"/>
    </row>
    <row r="40" spans="1:70" s="340" customFormat="1" ht="18" customHeight="1">
      <c r="B40" s="1101" t="s">
        <v>59</v>
      </c>
      <c r="C40" s="1102"/>
      <c r="D40" s="1070">
        <f>IF(ISTEXT(IFERROR(VLOOKUP(F40,人物卡!BJ18:BR22,1,FALSE),IFERROR(VLOOKUP(F40,人物卡!BA18:BC22,1,FALSE),0))),"★",INDEX(本职技能!$A$2:$HX$76,MATCH(F40,本职技能!$A$2:$A$75,0),MATCH(人物卡!$M$5,本职技能!$A$1:$HX$1,0)))</f>
        <v>0</v>
      </c>
      <c r="E40" s="1070"/>
      <c r="F40" s="1110" t="s">
        <v>138</v>
      </c>
      <c r="G40" s="1111"/>
      <c r="H40" s="1186"/>
      <c r="I40" s="1187"/>
      <c r="J40" s="964">
        <f>附表!E12</f>
        <v>0</v>
      </c>
      <c r="K40" s="964"/>
      <c r="L40" s="964"/>
      <c r="M40" s="964"/>
      <c r="N40" s="964"/>
      <c r="O40" s="964"/>
      <c r="P40" s="964"/>
      <c r="Q40" s="964"/>
      <c r="R40" s="1068">
        <f t="shared" si="14"/>
        <v>0</v>
      </c>
      <c r="S40" s="1068"/>
      <c r="T40" s="964">
        <f t="shared" si="7"/>
        <v>0</v>
      </c>
      <c r="U40" s="964"/>
      <c r="V40" s="964">
        <f t="shared" si="8"/>
        <v>0</v>
      </c>
      <c r="W40" s="980"/>
      <c r="X40" s="1069" t="s">
        <v>59</v>
      </c>
      <c r="Y40" s="964"/>
      <c r="Z40" s="1070" t="str">
        <f>IF(ISTEXT(IFERROR(VLOOKUP(人物卡!AB40,人物卡!BJ18:BR22,1,FALSE),IFERROR(VLOOKUP(人物卡!AB40,人物卡!BA18:BC22,1,FALSE),0))),"★",INDEX(本职技能!$A$2:$HX$76,MATCH(人物卡!AB40,本职技能!$A$2:$A$75,0),MATCH(人物卡!$M$5,本职技能!$A$1:$HX$1,0)))</f>
        <v>★</v>
      </c>
      <c r="AA40" s="1070"/>
      <c r="AB40" s="964" t="s">
        <v>139</v>
      </c>
      <c r="AC40" s="980"/>
      <c r="AD40" s="1128"/>
      <c r="AE40" s="964"/>
      <c r="AF40" s="964">
        <v>10</v>
      </c>
      <c r="AG40" s="964"/>
      <c r="AH40" s="964"/>
      <c r="AI40" s="964"/>
      <c r="AJ40" s="964">
        <v>40</v>
      </c>
      <c r="AK40" s="964"/>
      <c r="AL40" s="1068"/>
      <c r="AM40" s="1068"/>
      <c r="AN40" s="1068">
        <f t="shared" si="13"/>
        <v>50</v>
      </c>
      <c r="AO40" s="1068"/>
      <c r="AP40" s="1068">
        <f t="shared" si="10"/>
        <v>25</v>
      </c>
      <c r="AQ40" s="1068"/>
      <c r="AR40" s="1068">
        <f t="shared" si="11"/>
        <v>10</v>
      </c>
      <c r="AS40" s="1083"/>
      <c r="AT40" s="360"/>
      <c r="AU40" s="1502"/>
      <c r="AV40" s="1571"/>
      <c r="AW40" s="1571"/>
      <c r="AX40" s="1571"/>
      <c r="AY40" s="1571"/>
      <c r="AZ40" s="1571"/>
      <c r="BA40" s="1571"/>
      <c r="BB40" s="1571"/>
      <c r="BC40" s="1571"/>
      <c r="BD40" s="1571"/>
      <c r="BE40" s="1571"/>
      <c r="BF40" s="1571"/>
      <c r="BG40" s="1571"/>
      <c r="BH40" s="1571"/>
      <c r="BI40" s="1571"/>
      <c r="BJ40" s="1571"/>
      <c r="BK40" s="1571"/>
      <c r="BL40" s="1571"/>
      <c r="BM40" s="1571"/>
      <c r="BN40" s="1571"/>
      <c r="BO40" s="1571"/>
      <c r="BP40" s="1571"/>
      <c r="BQ40" s="1571"/>
      <c r="BR40" s="1572"/>
    </row>
    <row r="41" spans="1:70" s="340" customFormat="1" ht="18" customHeight="1">
      <c r="B41" s="1090" t="s">
        <v>59</v>
      </c>
      <c r="C41" s="1091"/>
      <c r="D41" s="1092">
        <f>IF(ISTEXT(IFERROR(VLOOKUP(F41,人物卡!BJ18:BR22,1,FALSE),IFERROR(VLOOKUP(F41,人物卡!BA18:BC22,1,FALSE),0))),"★",INDEX(本职技能!$A$2:$HX$76,MATCH(F41,本职技能!$A$2:$A$75,0),MATCH(人物卡!$M$5,本职技能!$A$1:$HX$1,0)))</f>
        <v>0</v>
      </c>
      <c r="E41" s="1093"/>
      <c r="F41" s="1204" t="s">
        <v>140</v>
      </c>
      <c r="G41" s="1205"/>
      <c r="H41" s="1206"/>
      <c r="I41" s="1207"/>
      <c r="J41" s="967">
        <f>附表!E13</f>
        <v>0</v>
      </c>
      <c r="K41" s="1094"/>
      <c r="L41" s="967"/>
      <c r="M41" s="1094"/>
      <c r="N41" s="967"/>
      <c r="O41" s="1094"/>
      <c r="P41" s="967"/>
      <c r="Q41" s="1094"/>
      <c r="R41" s="1096">
        <f t="shared" si="14"/>
        <v>0</v>
      </c>
      <c r="S41" s="1097"/>
      <c r="T41" s="967">
        <f t="shared" si="7"/>
        <v>0</v>
      </c>
      <c r="U41" s="1094"/>
      <c r="V41" s="967">
        <f t="shared" si="8"/>
        <v>0</v>
      </c>
      <c r="W41" s="1098"/>
      <c r="X41" s="1099" t="s">
        <v>59</v>
      </c>
      <c r="Y41" s="1094"/>
      <c r="Z41" s="1092">
        <f>IF(ISTEXT(IFERROR(VLOOKUP(人物卡!AB41,人物卡!BJ18:BR22,1,FALSE),IFERROR(VLOOKUP(人物卡!AB41,人物卡!BA18:BC22,1,FALSE),0))),"★",INDEX(本职技能!$A$2:$HX$76,MATCH(人物卡!AB41,本职技能!$A$2:$A$75,0),MATCH(人物卡!$M$5,本职技能!$A$1:$HX$1,0)))</f>
        <v>0</v>
      </c>
      <c r="AA41" s="1093"/>
      <c r="AB41" s="981" t="s">
        <v>141</v>
      </c>
      <c r="AC41" s="1208"/>
      <c r="AD41" s="1209"/>
      <c r="AE41" s="1210"/>
      <c r="AF41" s="967">
        <v>5</v>
      </c>
      <c r="AG41" s="1094"/>
      <c r="AH41" s="967"/>
      <c r="AI41" s="1094"/>
      <c r="AJ41" s="967"/>
      <c r="AK41" s="1094"/>
      <c r="AL41" s="1096"/>
      <c r="AM41" s="1097"/>
      <c r="AN41" s="1096">
        <f t="shared" si="13"/>
        <v>5</v>
      </c>
      <c r="AO41" s="1097"/>
      <c r="AP41" s="1096">
        <f t="shared" si="10"/>
        <v>2</v>
      </c>
      <c r="AQ41" s="1097"/>
      <c r="AR41" s="1096">
        <f t="shared" si="11"/>
        <v>1</v>
      </c>
      <c r="AS41" s="1100"/>
      <c r="AT41" s="360"/>
      <c r="AU41" s="1502"/>
      <c r="AV41" s="1571"/>
      <c r="AW41" s="1571"/>
      <c r="AX41" s="1571"/>
      <c r="AY41" s="1571"/>
      <c r="AZ41" s="1571"/>
      <c r="BA41" s="1571"/>
      <c r="BB41" s="1571"/>
      <c r="BC41" s="1571"/>
      <c r="BD41" s="1571"/>
      <c r="BE41" s="1571"/>
      <c r="BF41" s="1571"/>
      <c r="BG41" s="1571"/>
      <c r="BH41" s="1571"/>
      <c r="BI41" s="1571"/>
      <c r="BJ41" s="1571"/>
      <c r="BK41" s="1571"/>
      <c r="BL41" s="1571"/>
      <c r="BM41" s="1571"/>
      <c r="BN41" s="1571"/>
      <c r="BO41" s="1571"/>
      <c r="BP41" s="1571"/>
      <c r="BQ41" s="1571"/>
      <c r="BR41" s="1572"/>
    </row>
    <row r="42" spans="1:70" s="340" customFormat="1" ht="18" customHeight="1">
      <c r="B42" s="1101" t="s">
        <v>59</v>
      </c>
      <c r="C42" s="1102"/>
      <c r="D42" s="1070" t="str">
        <f>IF(ISTEXT(IFERROR(VLOOKUP(人物卡!F42,人物卡!BJ18:BR22,1,FALSE),IFERROR(VLOOKUP(人物卡!F42,人物卡!BA18:BC22,1,FALSE),0))),"★",INDEX(本职技能!$A$2:$HX$76,MATCH(人物卡!F42,本职技能!$A$2:$A$75,0),MATCH(人物卡!$M$5,本职技能!$A$1:$HX$1,0)))</f>
        <v>★</v>
      </c>
      <c r="E42" s="1070"/>
      <c r="F42" s="964" t="s">
        <v>142</v>
      </c>
      <c r="G42" s="980"/>
      <c r="H42" s="1128"/>
      <c r="I42" s="964"/>
      <c r="J42" s="1211">
        <v>30</v>
      </c>
      <c r="K42" s="1211"/>
      <c r="L42" s="964"/>
      <c r="M42" s="964"/>
      <c r="N42" s="964"/>
      <c r="O42" s="964"/>
      <c r="P42" s="964"/>
      <c r="Q42" s="964"/>
      <c r="R42" s="1068">
        <f t="shared" si="15"/>
        <v>30</v>
      </c>
      <c r="S42" s="1068"/>
      <c r="T42" s="964">
        <f t="shared" si="7"/>
        <v>15</v>
      </c>
      <c r="U42" s="964"/>
      <c r="V42" s="964">
        <f t="shared" si="8"/>
        <v>6</v>
      </c>
      <c r="W42" s="980"/>
      <c r="X42" s="1069" t="s">
        <v>59</v>
      </c>
      <c r="Y42" s="964"/>
      <c r="Z42" s="1070">
        <f>IF(ISTEXT(IFERROR(VLOOKUP(人物卡!AB42,人物卡!BJ18:BR22,1,FALSE),IFERROR(VLOOKUP(人物卡!AB42,人物卡!BA18:BC22,1,FALSE),0))),"★",INDEX(本职技能!$A$2:$HX$76,MATCH(人物卡!AB42,本职技能!$A$2:$A$75,0),MATCH(人物卡!$M$5,本职技能!$A$1:$HX$1,0)))</f>
        <v>0</v>
      </c>
      <c r="AA42" s="1070"/>
      <c r="AB42" s="1212" t="s">
        <v>143</v>
      </c>
      <c r="AC42" s="1213"/>
      <c r="AD42" s="1214"/>
      <c r="AE42" s="1215"/>
      <c r="AF42" s="964">
        <v>1</v>
      </c>
      <c r="AG42" s="964"/>
      <c r="AH42" s="964"/>
      <c r="AI42" s="964"/>
      <c r="AJ42" s="964"/>
      <c r="AK42" s="964"/>
      <c r="AL42" s="1068"/>
      <c r="AM42" s="1068"/>
      <c r="AN42" s="1068">
        <f t="shared" si="13"/>
        <v>1</v>
      </c>
      <c r="AO42" s="1068"/>
      <c r="AP42" s="1068">
        <f t="shared" si="10"/>
        <v>0</v>
      </c>
      <c r="AQ42" s="1068"/>
      <c r="AR42" s="1068">
        <f t="shared" si="11"/>
        <v>0</v>
      </c>
      <c r="AS42" s="1083"/>
      <c r="AT42" s="360"/>
      <c r="AU42" s="1503"/>
      <c r="AV42" s="1573"/>
      <c r="AW42" s="1573"/>
      <c r="AX42" s="1573"/>
      <c r="AY42" s="1573"/>
      <c r="AZ42" s="1573"/>
      <c r="BA42" s="1573"/>
      <c r="BB42" s="1573"/>
      <c r="BC42" s="1573"/>
      <c r="BD42" s="1573"/>
      <c r="BE42" s="1573"/>
      <c r="BF42" s="1573"/>
      <c r="BG42" s="1573"/>
      <c r="BH42" s="1573"/>
      <c r="BI42" s="1573"/>
      <c r="BJ42" s="1573"/>
      <c r="BK42" s="1573"/>
      <c r="BL42" s="1573"/>
      <c r="BM42" s="1573"/>
      <c r="BN42" s="1573"/>
      <c r="BO42" s="1573"/>
      <c r="BP42" s="1573"/>
      <c r="BQ42" s="1573"/>
      <c r="BR42" s="1574"/>
    </row>
    <row r="43" spans="1:70" s="340" customFormat="1" ht="18" customHeight="1">
      <c r="B43" s="1090" t="s">
        <v>59</v>
      </c>
      <c r="C43" s="1091"/>
      <c r="D43" s="1092">
        <f>IF(ISTEXT(IFERROR(VLOOKUP(人物卡!F43,人物卡!BJ18:BR22,1,FALSE),IFERROR(VLOOKUP(人物卡!F43,人物卡!BA18:BC22,1,FALSE),0))),"★",INDEX(本职技能!$A$2:$HX$76,MATCH(人物卡!F43,本职技能!$A$2:$A$75,0),MATCH(人物卡!$M$5,本职技能!$A$1:$HX$1,0)))</f>
        <v>0</v>
      </c>
      <c r="E43" s="1093"/>
      <c r="F43" s="967" t="s">
        <v>144</v>
      </c>
      <c r="G43" s="1098"/>
      <c r="H43" s="1117"/>
      <c r="I43" s="1094"/>
      <c r="J43" s="967">
        <v>5</v>
      </c>
      <c r="K43" s="1094"/>
      <c r="L43" s="967"/>
      <c r="M43" s="1094"/>
      <c r="N43" s="967"/>
      <c r="O43" s="1094"/>
      <c r="P43" s="967"/>
      <c r="Q43" s="1094"/>
      <c r="R43" s="1096">
        <f t="shared" si="15"/>
        <v>5</v>
      </c>
      <c r="S43" s="1097"/>
      <c r="T43" s="967">
        <f t="shared" si="7"/>
        <v>2</v>
      </c>
      <c r="U43" s="1094"/>
      <c r="V43" s="967">
        <f t="shared" si="8"/>
        <v>1</v>
      </c>
      <c r="W43" s="1098"/>
      <c r="X43" s="1099" t="s">
        <v>59</v>
      </c>
      <c r="Y43" s="1094"/>
      <c r="Z43" s="1092">
        <f>IF(ISTEXT(IFERROR(VLOOKUP(人物卡!AB43,人物卡!BJ18:BR22,1,FALSE),IFERROR(VLOOKUP(人物卡!AB43,人物卡!BA18:BC22,1,FALSE),0))),"★",INDEX(本职技能!$A$2:$HX$76,MATCH(人物卡!AB43,本职技能!$A$2:$A$75,0),MATCH(人物卡!$M$5,本职技能!$A$1:$HX$1,0)))</f>
        <v>0</v>
      </c>
      <c r="AA43" s="1093"/>
      <c r="AB43" s="981" t="s">
        <v>145</v>
      </c>
      <c r="AC43" s="1208"/>
      <c r="AD43" s="1209"/>
      <c r="AE43" s="1210"/>
      <c r="AF43" s="967">
        <v>1</v>
      </c>
      <c r="AG43" s="1094"/>
      <c r="AH43" s="967"/>
      <c r="AI43" s="1094"/>
      <c r="AJ43" s="967"/>
      <c r="AK43" s="1094"/>
      <c r="AL43" s="1096"/>
      <c r="AM43" s="1097"/>
      <c r="AN43" s="1096">
        <f t="shared" si="13"/>
        <v>1</v>
      </c>
      <c r="AO43" s="1097"/>
      <c r="AP43" s="1096">
        <f t="shared" si="10"/>
        <v>0</v>
      </c>
      <c r="AQ43" s="1097"/>
      <c r="AR43" s="1096">
        <f t="shared" si="11"/>
        <v>0</v>
      </c>
      <c r="AS43" s="1100"/>
      <c r="AT43" s="360"/>
      <c r="AU43" s="960" t="s">
        <v>146</v>
      </c>
      <c r="AV43" s="961"/>
      <c r="AW43" s="961"/>
      <c r="AX43" s="961"/>
      <c r="AY43" s="961"/>
      <c r="AZ43" s="961"/>
      <c r="BA43" s="961"/>
      <c r="BB43" s="961"/>
      <c r="BC43" s="961"/>
      <c r="BD43" s="961"/>
      <c r="BE43" s="961"/>
      <c r="BF43" s="961"/>
      <c r="BG43" s="961"/>
      <c r="BH43" s="961"/>
      <c r="BI43" s="961"/>
      <c r="BJ43" s="961"/>
      <c r="BK43" s="961"/>
      <c r="BL43" s="961"/>
      <c r="BM43" s="961"/>
      <c r="BN43" s="961"/>
      <c r="BO43" s="961"/>
      <c r="BP43" s="961"/>
      <c r="BQ43" s="961"/>
      <c r="BR43" s="962"/>
    </row>
    <row r="44" spans="1:70" s="340" customFormat="1" ht="18" customHeight="1">
      <c r="B44" s="1101" t="s">
        <v>59</v>
      </c>
      <c r="C44" s="1102"/>
      <c r="D44" s="1070">
        <f>IF(ISTEXT(IFERROR(VLOOKUP(人物卡!F44,人物卡!BJ18:BR22,1,FALSE),IFERROR(VLOOKUP(人物卡!F44,人物卡!BA18:BC22,1,FALSE),0))),"★",INDEX(本职技能!$A$2:$HX$76,MATCH(人物卡!F44,本职技能!$A$2:$A$75,0),MATCH(人物卡!$M$5,本职技能!$A$1:$HX$1,0)))</f>
        <v>0</v>
      </c>
      <c r="E44" s="1070"/>
      <c r="F44" s="964" t="s">
        <v>147</v>
      </c>
      <c r="G44" s="980"/>
      <c r="H44" s="1128"/>
      <c r="I44" s="964"/>
      <c r="J44" s="964">
        <v>15</v>
      </c>
      <c r="K44" s="964"/>
      <c r="L44" s="964"/>
      <c r="M44" s="964"/>
      <c r="N44" s="964"/>
      <c r="O44" s="964"/>
      <c r="P44" s="964"/>
      <c r="Q44" s="964"/>
      <c r="R44" s="1068">
        <f t="shared" si="15"/>
        <v>15</v>
      </c>
      <c r="S44" s="1068"/>
      <c r="T44" s="964">
        <f t="shared" si="7"/>
        <v>7</v>
      </c>
      <c r="U44" s="964"/>
      <c r="V44" s="964">
        <f t="shared" si="8"/>
        <v>3</v>
      </c>
      <c r="W44" s="980"/>
      <c r="X44" s="1069" t="s">
        <v>59</v>
      </c>
      <c r="Y44" s="964"/>
      <c r="Z44" s="1070">
        <f>IF(ISTEXT(IFERROR(VLOOKUP(人物卡!AB44,人物卡!BJ18:BR22,1,FALSE),IFERROR(VLOOKUP(人物卡!AB44,人物卡!BA18:BC22,1,FALSE),0))),"★",INDEX(本职技能!$A$2:$HX$76,MATCH(人物卡!AB44,本职技能!$A$2:$A$75,0),MATCH(人物卡!$M$5,本职技能!$A$1:$HX$1,0)))</f>
        <v>0</v>
      </c>
      <c r="AA44" s="1070"/>
      <c r="AB44" s="1212" t="s">
        <v>148</v>
      </c>
      <c r="AC44" s="1213"/>
      <c r="AD44" s="1214"/>
      <c r="AE44" s="1215"/>
      <c r="AF44" s="964">
        <v>1</v>
      </c>
      <c r="AG44" s="964"/>
      <c r="AH44" s="964"/>
      <c r="AI44" s="964"/>
      <c r="AJ44" s="964"/>
      <c r="AK44" s="964"/>
      <c r="AL44" s="1068"/>
      <c r="AM44" s="1068"/>
      <c r="AN44" s="1068">
        <f t="shared" si="13"/>
        <v>1</v>
      </c>
      <c r="AO44" s="1068"/>
      <c r="AP44" s="1068">
        <f t="shared" si="10"/>
        <v>0</v>
      </c>
      <c r="AQ44" s="1068"/>
      <c r="AR44" s="1068">
        <f t="shared" si="11"/>
        <v>0</v>
      </c>
      <c r="AS44" s="1083"/>
      <c r="AT44" s="360"/>
      <c r="AU44" s="1575" t="str">
        <f>IF(M5=0," ",""&amp;LOOKUP(M5,职业列表!A2:A232,职业列表!M2:M232))</f>
        <v>《克苏鲁煤气灯》1980s职业，使用前请征得KP同意。</v>
      </c>
      <c r="AV44" s="1576"/>
      <c r="AW44" s="1576"/>
      <c r="AX44" s="1576"/>
      <c r="AY44" s="1576"/>
      <c r="AZ44" s="1576"/>
      <c r="BA44" s="1576"/>
      <c r="BB44" s="1576"/>
      <c r="BC44" s="1576"/>
      <c r="BD44" s="1576"/>
      <c r="BE44" s="1576"/>
      <c r="BF44" s="1576"/>
      <c r="BG44" s="1576"/>
      <c r="BH44" s="1576"/>
      <c r="BI44" s="1576"/>
      <c r="BJ44" s="1576"/>
      <c r="BK44" s="1576"/>
      <c r="BL44" s="1576"/>
      <c r="BM44" s="1576"/>
      <c r="BN44" s="1576"/>
      <c r="BO44" s="1576"/>
      <c r="BP44" s="1576"/>
      <c r="BQ44" s="1576"/>
      <c r="BR44" s="1577"/>
    </row>
    <row r="45" spans="1:70" s="340" customFormat="1" ht="18" customHeight="1">
      <c r="B45" s="1090" t="s">
        <v>59</v>
      </c>
      <c r="C45" s="1091"/>
      <c r="D45" s="1092">
        <f>IF(ISTEXT(IFERROR(VLOOKUP(人物卡!F45,人物卡!BJ18:BR22,1,FALSE),IFERROR(VLOOKUP(人物卡!F45,人物卡!BA18:BC22,1,FALSE),0))),"★",INDEX(本职技能!$A$2:$HX$76,MATCH(人物卡!F45,本职技能!$A$2:$A$75,0),MATCH(人物卡!$M$5,本职技能!$A$1:$HX$1,0)))</f>
        <v>0</v>
      </c>
      <c r="E45" s="1093"/>
      <c r="F45" s="967" t="s">
        <v>149</v>
      </c>
      <c r="G45" s="1098"/>
      <c r="H45" s="1117"/>
      <c r="I45" s="1094"/>
      <c r="J45" s="967">
        <v>20</v>
      </c>
      <c r="K45" s="1094"/>
      <c r="L45" s="967"/>
      <c r="M45" s="1094"/>
      <c r="N45" s="967"/>
      <c r="O45" s="1094"/>
      <c r="P45" s="967"/>
      <c r="Q45" s="1094"/>
      <c r="R45" s="1096">
        <f t="shared" si="15"/>
        <v>20</v>
      </c>
      <c r="S45" s="1097"/>
      <c r="T45" s="967">
        <f t="shared" si="7"/>
        <v>10</v>
      </c>
      <c r="U45" s="1094"/>
      <c r="V45" s="967">
        <f t="shared" si="8"/>
        <v>4</v>
      </c>
      <c r="W45" s="1098"/>
      <c r="X45" s="1099" t="s">
        <v>59</v>
      </c>
      <c r="Y45" s="1094"/>
      <c r="Z45" s="1092">
        <f>IF(ISTEXT(IFERROR(VLOOKUP(人物卡!AB45,人物卡!BJ18:BR22,1,FALSE),IFERROR(VLOOKUP(人物卡!AB45,人物卡!BA18:BC22,1,FALSE),0))),"★",INDEX(本职技能!$A$2:$HX$76,MATCH(人物卡!AB45,本职技能!$A$2:$A$75,0),MATCH(人物卡!$M$5,本职技能!$A$1:$HX$1,0)))</f>
        <v>0</v>
      </c>
      <c r="AA45" s="1093"/>
      <c r="AB45" s="981" t="s">
        <v>150</v>
      </c>
      <c r="AC45" s="1208"/>
      <c r="AD45" s="1209"/>
      <c r="AE45" s="1210"/>
      <c r="AF45" s="967">
        <v>1</v>
      </c>
      <c r="AG45" s="1094"/>
      <c r="AH45" s="967"/>
      <c r="AI45" s="1094"/>
      <c r="AJ45" s="967"/>
      <c r="AK45" s="1094"/>
      <c r="AL45" s="1096"/>
      <c r="AM45" s="1097"/>
      <c r="AN45" s="1096">
        <f t="shared" si="13"/>
        <v>1</v>
      </c>
      <c r="AO45" s="1097"/>
      <c r="AP45" s="1096">
        <f t="shared" si="10"/>
        <v>0</v>
      </c>
      <c r="AQ45" s="1097"/>
      <c r="AR45" s="1096">
        <f t="shared" si="11"/>
        <v>0</v>
      </c>
      <c r="AS45" s="1100"/>
      <c r="AT45" s="360"/>
      <c r="AU45" s="1578"/>
      <c r="AV45" s="1576"/>
      <c r="AW45" s="1576"/>
      <c r="AX45" s="1576"/>
      <c r="AY45" s="1576"/>
      <c r="AZ45" s="1576"/>
      <c r="BA45" s="1576"/>
      <c r="BB45" s="1576"/>
      <c r="BC45" s="1576"/>
      <c r="BD45" s="1576"/>
      <c r="BE45" s="1576"/>
      <c r="BF45" s="1576"/>
      <c r="BG45" s="1576"/>
      <c r="BH45" s="1576"/>
      <c r="BI45" s="1576"/>
      <c r="BJ45" s="1576"/>
      <c r="BK45" s="1576"/>
      <c r="BL45" s="1576"/>
      <c r="BM45" s="1576"/>
      <c r="BN45" s="1576"/>
      <c r="BO45" s="1576"/>
      <c r="BP45" s="1576"/>
      <c r="BQ45" s="1576"/>
      <c r="BR45" s="1577"/>
    </row>
    <row r="46" spans="1:70" s="340" customFormat="1" ht="18" customHeight="1">
      <c r="B46" s="1101" t="s">
        <v>59</v>
      </c>
      <c r="C46" s="1102"/>
      <c r="D46" s="1070" t="str">
        <f>IF(ISTEXT(IFERROR(VLOOKUP(人物卡!F46,人物卡!BJ18:BR22,1,FALSE),IFERROR(VLOOKUP(人物卡!F46,人物卡!BA18:BC22,1,FALSE),0))),"★",INDEX(本职技能!$A$2:$HX$76,MATCH(人物卡!F46,本职技能!$A$2:$A$75,0),MATCH(人物卡!$M$5,本职技能!$A$1:$HX$1,0)))</f>
        <v>★</v>
      </c>
      <c r="E46" s="1070"/>
      <c r="F46" s="1110" t="s">
        <v>151</v>
      </c>
      <c r="G46" s="1111"/>
      <c r="H46" s="1201"/>
      <c r="I46" s="1202"/>
      <c r="J46" s="964">
        <v>1</v>
      </c>
      <c r="K46" s="964"/>
      <c r="L46" s="964"/>
      <c r="M46" s="964"/>
      <c r="N46" s="964"/>
      <c r="O46" s="964"/>
      <c r="P46" s="964"/>
      <c r="Q46" s="964"/>
      <c r="R46" s="1068">
        <f t="shared" si="15"/>
        <v>1</v>
      </c>
      <c r="S46" s="1068"/>
      <c r="T46" s="964">
        <f t="shared" si="7"/>
        <v>0</v>
      </c>
      <c r="U46" s="964"/>
      <c r="V46" s="964">
        <f t="shared" si="8"/>
        <v>0</v>
      </c>
      <c r="W46" s="980"/>
      <c r="X46" s="1069" t="s">
        <v>59</v>
      </c>
      <c r="Y46" s="964"/>
      <c r="Z46" s="1070">
        <f>IF(ISTEXT(IFERROR(VLOOKUP(人物卡!AB46,人物卡!BJ18:BR22,1,FALSE),IFERROR(VLOOKUP(人物卡!AB46,人物卡!BA18:BC22,1,FALSE),0))),"★",INDEX(本职技能!$A$2:$HX$76,MATCH(人物卡!AB46,本职技能!$A$2:$A$75,0),MATCH(人物卡!$M$5,本职技能!$A$1:$HX$1,0)))</f>
        <v>0</v>
      </c>
      <c r="AA46" s="1070"/>
      <c r="AB46" s="1212" t="s">
        <v>152</v>
      </c>
      <c r="AC46" s="1213"/>
      <c r="AD46" s="1214"/>
      <c r="AE46" s="1215"/>
      <c r="AF46" s="964">
        <v>1</v>
      </c>
      <c r="AG46" s="964"/>
      <c r="AH46" s="964"/>
      <c r="AI46" s="964"/>
      <c r="AJ46" s="964"/>
      <c r="AK46" s="964"/>
      <c r="AL46" s="1068"/>
      <c r="AM46" s="1068"/>
      <c r="AN46" s="1068">
        <f t="shared" si="13"/>
        <v>1</v>
      </c>
      <c r="AO46" s="1068"/>
      <c r="AP46" s="1068">
        <f t="shared" si="10"/>
        <v>0</v>
      </c>
      <c r="AQ46" s="1068"/>
      <c r="AR46" s="1068">
        <f t="shared" si="11"/>
        <v>0</v>
      </c>
      <c r="AS46" s="1083"/>
      <c r="AT46" s="360"/>
      <c r="AU46" s="1578"/>
      <c r="AV46" s="1576"/>
      <c r="AW46" s="1576"/>
      <c r="AX46" s="1576"/>
      <c r="AY46" s="1576"/>
      <c r="AZ46" s="1576"/>
      <c r="BA46" s="1576"/>
      <c r="BB46" s="1576"/>
      <c r="BC46" s="1576"/>
      <c r="BD46" s="1576"/>
      <c r="BE46" s="1576"/>
      <c r="BF46" s="1576"/>
      <c r="BG46" s="1576"/>
      <c r="BH46" s="1576"/>
      <c r="BI46" s="1576"/>
      <c r="BJ46" s="1576"/>
      <c r="BK46" s="1576"/>
      <c r="BL46" s="1576"/>
      <c r="BM46" s="1576"/>
      <c r="BN46" s="1576"/>
      <c r="BO46" s="1576"/>
      <c r="BP46" s="1576"/>
      <c r="BQ46" s="1576"/>
      <c r="BR46" s="1577"/>
    </row>
    <row r="47" spans="1:70" s="340" customFormat="1" ht="18" customHeight="1">
      <c r="B47" s="1090" t="s">
        <v>59</v>
      </c>
      <c r="C47" s="1091"/>
      <c r="D47" s="1092">
        <f>IF(ISTEXT(IFERROR(VLOOKUP(人物卡!F47,人物卡!BJ18:BR22,1,FALSE),IFERROR(VLOOKUP(人物卡!F47,人物卡!BA18:BC22,1,FALSE),0))),"★",INDEX(本职技能!$A$2:$HX$76,MATCH(人物卡!F47,本职技能!$A$2:$A$75,0),MATCH(人物卡!$M$5,本职技能!$A$1:$HX$1,0)))</f>
        <v>0</v>
      </c>
      <c r="E47" s="1093"/>
      <c r="F47" s="1121" t="s">
        <v>153</v>
      </c>
      <c r="G47" s="1122"/>
      <c r="H47" s="1181"/>
      <c r="I47" s="1182"/>
      <c r="J47" s="967">
        <v>1</v>
      </c>
      <c r="K47" s="1094"/>
      <c r="L47" s="967"/>
      <c r="M47" s="1094"/>
      <c r="N47" s="967"/>
      <c r="O47" s="1094"/>
      <c r="P47" s="967"/>
      <c r="Q47" s="1094"/>
      <c r="R47" s="1096">
        <f t="shared" si="15"/>
        <v>1</v>
      </c>
      <c r="S47" s="1097"/>
      <c r="T47" s="967">
        <f t="shared" si="7"/>
        <v>0</v>
      </c>
      <c r="U47" s="1094"/>
      <c r="V47" s="967">
        <f t="shared" si="8"/>
        <v>0</v>
      </c>
      <c r="W47" s="1098"/>
      <c r="X47" s="1099" t="s">
        <v>59</v>
      </c>
      <c r="Y47" s="1094"/>
      <c r="Z47" s="1216">
        <f>IF(ISTEXT(IFERROR(VLOOKUP(人物卡!AB47,人物卡!BJ18:BR22,1,FALSE),IFERROR(VLOOKUP(人物卡!AB47,人物卡!BA18:BC22,1,FALSE),0))),"★",INDEX(本职技能!$A$2:$HX$76,MATCH(人物卡!AB47,本职技能!$A$2:$A$75,0),MATCH(人物卡!$M$5,本职技能!$A$1:$HX$1,0)))</f>
        <v>0</v>
      </c>
      <c r="AA47" s="1217"/>
      <c r="AB47" s="1218" t="s">
        <v>154</v>
      </c>
      <c r="AC47" s="1219"/>
      <c r="AD47" s="1220"/>
      <c r="AE47" s="1221"/>
      <c r="AF47" s="967">
        <v>1</v>
      </c>
      <c r="AG47" s="1094"/>
      <c r="AH47" s="967"/>
      <c r="AI47" s="1094"/>
      <c r="AJ47" s="967"/>
      <c r="AK47" s="1094"/>
      <c r="AL47" s="1096"/>
      <c r="AM47" s="1097"/>
      <c r="AN47" s="1096">
        <f t="shared" si="13"/>
        <v>1</v>
      </c>
      <c r="AO47" s="1097"/>
      <c r="AP47" s="1096">
        <f t="shared" si="10"/>
        <v>0</v>
      </c>
      <c r="AQ47" s="1097"/>
      <c r="AR47" s="1096">
        <f t="shared" si="11"/>
        <v>0</v>
      </c>
      <c r="AS47" s="1100"/>
      <c r="AT47" s="481"/>
      <c r="AU47" s="1578"/>
      <c r="AV47" s="1576"/>
      <c r="AW47" s="1576"/>
      <c r="AX47" s="1576"/>
      <c r="AY47" s="1576"/>
      <c r="AZ47" s="1576"/>
      <c r="BA47" s="1576"/>
      <c r="BB47" s="1576"/>
      <c r="BC47" s="1576"/>
      <c r="BD47" s="1576"/>
      <c r="BE47" s="1576"/>
      <c r="BF47" s="1576"/>
      <c r="BG47" s="1576"/>
      <c r="BH47" s="1576"/>
      <c r="BI47" s="1576"/>
      <c r="BJ47" s="1576"/>
      <c r="BK47" s="1576"/>
      <c r="BL47" s="1576"/>
      <c r="BM47" s="1576"/>
      <c r="BN47" s="1576"/>
      <c r="BO47" s="1576"/>
      <c r="BP47" s="1576"/>
      <c r="BQ47" s="1576"/>
      <c r="BR47" s="1577"/>
    </row>
    <row r="48" spans="1:70" s="340" customFormat="1" ht="18" customHeight="1">
      <c r="B48" s="1101" t="s">
        <v>59</v>
      </c>
      <c r="C48" s="1102"/>
      <c r="D48" s="1070">
        <f>IF(ISTEXT(IFERROR(VLOOKUP(F48,人物卡!BJ18:BR22,1,FALSE),IFERROR(VLOOKUP(F48,人物卡!BA18:BC22,1,FALSE),0))),"★",INDEX(本职技能!$A$2:$HX$76,MATCH(F48,本职技能!$A$2:$A$75,0),MATCH(人物卡!$M$5,本职技能!$A$1:$HX$1,0)))</f>
        <v>0</v>
      </c>
      <c r="E48" s="1070"/>
      <c r="F48" s="1110" t="s">
        <v>155</v>
      </c>
      <c r="G48" s="1111"/>
      <c r="H48" s="1201"/>
      <c r="I48" s="1202"/>
      <c r="J48" s="964">
        <v>1</v>
      </c>
      <c r="K48" s="964"/>
      <c r="L48" s="964"/>
      <c r="M48" s="964"/>
      <c r="N48" s="964"/>
      <c r="O48" s="964"/>
      <c r="P48" s="964"/>
      <c r="Q48" s="964"/>
      <c r="R48" s="1068">
        <f t="shared" si="15"/>
        <v>1</v>
      </c>
      <c r="S48" s="1068"/>
      <c r="T48" s="964">
        <f t="shared" si="7"/>
        <v>0</v>
      </c>
      <c r="U48" s="964"/>
      <c r="V48" s="964">
        <f t="shared" si="8"/>
        <v>0</v>
      </c>
      <c r="W48" s="980"/>
      <c r="X48" s="1069" t="s">
        <v>59</v>
      </c>
      <c r="Y48" s="964"/>
      <c r="Z48" s="1223">
        <f>IF(ISTEXT(IFERROR(VLOOKUP(AB48,人物卡!BJ18:BR22,1,FALSE),IFERROR(VLOOKUP(AB48,人物卡!BA18:BC22,1,FALSE),0))),"★",INDEX(本职技能!$A$2:$HX$76,MATCH(AB48,本职技能!$A$2:$A$75,0),MATCH(人物卡!$M$5,本职技能!$A$1:$HX$1,0)))</f>
        <v>0</v>
      </c>
      <c r="AA48" s="1223"/>
      <c r="AB48" s="1212" t="s">
        <v>156</v>
      </c>
      <c r="AC48" s="1213"/>
      <c r="AD48" s="1214"/>
      <c r="AE48" s="1215"/>
      <c r="AF48" s="964"/>
      <c r="AG48" s="964"/>
      <c r="AH48" s="964"/>
      <c r="AI48" s="964"/>
      <c r="AJ48" s="964"/>
      <c r="AK48" s="964"/>
      <c r="AL48" s="1068"/>
      <c r="AM48" s="1068"/>
      <c r="AN48" s="1068">
        <f t="shared" si="13"/>
        <v>0</v>
      </c>
      <c r="AO48" s="1068"/>
      <c r="AP48" s="1068">
        <f t="shared" si="10"/>
        <v>0</v>
      </c>
      <c r="AQ48" s="1068"/>
      <c r="AR48" s="1068">
        <f t="shared" si="11"/>
        <v>0</v>
      </c>
      <c r="AS48" s="1083"/>
      <c r="AT48" s="481"/>
      <c r="AU48" s="1578"/>
      <c r="AV48" s="1576"/>
      <c r="AW48" s="1576"/>
      <c r="AX48" s="1576"/>
      <c r="AY48" s="1576"/>
      <c r="AZ48" s="1576"/>
      <c r="BA48" s="1576"/>
      <c r="BB48" s="1576"/>
      <c r="BC48" s="1576"/>
      <c r="BD48" s="1576"/>
      <c r="BE48" s="1576"/>
      <c r="BF48" s="1576"/>
      <c r="BG48" s="1576"/>
      <c r="BH48" s="1576"/>
      <c r="BI48" s="1576"/>
      <c r="BJ48" s="1576"/>
      <c r="BK48" s="1576"/>
      <c r="BL48" s="1576"/>
      <c r="BM48" s="1576"/>
      <c r="BN48" s="1576"/>
      <c r="BO48" s="1576"/>
      <c r="BP48" s="1576"/>
      <c r="BQ48" s="1576"/>
      <c r="BR48" s="1577"/>
    </row>
    <row r="49" spans="2:70" s="340" customFormat="1" ht="18" customHeight="1">
      <c r="B49" s="1233" t="s">
        <v>59</v>
      </c>
      <c r="C49" s="1234"/>
      <c r="D49" s="1235">
        <f>IF(ISTEXT(IFERROR(VLOOKUP(人物卡!F49,人物卡!BJ18:BR22,1,FALSE),IFERROR(VLOOKUP(人物卡!F49,人物卡!BA18:BC22,1,FALSE),0))),"★",INDEX(本职技能!$A$2:$HX$76,MATCH(人物卡!F49,本职技能!$A$2:$A$75,0),MATCH(人物卡!$M$5,本职技能!$A$1:$HX$1,0)))</f>
        <v>0</v>
      </c>
      <c r="E49" s="1236"/>
      <c r="F49" s="985" t="s">
        <v>157</v>
      </c>
      <c r="G49" s="1237"/>
      <c r="H49" s="1238"/>
      <c r="I49" s="1239"/>
      <c r="J49" s="994">
        <f>AG5</f>
        <v>65</v>
      </c>
      <c r="K49" s="1222"/>
      <c r="L49" s="994"/>
      <c r="M49" s="1222"/>
      <c r="N49" s="994"/>
      <c r="O49" s="1222"/>
      <c r="P49" s="994"/>
      <c r="Q49" s="1222"/>
      <c r="R49" s="1224">
        <f t="shared" si="15"/>
        <v>65</v>
      </c>
      <c r="S49" s="1225"/>
      <c r="T49" s="994">
        <f t="shared" si="7"/>
        <v>32</v>
      </c>
      <c r="U49" s="1222"/>
      <c r="V49" s="994">
        <f t="shared" si="8"/>
        <v>13</v>
      </c>
      <c r="W49" s="1240"/>
      <c r="X49" s="1241" t="s">
        <v>59</v>
      </c>
      <c r="Y49" s="1222"/>
      <c r="Z49" s="1242">
        <f>IF(ISTEXT(IFERROR(VLOOKUP(AB49,人物卡!BJ18:BR22,1,FALSE),IFERROR(VLOOKUP(AB49,人物卡!BA18:BC22,1,FALSE),0))),"★",INDEX(本职技能!$A$2:$HX$76,MATCH(AB49,本职技能!$A$2:$A$75,0),MATCH(人物卡!$M$5,本职技能!$A$1:$HX$1,0)))</f>
        <v>0</v>
      </c>
      <c r="AA49" s="1243"/>
      <c r="AB49" s="1244"/>
      <c r="AC49" s="1245"/>
      <c r="AD49" s="1245"/>
      <c r="AE49" s="1245"/>
      <c r="AF49" s="994"/>
      <c r="AG49" s="1222"/>
      <c r="AH49" s="994"/>
      <c r="AI49" s="1222"/>
      <c r="AJ49" s="994"/>
      <c r="AK49" s="1222"/>
      <c r="AL49" s="1224"/>
      <c r="AM49" s="1225"/>
      <c r="AN49" s="1224">
        <f t="shared" si="13"/>
        <v>0</v>
      </c>
      <c r="AO49" s="1225"/>
      <c r="AP49" s="1224">
        <f t="shared" si="10"/>
        <v>0</v>
      </c>
      <c r="AQ49" s="1225"/>
      <c r="AR49" s="1224">
        <f t="shared" si="11"/>
        <v>0</v>
      </c>
      <c r="AS49" s="1226"/>
      <c r="AT49" s="481"/>
      <c r="AU49" s="1578"/>
      <c r="AV49" s="1576"/>
      <c r="AW49" s="1576"/>
      <c r="AX49" s="1576"/>
      <c r="AY49" s="1576"/>
      <c r="AZ49" s="1576"/>
      <c r="BA49" s="1576"/>
      <c r="BB49" s="1576"/>
      <c r="BC49" s="1576"/>
      <c r="BD49" s="1576"/>
      <c r="BE49" s="1576"/>
      <c r="BF49" s="1576"/>
      <c r="BG49" s="1576"/>
      <c r="BH49" s="1576"/>
      <c r="BI49" s="1576"/>
      <c r="BJ49" s="1576"/>
      <c r="BK49" s="1576"/>
      <c r="BL49" s="1576"/>
      <c r="BM49" s="1576"/>
      <c r="BN49" s="1576"/>
      <c r="BO49" s="1576"/>
      <c r="BP49" s="1576"/>
      <c r="BQ49" s="1576"/>
      <c r="BR49" s="1577"/>
    </row>
    <row r="50" spans="2:70" s="340" customFormat="1" ht="18" customHeight="1">
      <c r="B50" s="1227" t="str">
        <f>IF(M5=0,"","职业信用范围："&amp;LOOKUP(M5,职业列表!A2:A232,职业列表!D2:D232))</f>
        <v>职业信用范围：45-70</v>
      </c>
      <c r="C50" s="1227"/>
      <c r="D50" s="1227"/>
      <c r="E50" s="1227"/>
      <c r="F50" s="1227"/>
      <c r="G50" s="1227"/>
      <c r="H50" s="1227"/>
      <c r="I50" s="617"/>
      <c r="J50" s="1228"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本职属性：[教育×2＋外貌或敏捷或力量×2]       </v>
      </c>
      <c r="K50" s="1228"/>
      <c r="L50" s="1228"/>
      <c r="M50" s="1228"/>
      <c r="N50" s="1228"/>
      <c r="O50" s="1228"/>
      <c r="P50" s="1228"/>
      <c r="Q50" s="1228"/>
      <c r="R50" s="1228"/>
      <c r="S50" s="1228"/>
      <c r="T50" s="1228"/>
      <c r="U50" s="1228"/>
      <c r="V50" s="1228"/>
      <c r="W50" s="1228"/>
      <c r="X50" s="1228"/>
      <c r="Y50" s="1228"/>
      <c r="Z50" s="1228"/>
      <c r="AA50" s="1228"/>
      <c r="AB50" s="1228"/>
      <c r="AC50" s="1228"/>
      <c r="AD50" s="1228"/>
      <c r="AE50" s="1228"/>
      <c r="AF50" s="1228"/>
      <c r="AG50" s="1228"/>
      <c r="AH50" s="1228"/>
      <c r="AI50" s="1228"/>
      <c r="AJ50" s="1228"/>
      <c r="AK50" s="1228"/>
      <c r="AL50" s="1228"/>
      <c r="AM50" s="1228"/>
      <c r="AN50" s="1228"/>
      <c r="AO50" s="1228"/>
      <c r="AP50" s="1228"/>
      <c r="AQ50" s="1228"/>
      <c r="AR50" s="1228"/>
      <c r="AS50" s="1228"/>
      <c r="AT50" s="481"/>
      <c r="AU50" s="1578"/>
      <c r="AV50" s="1576"/>
      <c r="AW50" s="1576"/>
      <c r="AX50" s="1576"/>
      <c r="AY50" s="1576"/>
      <c r="AZ50" s="1576"/>
      <c r="BA50" s="1576"/>
      <c r="BB50" s="1576"/>
      <c r="BC50" s="1576"/>
      <c r="BD50" s="1576"/>
      <c r="BE50" s="1576"/>
      <c r="BF50" s="1576"/>
      <c r="BG50" s="1576"/>
      <c r="BH50" s="1576"/>
      <c r="BI50" s="1576"/>
      <c r="BJ50" s="1576"/>
      <c r="BK50" s="1576"/>
      <c r="BL50" s="1576"/>
      <c r="BM50" s="1576"/>
      <c r="BN50" s="1576"/>
      <c r="BO50" s="1576"/>
      <c r="BP50" s="1576"/>
      <c r="BQ50" s="1576"/>
      <c r="BR50" s="1577"/>
    </row>
    <row r="51" spans="2:70" s="340" customFormat="1" ht="18" customHeight="1">
      <c r="B51" s="946" t="s">
        <v>158</v>
      </c>
      <c r="C51" s="947"/>
      <c r="D51" s="947"/>
      <c r="E51" s="947"/>
      <c r="F51" s="947"/>
      <c r="G51" s="947"/>
      <c r="H51" s="947"/>
      <c r="I51" s="947"/>
      <c r="J51" s="947"/>
      <c r="K51" s="947"/>
      <c r="L51" s="947"/>
      <c r="M51" s="947"/>
      <c r="N51" s="947"/>
      <c r="O51" s="947"/>
      <c r="P51" s="947"/>
      <c r="Q51" s="947"/>
      <c r="R51" s="947"/>
      <c r="S51" s="947"/>
      <c r="T51" s="947"/>
      <c r="U51" s="947"/>
      <c r="V51" s="947"/>
      <c r="W51" s="947"/>
      <c r="X51" s="947"/>
      <c r="Y51" s="947"/>
      <c r="Z51" s="947"/>
      <c r="AA51" s="947"/>
      <c r="AB51" s="947"/>
      <c r="AC51" s="947"/>
      <c r="AD51" s="947"/>
      <c r="AE51" s="947"/>
      <c r="AF51" s="947"/>
      <c r="AG51" s="947"/>
      <c r="AH51" s="947"/>
      <c r="AI51" s="947"/>
      <c r="AJ51" s="947"/>
      <c r="AK51" s="948"/>
      <c r="AM51" s="946" t="s">
        <v>159</v>
      </c>
      <c r="AN51" s="947"/>
      <c r="AO51" s="947"/>
      <c r="AP51" s="947"/>
      <c r="AQ51" s="947"/>
      <c r="AR51" s="947"/>
      <c r="AS51" s="948"/>
      <c r="AT51" s="481"/>
      <c r="AU51" s="1578"/>
      <c r="AV51" s="1576"/>
      <c r="AW51" s="1576"/>
      <c r="AX51" s="1576"/>
      <c r="AY51" s="1576"/>
      <c r="AZ51" s="1576"/>
      <c r="BA51" s="1576"/>
      <c r="BB51" s="1576"/>
      <c r="BC51" s="1576"/>
      <c r="BD51" s="1576"/>
      <c r="BE51" s="1576"/>
      <c r="BF51" s="1576"/>
      <c r="BG51" s="1576"/>
      <c r="BH51" s="1576"/>
      <c r="BI51" s="1576"/>
      <c r="BJ51" s="1576"/>
      <c r="BK51" s="1576"/>
      <c r="BL51" s="1576"/>
      <c r="BM51" s="1576"/>
      <c r="BN51" s="1576"/>
      <c r="BO51" s="1576"/>
      <c r="BP51" s="1576"/>
      <c r="BQ51" s="1576"/>
      <c r="BR51" s="1577"/>
    </row>
    <row r="52" spans="2:70" s="340" customFormat="1" ht="18" customHeight="1">
      <c r="B52" s="1229" t="s">
        <v>160</v>
      </c>
      <c r="C52" s="1230"/>
      <c r="D52" s="1230"/>
      <c r="E52" s="1230"/>
      <c r="F52" s="1230"/>
      <c r="G52" s="1231" t="s">
        <v>161</v>
      </c>
      <c r="H52" s="1230"/>
      <c r="I52" s="1230"/>
      <c r="J52" s="1230"/>
      <c r="K52" s="1230"/>
      <c r="L52" s="1230"/>
      <c r="M52" s="1231" t="s">
        <v>162</v>
      </c>
      <c r="N52" s="1230"/>
      <c r="O52" s="1230"/>
      <c r="P52" s="1230"/>
      <c r="Q52" s="1231" t="s">
        <v>163</v>
      </c>
      <c r="R52" s="1231"/>
      <c r="S52" s="1231"/>
      <c r="T52" s="1231"/>
      <c r="U52" s="1231"/>
      <c r="V52" s="1231"/>
      <c r="W52" s="1231" t="s">
        <v>164</v>
      </c>
      <c r="X52" s="1230"/>
      <c r="Y52" s="1230"/>
      <c r="Z52" s="1230"/>
      <c r="AA52" s="1231" t="s">
        <v>165</v>
      </c>
      <c r="AB52" s="1230"/>
      <c r="AC52" s="1231" t="s">
        <v>166</v>
      </c>
      <c r="AD52" s="1230"/>
      <c r="AE52" s="1231" t="s">
        <v>167</v>
      </c>
      <c r="AF52" s="1230"/>
      <c r="AG52" s="1231" t="s">
        <v>168</v>
      </c>
      <c r="AH52" s="1230"/>
      <c r="AI52" s="1230"/>
      <c r="AJ52" s="1231" t="s">
        <v>169</v>
      </c>
      <c r="AK52" s="1232"/>
      <c r="AM52" s="1505" t="s">
        <v>170</v>
      </c>
      <c r="AN52" s="1313"/>
      <c r="AO52" s="1313"/>
      <c r="AP52" s="1596" t="str">
        <f>附表!P9</f>
        <v>+1D4</v>
      </c>
      <c r="AQ52" s="1596"/>
      <c r="AR52" s="1596"/>
      <c r="AS52" s="1597"/>
      <c r="AU52" s="1578"/>
      <c r="AV52" s="1576"/>
      <c r="AW52" s="1576"/>
      <c r="AX52" s="1576"/>
      <c r="AY52" s="1576"/>
      <c r="AZ52" s="1576"/>
      <c r="BA52" s="1576"/>
      <c r="BB52" s="1576"/>
      <c r="BC52" s="1576"/>
      <c r="BD52" s="1576"/>
      <c r="BE52" s="1576"/>
      <c r="BF52" s="1576"/>
      <c r="BG52" s="1576"/>
      <c r="BH52" s="1576"/>
      <c r="BI52" s="1576"/>
      <c r="BJ52" s="1576"/>
      <c r="BK52" s="1576"/>
      <c r="BL52" s="1576"/>
      <c r="BM52" s="1576"/>
      <c r="BN52" s="1576"/>
      <c r="BO52" s="1576"/>
      <c r="BP52" s="1576"/>
      <c r="BQ52" s="1576"/>
      <c r="BR52" s="1577"/>
    </row>
    <row r="53" spans="2:70" s="340" customFormat="1" ht="18" customHeight="1">
      <c r="B53" s="1246"/>
      <c r="C53" s="1247"/>
      <c r="D53" s="1247"/>
      <c r="E53" s="1247"/>
      <c r="F53" s="1248"/>
      <c r="G53" s="1249"/>
      <c r="H53" s="1247"/>
      <c r="I53" s="1247"/>
      <c r="J53" s="1247"/>
      <c r="K53" s="1247"/>
      <c r="L53" s="1248"/>
      <c r="M53" s="1249"/>
      <c r="N53" s="1247"/>
      <c r="O53" s="1247"/>
      <c r="P53" s="1248"/>
      <c r="Q53" s="1250"/>
      <c r="R53" s="1251"/>
      <c r="S53" s="1249"/>
      <c r="T53" s="1248"/>
      <c r="U53" s="1249"/>
      <c r="V53" s="1248"/>
      <c r="W53" s="1249"/>
      <c r="X53" s="1247"/>
      <c r="Y53" s="1247"/>
      <c r="Z53" s="1248"/>
      <c r="AA53" s="1249"/>
      <c r="AB53" s="1248"/>
      <c r="AC53" s="1249"/>
      <c r="AD53" s="1248"/>
      <c r="AE53" s="1249"/>
      <c r="AF53" s="1248"/>
      <c r="AG53" s="1249"/>
      <c r="AH53" s="1247"/>
      <c r="AI53" s="1248"/>
      <c r="AJ53" s="1249"/>
      <c r="AK53" s="1252"/>
      <c r="AM53" s="1505"/>
      <c r="AN53" s="1313"/>
      <c r="AO53" s="1313"/>
      <c r="AP53" s="1596"/>
      <c r="AQ53" s="1596"/>
      <c r="AR53" s="1596"/>
      <c r="AS53" s="1597"/>
      <c r="AU53" s="1578"/>
      <c r="AV53" s="1576"/>
      <c r="AW53" s="1576"/>
      <c r="AX53" s="1576"/>
      <c r="AY53" s="1576"/>
      <c r="AZ53" s="1576"/>
      <c r="BA53" s="1576"/>
      <c r="BB53" s="1576"/>
      <c r="BC53" s="1576"/>
      <c r="BD53" s="1576"/>
      <c r="BE53" s="1576"/>
      <c r="BF53" s="1576"/>
      <c r="BG53" s="1576"/>
      <c r="BH53" s="1576"/>
      <c r="BI53" s="1576"/>
      <c r="BJ53" s="1576"/>
      <c r="BK53" s="1576"/>
      <c r="BL53" s="1576"/>
      <c r="BM53" s="1576"/>
      <c r="BN53" s="1576"/>
      <c r="BO53" s="1576"/>
      <c r="BP53" s="1576"/>
      <c r="BQ53" s="1576"/>
      <c r="BR53" s="1577"/>
    </row>
    <row r="54" spans="2:70" s="340" customFormat="1" ht="18" customHeight="1">
      <c r="B54" s="1253"/>
      <c r="C54" s="1254"/>
      <c r="D54" s="1254"/>
      <c r="E54" s="1254"/>
      <c r="F54" s="1255"/>
      <c r="G54" s="1256"/>
      <c r="H54" s="1254"/>
      <c r="I54" s="1254"/>
      <c r="J54" s="1254"/>
      <c r="K54" s="1254"/>
      <c r="L54" s="1255"/>
      <c r="M54" s="1256"/>
      <c r="N54" s="1254"/>
      <c r="O54" s="1254"/>
      <c r="P54" s="1255"/>
      <c r="Q54" s="1257"/>
      <c r="R54" s="1258"/>
      <c r="S54" s="1256"/>
      <c r="T54" s="1255"/>
      <c r="U54" s="1256"/>
      <c r="V54" s="1255"/>
      <c r="W54" s="1256"/>
      <c r="X54" s="1254"/>
      <c r="Y54" s="1254"/>
      <c r="Z54" s="1255"/>
      <c r="AA54" s="1256"/>
      <c r="AB54" s="1255"/>
      <c r="AC54" s="1256"/>
      <c r="AD54" s="1255"/>
      <c r="AE54" s="1256"/>
      <c r="AF54" s="1255"/>
      <c r="AG54" s="1256"/>
      <c r="AH54" s="1254"/>
      <c r="AI54" s="1255"/>
      <c r="AJ54" s="1256"/>
      <c r="AK54" s="1259"/>
      <c r="AM54" s="1505"/>
      <c r="AN54" s="1313"/>
      <c r="AO54" s="1313"/>
      <c r="AP54" s="1596"/>
      <c r="AQ54" s="1596"/>
      <c r="AR54" s="1596"/>
      <c r="AS54" s="1597"/>
      <c r="AU54" s="1578"/>
      <c r="AV54" s="1576"/>
      <c r="AW54" s="1576"/>
      <c r="AX54" s="1576"/>
      <c r="AY54" s="1576"/>
      <c r="AZ54" s="1576"/>
      <c r="BA54" s="1576"/>
      <c r="BB54" s="1576"/>
      <c r="BC54" s="1576"/>
      <c r="BD54" s="1576"/>
      <c r="BE54" s="1576"/>
      <c r="BF54" s="1576"/>
      <c r="BG54" s="1576"/>
      <c r="BH54" s="1576"/>
      <c r="BI54" s="1576"/>
      <c r="BJ54" s="1576"/>
      <c r="BK54" s="1576"/>
      <c r="BL54" s="1576"/>
      <c r="BM54" s="1576"/>
      <c r="BN54" s="1576"/>
      <c r="BO54" s="1576"/>
      <c r="BP54" s="1576"/>
      <c r="BQ54" s="1576"/>
      <c r="BR54" s="1577"/>
    </row>
    <row r="55" spans="2:70" s="340" customFormat="1" ht="18" customHeight="1">
      <c r="B55" s="1260" t="s">
        <v>5949</v>
      </c>
      <c r="C55" s="1261"/>
      <c r="D55" s="1261"/>
      <c r="E55" s="1261"/>
      <c r="F55" s="1262"/>
      <c r="G55" s="1263" t="s">
        <v>4587</v>
      </c>
      <c r="H55" s="1261"/>
      <c r="I55" s="1261"/>
      <c r="J55" s="1261"/>
      <c r="K55" s="1261"/>
      <c r="L55" s="1262"/>
      <c r="M55" s="1263" t="str">
        <f>IF($G55=0,IF(M54="←请选择类型","","←请选择类型"),VLOOKUP($G55,'武器列表 战斗'!$B$2:$I$105,2,FALSE))</f>
        <v>斗殴</v>
      </c>
      <c r="N55" s="1261"/>
      <c r="O55" s="1261"/>
      <c r="P55" s="1262"/>
      <c r="Q55" s="1263">
        <f>附表!AV16</f>
        <v>65</v>
      </c>
      <c r="R55" s="1262"/>
      <c r="S55" s="1263">
        <f t="shared" ref="S55:S56" si="16">IF(Q55="","",INT(Q55/2))</f>
        <v>32</v>
      </c>
      <c r="T55" s="1262"/>
      <c r="U55" s="1263">
        <f t="shared" ref="U55:U56" si="17">IF(Q55="","",INT(Q55/5))</f>
        <v>13</v>
      </c>
      <c r="V55" s="1262"/>
      <c r="W55" s="1263" t="str">
        <f>IF($G55=0,"",VLOOKUP($G55,'武器列表 战斗'!$B$2:$I$105,3,FALSE))</f>
        <v>1D4+DB</v>
      </c>
      <c r="X55" s="1261"/>
      <c r="Y55" s="1261"/>
      <c r="Z55" s="1262"/>
      <c r="AA55" s="1263" t="str">
        <f>IF($G55=0,"",VLOOKUP($G55,'武器列表 战斗'!$B$2:$I$105,4,FALSE))</f>
        <v>接触</v>
      </c>
      <c r="AB55" s="1262"/>
      <c r="AC55" s="1263" t="str">
        <f>IF($G55=0,"",VLOOKUP($G55,'武器列表 战斗'!$B$2:$I$105,5,FALSE))</f>
        <v>√</v>
      </c>
      <c r="AD55" s="1262"/>
      <c r="AE55" s="1263" t="str">
        <f>IF($G55=0,"",VLOOKUP($G55,'武器列表 战斗'!$B$2:$I$105,6,FALSE))</f>
        <v>1</v>
      </c>
      <c r="AF55" s="1262"/>
      <c r="AG55" s="1263" t="str">
        <f>IF($G55=0,"",VLOOKUP($G55,'武器列表 战斗'!$B$2:$I$105,7,FALSE))</f>
        <v>——</v>
      </c>
      <c r="AH55" s="1261"/>
      <c r="AI55" s="1262"/>
      <c r="AJ55" s="1263" t="str">
        <f>IF($G55=0,"",VLOOKUP($G55,'武器列表 战斗'!$B$2:$I$105,8,FALSE))</f>
        <v>——</v>
      </c>
      <c r="AK55" s="1264"/>
      <c r="AM55" s="1585" t="s">
        <v>171</v>
      </c>
      <c r="AN55" s="1286"/>
      <c r="AO55" s="1286"/>
      <c r="AP55" s="1593" t="str">
        <f>附表!P7</f>
        <v>1</v>
      </c>
      <c r="AQ55" s="1594"/>
      <c r="AR55" s="1594"/>
      <c r="AS55" s="1595"/>
      <c r="AU55" s="1578"/>
      <c r="AV55" s="1576"/>
      <c r="AW55" s="1576"/>
      <c r="AX55" s="1576"/>
      <c r="AY55" s="1576"/>
      <c r="AZ55" s="1576"/>
      <c r="BA55" s="1576"/>
      <c r="BB55" s="1576"/>
      <c r="BC55" s="1576"/>
      <c r="BD55" s="1576"/>
      <c r="BE55" s="1576"/>
      <c r="BF55" s="1576"/>
      <c r="BG55" s="1576"/>
      <c r="BH55" s="1576"/>
      <c r="BI55" s="1576"/>
      <c r="BJ55" s="1576"/>
      <c r="BK55" s="1576"/>
      <c r="BL55" s="1576"/>
      <c r="BM55" s="1576"/>
      <c r="BN55" s="1576"/>
      <c r="BO55" s="1576"/>
      <c r="BP55" s="1576"/>
      <c r="BQ55" s="1576"/>
      <c r="BR55" s="1577"/>
    </row>
    <row r="56" spans="2:70" s="340" customFormat="1" ht="18" customHeight="1">
      <c r="B56" s="1265" t="s">
        <v>5950</v>
      </c>
      <c r="C56" s="1254"/>
      <c r="D56" s="1254"/>
      <c r="E56" s="1254"/>
      <c r="F56" s="1255"/>
      <c r="G56" s="1256" t="s">
        <v>4669</v>
      </c>
      <c r="H56" s="1254"/>
      <c r="I56" s="1254"/>
      <c r="J56" s="1254"/>
      <c r="K56" s="1254"/>
      <c r="L56" s="1255"/>
      <c r="M56" s="1257" t="str">
        <f>IF($G56=0,IF(OR(M54="←请选择类型",M55="←请选择类型"),"","←请选择类型"),VLOOKUP($G56,'武器列表 战斗'!$B$2:$I$105,2,FALSE))</f>
        <v>手枪</v>
      </c>
      <c r="N56" s="1266"/>
      <c r="O56" s="1266"/>
      <c r="P56" s="1258"/>
      <c r="Q56" s="1256">
        <f>附表!AV17</f>
        <v>70</v>
      </c>
      <c r="R56" s="1255"/>
      <c r="S56" s="1256">
        <f t="shared" si="16"/>
        <v>35</v>
      </c>
      <c r="T56" s="1255"/>
      <c r="U56" s="1256">
        <f t="shared" si="17"/>
        <v>14</v>
      </c>
      <c r="V56" s="1255"/>
      <c r="W56" s="1256" t="str">
        <f>IF($G56=0,"",VLOOKUP($G56,'武器列表 战斗'!$B$2:$I$105,3,FALSE))</f>
        <v>1D8+1D4</v>
      </c>
      <c r="X56" s="1254"/>
      <c r="Y56" s="1254"/>
      <c r="Z56" s="1255"/>
      <c r="AA56" s="1256" t="str">
        <f>IF($G56=0,"",VLOOKUP($G56,'武器列表 战斗'!$B$2:$I$105,4,FALSE))</f>
        <v>15</v>
      </c>
      <c r="AB56" s="1255"/>
      <c r="AC56" s="1256" t="str">
        <f>IF($G56=0,"",VLOOKUP($G56,'武器列表 战斗'!$B$2:$I$105,5,FALSE))</f>
        <v>√</v>
      </c>
      <c r="AD56" s="1255"/>
      <c r="AE56" s="1256" t="str">
        <f>IF($G56=0,"",VLOOKUP($G56,'武器列表 战斗'!$B$2:$I$105,6,FALSE))</f>
        <v>1(3)</v>
      </c>
      <c r="AF56" s="1255"/>
      <c r="AG56" s="1256" t="str">
        <f>IF($G56=0,"",VLOOKUP($G56,'武器列表 战斗'!$B$2:$I$105,7,FALSE))</f>
        <v>6</v>
      </c>
      <c r="AH56" s="1254"/>
      <c r="AI56" s="1255"/>
      <c r="AJ56" s="1256" t="str">
        <f>IF($G56=0,"",VLOOKUP($G56,'武器列表 战斗'!$B$2:$I$105,8,FALSE))</f>
        <v>100</v>
      </c>
      <c r="AK56" s="1259"/>
      <c r="AM56" s="1586"/>
      <c r="AN56" s="1286"/>
      <c r="AO56" s="1286"/>
      <c r="AP56" s="1594"/>
      <c r="AQ56" s="1594"/>
      <c r="AR56" s="1594"/>
      <c r="AS56" s="1595"/>
      <c r="AU56" s="1578"/>
      <c r="AV56" s="1576"/>
      <c r="AW56" s="1576"/>
      <c r="AX56" s="1576"/>
      <c r="AY56" s="1576"/>
      <c r="AZ56" s="1576"/>
      <c r="BA56" s="1576"/>
      <c r="BB56" s="1576"/>
      <c r="BC56" s="1576"/>
      <c r="BD56" s="1576"/>
      <c r="BE56" s="1576"/>
      <c r="BF56" s="1576"/>
      <c r="BG56" s="1576"/>
      <c r="BH56" s="1576"/>
      <c r="BI56" s="1576"/>
      <c r="BJ56" s="1576"/>
      <c r="BK56" s="1576"/>
      <c r="BL56" s="1576"/>
      <c r="BM56" s="1576"/>
      <c r="BN56" s="1576"/>
      <c r="BO56" s="1576"/>
      <c r="BP56" s="1576"/>
      <c r="BQ56" s="1576"/>
      <c r="BR56" s="1577"/>
    </row>
    <row r="57" spans="2:70" s="340" customFormat="1" ht="18" customHeight="1">
      <c r="B57" s="1267"/>
      <c r="C57" s="1261"/>
      <c r="D57" s="1261"/>
      <c r="E57" s="1261"/>
      <c r="F57" s="1262"/>
      <c r="G57" s="1263"/>
      <c r="H57" s="1261"/>
      <c r="I57" s="1261"/>
      <c r="J57" s="1261"/>
      <c r="K57" s="1261"/>
      <c r="L57" s="1262"/>
      <c r="M57" s="1263"/>
      <c r="N57" s="1261"/>
      <c r="O57" s="1261"/>
      <c r="P57" s="1262"/>
      <c r="Q57" s="1263"/>
      <c r="R57" s="1262"/>
      <c r="S57" s="1263"/>
      <c r="T57" s="1262"/>
      <c r="U57" s="1263"/>
      <c r="V57" s="1262"/>
      <c r="W57" s="1263"/>
      <c r="X57" s="1261"/>
      <c r="Y57" s="1261"/>
      <c r="Z57" s="1262"/>
      <c r="AA57" s="1263"/>
      <c r="AB57" s="1262"/>
      <c r="AC57" s="1263"/>
      <c r="AD57" s="1262"/>
      <c r="AE57" s="1263"/>
      <c r="AF57" s="1262"/>
      <c r="AG57" s="1263"/>
      <c r="AH57" s="1261"/>
      <c r="AI57" s="1262"/>
      <c r="AJ57" s="1263"/>
      <c r="AK57" s="1264"/>
      <c r="AM57" s="1505" t="s">
        <v>172</v>
      </c>
      <c r="AN57" s="1313"/>
      <c r="AO57" s="1313"/>
      <c r="AP57" s="1268">
        <f>R29</f>
        <v>44</v>
      </c>
      <c r="AQ57" s="1268"/>
      <c r="AR57" s="1268">
        <f>T29</f>
        <v>22</v>
      </c>
      <c r="AS57" s="1269"/>
      <c r="AU57" s="1578"/>
      <c r="AV57" s="1576"/>
      <c r="AW57" s="1576"/>
      <c r="AX57" s="1576"/>
      <c r="AY57" s="1576"/>
      <c r="AZ57" s="1576"/>
      <c r="BA57" s="1576"/>
      <c r="BB57" s="1576"/>
      <c r="BC57" s="1576"/>
      <c r="BD57" s="1576"/>
      <c r="BE57" s="1576"/>
      <c r="BF57" s="1576"/>
      <c r="BG57" s="1576"/>
      <c r="BH57" s="1576"/>
      <c r="BI57" s="1576"/>
      <c r="BJ57" s="1576"/>
      <c r="BK57" s="1576"/>
      <c r="BL57" s="1576"/>
      <c r="BM57" s="1576"/>
      <c r="BN57" s="1576"/>
      <c r="BO57" s="1576"/>
      <c r="BP57" s="1576"/>
      <c r="BQ57" s="1576"/>
      <c r="BR57" s="1577"/>
    </row>
    <row r="58" spans="2:70" s="340" customFormat="1" ht="18" customHeight="1">
      <c r="B58" s="1270"/>
      <c r="C58" s="1271"/>
      <c r="D58" s="1271"/>
      <c r="E58" s="1271"/>
      <c r="F58" s="1272"/>
      <c r="G58" s="1273"/>
      <c r="H58" s="1271"/>
      <c r="I58" s="1271"/>
      <c r="J58" s="1271"/>
      <c r="K58" s="1271"/>
      <c r="L58" s="1272"/>
      <c r="M58" s="1273"/>
      <c r="N58" s="1271"/>
      <c r="O58" s="1271"/>
      <c r="P58" s="1272"/>
      <c r="Q58" s="1273"/>
      <c r="R58" s="1272"/>
      <c r="S58" s="1273"/>
      <c r="T58" s="1272"/>
      <c r="U58" s="1273"/>
      <c r="V58" s="1272"/>
      <c r="W58" s="1273"/>
      <c r="X58" s="1271"/>
      <c r="Y58" s="1271"/>
      <c r="Z58" s="1272"/>
      <c r="AA58" s="1273"/>
      <c r="AB58" s="1272"/>
      <c r="AC58" s="1273"/>
      <c r="AD58" s="1272"/>
      <c r="AE58" s="1273"/>
      <c r="AF58" s="1272"/>
      <c r="AG58" s="1273"/>
      <c r="AH58" s="1271"/>
      <c r="AI58" s="1272"/>
      <c r="AJ58" s="1273"/>
      <c r="AK58" s="1274"/>
      <c r="AM58" s="1611"/>
      <c r="AN58" s="1612"/>
      <c r="AO58" s="1612"/>
      <c r="AP58" s="1275"/>
      <c r="AQ58" s="1275"/>
      <c r="AR58" s="1275">
        <f>V29</f>
        <v>8</v>
      </c>
      <c r="AS58" s="1276"/>
      <c r="AU58" s="1578"/>
      <c r="AV58" s="1576"/>
      <c r="AW58" s="1576"/>
      <c r="AX58" s="1576"/>
      <c r="AY58" s="1576"/>
      <c r="AZ58" s="1576"/>
      <c r="BA58" s="1576"/>
      <c r="BB58" s="1576"/>
      <c r="BC58" s="1576"/>
      <c r="BD58" s="1576"/>
      <c r="BE58" s="1576"/>
      <c r="BF58" s="1576"/>
      <c r="BG58" s="1576"/>
      <c r="BH58" s="1576"/>
      <c r="BI58" s="1576"/>
      <c r="BJ58" s="1576"/>
      <c r="BK58" s="1576"/>
      <c r="BL58" s="1576"/>
      <c r="BM58" s="1576"/>
      <c r="BN58" s="1576"/>
      <c r="BO58" s="1576"/>
      <c r="BP58" s="1576"/>
      <c r="BQ58" s="1576"/>
      <c r="BR58" s="1577"/>
    </row>
    <row r="59" spans="2:70" s="340" customFormat="1" ht="18" customHeight="1">
      <c r="B59" s="481"/>
      <c r="C59" s="481"/>
      <c r="D59" s="481"/>
      <c r="E59" s="481"/>
      <c r="F59" s="481"/>
      <c r="G59" s="481"/>
      <c r="H59" s="481"/>
      <c r="I59" s="481"/>
      <c r="J59" s="481"/>
      <c r="K59" s="481"/>
      <c r="L59" s="481"/>
      <c r="M59" s="481"/>
      <c r="N59" s="481"/>
      <c r="O59" s="481"/>
      <c r="P59" s="481"/>
      <c r="Q59" s="481"/>
      <c r="R59" s="481"/>
      <c r="AH59" s="933"/>
      <c r="AU59" s="1578"/>
      <c r="AV59" s="1576"/>
      <c r="AW59" s="1576"/>
      <c r="AX59" s="1576"/>
      <c r="AY59" s="1576"/>
      <c r="AZ59" s="1576"/>
      <c r="BA59" s="1576"/>
      <c r="BB59" s="1576"/>
      <c r="BC59" s="1576"/>
      <c r="BD59" s="1576"/>
      <c r="BE59" s="1576"/>
      <c r="BF59" s="1576"/>
      <c r="BG59" s="1576"/>
      <c r="BH59" s="1576"/>
      <c r="BI59" s="1576"/>
      <c r="BJ59" s="1576"/>
      <c r="BK59" s="1576"/>
      <c r="BL59" s="1576"/>
      <c r="BM59" s="1576"/>
      <c r="BN59" s="1576"/>
      <c r="BO59" s="1576"/>
      <c r="BP59" s="1576"/>
      <c r="BQ59" s="1576"/>
      <c r="BR59" s="1577"/>
    </row>
    <row r="60" spans="2:70" s="340" customFormat="1" ht="18" customHeight="1">
      <c r="B60" s="946" t="s">
        <v>173</v>
      </c>
      <c r="C60" s="947"/>
      <c r="D60" s="947"/>
      <c r="E60" s="947"/>
      <c r="F60" s="947"/>
      <c r="G60" s="947"/>
      <c r="H60" s="947"/>
      <c r="I60" s="947"/>
      <c r="J60" s="947"/>
      <c r="K60" s="947"/>
      <c r="L60" s="947"/>
      <c r="M60" s="947"/>
      <c r="N60" s="947"/>
      <c r="O60" s="947"/>
      <c r="P60" s="947"/>
      <c r="Q60" s="947"/>
      <c r="R60" s="947"/>
      <c r="S60" s="947"/>
      <c r="T60" s="947"/>
      <c r="U60" s="948"/>
      <c r="W60" s="946" t="s">
        <v>174</v>
      </c>
      <c r="X60" s="947"/>
      <c r="Y60" s="947"/>
      <c r="Z60" s="947"/>
      <c r="AA60" s="947"/>
      <c r="AB60" s="947"/>
      <c r="AC60" s="947"/>
      <c r="AD60" s="947"/>
      <c r="AE60" s="947"/>
      <c r="AF60" s="947"/>
      <c r="AG60" s="947"/>
      <c r="AH60" s="947"/>
      <c r="AI60" s="947"/>
      <c r="AJ60" s="947"/>
      <c r="AK60" s="947"/>
      <c r="AL60" s="947"/>
      <c r="AM60" s="947"/>
      <c r="AN60" s="947"/>
      <c r="AO60" s="947"/>
      <c r="AP60" s="947"/>
      <c r="AQ60" s="947"/>
      <c r="AR60" s="947"/>
      <c r="AS60" s="948"/>
      <c r="AU60" s="1578"/>
      <c r="AV60" s="1576"/>
      <c r="AW60" s="1576"/>
      <c r="AX60" s="1576"/>
      <c r="AY60" s="1576"/>
      <c r="AZ60" s="1576"/>
      <c r="BA60" s="1576"/>
      <c r="BB60" s="1576"/>
      <c r="BC60" s="1576"/>
      <c r="BD60" s="1576"/>
      <c r="BE60" s="1576"/>
      <c r="BF60" s="1576"/>
      <c r="BG60" s="1576"/>
      <c r="BH60" s="1576"/>
      <c r="BI60" s="1576"/>
      <c r="BJ60" s="1576"/>
      <c r="BK60" s="1576"/>
      <c r="BL60" s="1576"/>
      <c r="BM60" s="1576"/>
      <c r="BN60" s="1576"/>
      <c r="BO60" s="1576"/>
      <c r="BP60" s="1576"/>
      <c r="BQ60" s="1576"/>
      <c r="BR60" s="1577"/>
    </row>
    <row r="61" spans="2:70" s="340" customFormat="1" ht="18" customHeight="1">
      <c r="B61" s="1229" t="s">
        <v>94</v>
      </c>
      <c r="C61" s="1277"/>
      <c r="D61" s="1277"/>
      <c r="E61" s="1277"/>
      <c r="F61" s="1231" t="s">
        <v>175</v>
      </c>
      <c r="G61" s="1277"/>
      <c r="H61" s="1277"/>
      <c r="I61" s="1231" t="s">
        <v>176</v>
      </c>
      <c r="J61" s="1277"/>
      <c r="K61" s="1278"/>
      <c r="L61" s="1279" t="s">
        <v>177</v>
      </c>
      <c r="M61" s="1277"/>
      <c r="N61" s="1277"/>
      <c r="O61" s="1231" t="s">
        <v>178</v>
      </c>
      <c r="P61" s="1277"/>
      <c r="Q61" s="1277"/>
      <c r="R61" s="1277"/>
      <c r="S61" s="1231" t="s">
        <v>179</v>
      </c>
      <c r="T61" s="1277"/>
      <c r="U61" s="1280"/>
      <c r="W61" s="1609" t="s">
        <v>180</v>
      </c>
      <c r="X61" s="1176"/>
      <c r="Y61" s="1176"/>
      <c r="Z61" s="1176"/>
      <c r="AA61" s="1526" t="s">
        <v>5956</v>
      </c>
      <c r="AB61" s="1527"/>
      <c r="AC61" s="1527"/>
      <c r="AD61" s="1527"/>
      <c r="AE61" s="1527"/>
      <c r="AF61" s="1527"/>
      <c r="AG61" s="1527"/>
      <c r="AH61" s="1527"/>
      <c r="AI61" s="1527"/>
      <c r="AJ61" s="1527"/>
      <c r="AK61" s="1527"/>
      <c r="AL61" s="1527"/>
      <c r="AM61" s="1527"/>
      <c r="AN61" s="1527"/>
      <c r="AO61" s="1527"/>
      <c r="AP61" s="1527"/>
      <c r="AQ61" s="1527"/>
      <c r="AR61" s="1523" t="s">
        <v>181</v>
      </c>
      <c r="AS61" s="1524"/>
      <c r="AU61" s="1579"/>
      <c r="AV61" s="1580"/>
      <c r="AW61" s="1580"/>
      <c r="AX61" s="1580"/>
      <c r="AY61" s="1580"/>
      <c r="AZ61" s="1580"/>
      <c r="BA61" s="1580"/>
      <c r="BB61" s="1580"/>
      <c r="BC61" s="1580"/>
      <c r="BD61" s="1580"/>
      <c r="BE61" s="1580"/>
      <c r="BF61" s="1580"/>
      <c r="BG61" s="1580"/>
      <c r="BH61" s="1580"/>
      <c r="BI61" s="1580"/>
      <c r="BJ61" s="1580"/>
      <c r="BK61" s="1580"/>
      <c r="BL61" s="1580"/>
      <c r="BM61" s="1580"/>
      <c r="BN61" s="1580"/>
      <c r="BO61" s="1580"/>
      <c r="BP61" s="1580"/>
      <c r="BQ61" s="1580"/>
      <c r="BR61" s="1581"/>
    </row>
    <row r="62" spans="2:70" s="340" customFormat="1" ht="18" customHeight="1">
      <c r="B62" s="1281" t="str">
        <f>附表!Z223</f>
        <v>50%/25%/10%</v>
      </c>
      <c r="C62" s="1282"/>
      <c r="D62" s="1282"/>
      <c r="E62" s="1282"/>
      <c r="F62" s="1283" t="str">
        <f>附表!Z225</f>
        <v>小康</v>
      </c>
      <c r="G62" s="1282"/>
      <c r="H62" s="1282"/>
      <c r="I62" s="1283" t="str">
        <f>附表!AE240</f>
        <v>50</v>
      </c>
      <c r="J62" s="1282"/>
      <c r="K62" s="1284"/>
      <c r="L62" s="1262" t="str">
        <f>附表!AG240</f>
        <v>2.5万</v>
      </c>
      <c r="M62" s="1282"/>
      <c r="N62" s="1282"/>
      <c r="O62" s="1283">
        <f>附表!AF240</f>
        <v>250</v>
      </c>
      <c r="P62" s="1282"/>
      <c r="Q62" s="1282"/>
      <c r="R62" s="1282"/>
      <c r="S62" s="1285" t="s">
        <v>182</v>
      </c>
      <c r="T62" s="1286"/>
      <c r="U62" s="1287"/>
      <c r="W62" s="1610"/>
      <c r="X62" s="1176"/>
      <c r="Y62" s="1176"/>
      <c r="Z62" s="1176"/>
      <c r="AA62" s="1527"/>
      <c r="AB62" s="1527"/>
      <c r="AC62" s="1527"/>
      <c r="AD62" s="1527"/>
      <c r="AE62" s="1527"/>
      <c r="AF62" s="1527"/>
      <c r="AG62" s="1527"/>
      <c r="AH62" s="1527"/>
      <c r="AI62" s="1527"/>
      <c r="AJ62" s="1527"/>
      <c r="AK62" s="1527"/>
      <c r="AL62" s="1527"/>
      <c r="AM62" s="1527"/>
      <c r="AN62" s="1527"/>
      <c r="AO62" s="1527"/>
      <c r="AP62" s="1527"/>
      <c r="AQ62" s="1527"/>
      <c r="AR62" s="1525"/>
      <c r="AS62" s="1524"/>
      <c r="AU62" s="960" t="str">
        <f>IF(附表!AE22="仅显示1890_2012","时代介绍仅显示1890_2012这段时间","时代介绍")</f>
        <v>时代介绍</v>
      </c>
      <c r="AV62" s="961"/>
      <c r="AW62" s="961"/>
      <c r="AX62" s="961"/>
      <c r="AY62" s="961"/>
      <c r="AZ62" s="961"/>
      <c r="BA62" s="961"/>
      <c r="BB62" s="961"/>
      <c r="BC62" s="961"/>
      <c r="BD62" s="961"/>
      <c r="BE62" s="961"/>
      <c r="BF62" s="961"/>
      <c r="BG62" s="961"/>
      <c r="BH62" s="961"/>
      <c r="BI62" s="961"/>
      <c r="BJ62" s="961"/>
      <c r="BK62" s="961"/>
      <c r="BL62" s="961"/>
      <c r="BM62" s="961"/>
      <c r="BN62" s="961"/>
      <c r="BO62" s="961"/>
      <c r="BP62" s="961"/>
      <c r="BQ62" s="961"/>
      <c r="BR62" s="962"/>
    </row>
    <row r="63" spans="2:70" s="340" customFormat="1" ht="18" customHeight="1">
      <c r="B63" s="1507"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C63" s="1508"/>
      <c r="D63" s="1508"/>
      <c r="E63" s="1508"/>
      <c r="F63" s="1508"/>
      <c r="G63" s="1508"/>
      <c r="H63" s="1508"/>
      <c r="I63" s="1508"/>
      <c r="J63" s="1508"/>
      <c r="K63" s="1509"/>
      <c r="L63" s="1513"/>
      <c r="M63" s="1514"/>
      <c r="N63" s="1514"/>
      <c r="O63" s="1514"/>
      <c r="P63" s="1514"/>
      <c r="Q63" s="1514"/>
      <c r="R63" s="1514"/>
      <c r="S63" s="1514"/>
      <c r="T63" s="1514"/>
      <c r="U63" s="1515"/>
      <c r="W63" s="963" t="s">
        <v>183</v>
      </c>
      <c r="X63" s="964"/>
      <c r="Y63" s="964"/>
      <c r="Z63" s="964"/>
      <c r="AA63" s="1312" t="s">
        <v>5955</v>
      </c>
      <c r="AB63" s="1313"/>
      <c r="AC63" s="1313"/>
      <c r="AD63" s="1313"/>
      <c r="AE63" s="1313"/>
      <c r="AF63" s="1313"/>
      <c r="AG63" s="1313"/>
      <c r="AH63" s="1313"/>
      <c r="AI63" s="1313"/>
      <c r="AJ63" s="1313"/>
      <c r="AK63" s="1313"/>
      <c r="AL63" s="1313"/>
      <c r="AM63" s="1313"/>
      <c r="AN63" s="1313"/>
      <c r="AO63" s="1313"/>
      <c r="AP63" s="1313"/>
      <c r="AQ63" s="1313"/>
      <c r="AR63" s="1598" t="s">
        <v>59</v>
      </c>
      <c r="AS63" s="1599"/>
      <c r="AU63" s="1288" t="s">
        <v>184</v>
      </c>
      <c r="AV63" s="1289"/>
      <c r="AW63" s="1289"/>
      <c r="AX63" s="1289"/>
      <c r="AY63" s="1289"/>
      <c r="AZ63" s="1290" t="s">
        <v>185</v>
      </c>
      <c r="BA63" s="1289"/>
      <c r="BB63" s="1289"/>
      <c r="BC63" s="1289"/>
      <c r="BD63" s="1289"/>
      <c r="BE63" s="1289"/>
      <c r="BF63" s="1290" t="s">
        <v>186</v>
      </c>
      <c r="BG63" s="1289"/>
      <c r="BH63" s="1289"/>
      <c r="BI63" s="1289"/>
      <c r="BJ63" s="1289"/>
      <c r="BK63" s="1289"/>
      <c r="BL63" s="1290" t="s">
        <v>184</v>
      </c>
      <c r="BM63" s="1289"/>
      <c r="BN63" s="1289"/>
      <c r="BO63" s="1289"/>
      <c r="BP63" s="1289"/>
      <c r="BQ63" s="1289"/>
      <c r="BR63" s="1291"/>
    </row>
    <row r="64" spans="2:70" s="340" customFormat="1" ht="18" customHeight="1">
      <c r="B64" s="1507"/>
      <c r="C64" s="1508"/>
      <c r="D64" s="1508"/>
      <c r="E64" s="1508"/>
      <c r="F64" s="1508"/>
      <c r="G64" s="1508"/>
      <c r="H64" s="1508"/>
      <c r="I64" s="1508"/>
      <c r="J64" s="1508"/>
      <c r="K64" s="1509"/>
      <c r="L64" s="1516"/>
      <c r="M64" s="1514"/>
      <c r="N64" s="1514"/>
      <c r="O64" s="1514"/>
      <c r="P64" s="1514"/>
      <c r="Q64" s="1514"/>
      <c r="R64" s="1514"/>
      <c r="S64" s="1514"/>
      <c r="T64" s="1514"/>
      <c r="U64" s="1515"/>
      <c r="W64" s="963"/>
      <c r="X64" s="964"/>
      <c r="Y64" s="964"/>
      <c r="Z64" s="964"/>
      <c r="AA64" s="1313"/>
      <c r="AB64" s="1313"/>
      <c r="AC64" s="1313"/>
      <c r="AD64" s="1313"/>
      <c r="AE64" s="1313"/>
      <c r="AF64" s="1313"/>
      <c r="AG64" s="1313"/>
      <c r="AH64" s="1313"/>
      <c r="AI64" s="1313"/>
      <c r="AJ64" s="1313"/>
      <c r="AK64" s="1313"/>
      <c r="AL64" s="1313"/>
      <c r="AM64" s="1313"/>
      <c r="AN64" s="1313"/>
      <c r="AO64" s="1313"/>
      <c r="AP64" s="1313"/>
      <c r="AQ64" s="1313"/>
      <c r="AR64" s="1598"/>
      <c r="AS64" s="1599"/>
      <c r="AU64" s="1308" t="str">
        <f>IF(E8="公元","A.C."&amp;G8,"B.C."&amp;G8)</f>
        <v>B.C.1980</v>
      </c>
      <c r="AV64" s="1309"/>
      <c r="AW64" s="1309"/>
      <c r="AX64" s="1309"/>
      <c r="AY64" s="1309"/>
      <c r="AZ64" s="1292" t="str">
        <f>附表!AF22</f>
        <v>莫斯科奥运会</v>
      </c>
      <c r="BA64" s="1293"/>
      <c r="BB64" s="1293"/>
      <c r="BC64" s="1293"/>
      <c r="BD64" s="1293"/>
      <c r="BE64" s="1293"/>
      <c r="BF64" s="1292" t="str">
        <f>附表!AI22</f>
        <v>——</v>
      </c>
      <c r="BG64" s="1293"/>
      <c r="BH64" s="1293"/>
      <c r="BI64" s="1293"/>
      <c r="BJ64" s="1293"/>
      <c r="BK64" s="1293"/>
      <c r="BL64" s="1292" t="str">
        <f>附表!AL22</f>
        <v>二十世纪 八十年代</v>
      </c>
      <c r="BM64" s="1293"/>
      <c r="BN64" s="1293"/>
      <c r="BO64" s="1293"/>
      <c r="BP64" s="1293"/>
      <c r="BQ64" s="1293"/>
      <c r="BR64" s="1294"/>
    </row>
    <row r="65" spans="1:70" s="340" customFormat="1" ht="18" customHeight="1">
      <c r="B65" s="1507"/>
      <c r="C65" s="1508"/>
      <c r="D65" s="1508"/>
      <c r="E65" s="1508"/>
      <c r="F65" s="1508"/>
      <c r="G65" s="1508"/>
      <c r="H65" s="1508"/>
      <c r="I65" s="1508"/>
      <c r="J65" s="1508"/>
      <c r="K65" s="1509"/>
      <c r="L65" s="1516"/>
      <c r="M65" s="1514"/>
      <c r="N65" s="1514"/>
      <c r="O65" s="1514"/>
      <c r="P65" s="1514"/>
      <c r="Q65" s="1514"/>
      <c r="R65" s="1514"/>
      <c r="S65" s="1514"/>
      <c r="T65" s="1514"/>
      <c r="U65" s="1515"/>
      <c r="W65" s="972" t="s">
        <v>187</v>
      </c>
      <c r="X65" s="968"/>
      <c r="Y65" s="968"/>
      <c r="Z65" s="968"/>
      <c r="AA65" s="1504" t="s">
        <v>5957</v>
      </c>
      <c r="AB65" s="1286"/>
      <c r="AC65" s="1286"/>
      <c r="AD65" s="1286"/>
      <c r="AE65" s="1286"/>
      <c r="AF65" s="1286"/>
      <c r="AG65" s="1286"/>
      <c r="AH65" s="1286"/>
      <c r="AI65" s="1286"/>
      <c r="AJ65" s="1286"/>
      <c r="AK65" s="1286"/>
      <c r="AL65" s="1286"/>
      <c r="AM65" s="1286"/>
      <c r="AN65" s="1286"/>
      <c r="AO65" s="1286"/>
      <c r="AP65" s="1286"/>
      <c r="AQ65" s="1286"/>
      <c r="AR65" s="1520" t="s">
        <v>59</v>
      </c>
      <c r="AS65" s="1521"/>
      <c r="AU65" s="1308"/>
      <c r="AV65" s="1309"/>
      <c r="AW65" s="1309"/>
      <c r="AX65" s="1310"/>
      <c r="AY65" s="1310"/>
      <c r="AZ65" s="1295">
        <f>附表!AG22</f>
        <v>0</v>
      </c>
      <c r="BA65" s="1295"/>
      <c r="BB65" s="1295"/>
      <c r="BC65" s="1295"/>
      <c r="BD65" s="1295"/>
      <c r="BE65" s="1295"/>
      <c r="BF65" s="1295">
        <f>附表!AJ22</f>
        <v>0</v>
      </c>
      <c r="BG65" s="1295"/>
      <c r="BH65" s="1295"/>
      <c r="BI65" s="1295"/>
      <c r="BJ65" s="1295"/>
      <c r="BK65" s="1295"/>
      <c r="BL65" s="1295" t="str">
        <f>附表!AM22</f>
        <v>庚申猴年</v>
      </c>
      <c r="BM65" s="1295"/>
      <c r="BN65" s="1295"/>
      <c r="BO65" s="1295"/>
      <c r="BP65" s="1295"/>
      <c r="BQ65" s="1295"/>
      <c r="BR65" s="1296"/>
    </row>
    <row r="66" spans="1:70" s="340" customFormat="1" ht="18" customHeight="1">
      <c r="B66" s="1507"/>
      <c r="C66" s="1508"/>
      <c r="D66" s="1508"/>
      <c r="E66" s="1508"/>
      <c r="F66" s="1508"/>
      <c r="G66" s="1508"/>
      <c r="H66" s="1508"/>
      <c r="I66" s="1508"/>
      <c r="J66" s="1508"/>
      <c r="K66" s="1509"/>
      <c r="L66" s="1516"/>
      <c r="M66" s="1514"/>
      <c r="N66" s="1514"/>
      <c r="O66" s="1514"/>
      <c r="P66" s="1514"/>
      <c r="Q66" s="1514"/>
      <c r="R66" s="1514"/>
      <c r="S66" s="1514"/>
      <c r="T66" s="1514"/>
      <c r="U66" s="1515"/>
      <c r="W66" s="1307"/>
      <c r="X66" s="968"/>
      <c r="Y66" s="968"/>
      <c r="Z66" s="968"/>
      <c r="AA66" s="1286"/>
      <c r="AB66" s="1286"/>
      <c r="AC66" s="1286"/>
      <c r="AD66" s="1286"/>
      <c r="AE66" s="1286"/>
      <c r="AF66" s="1286"/>
      <c r="AG66" s="1286"/>
      <c r="AH66" s="1286"/>
      <c r="AI66" s="1286"/>
      <c r="AJ66" s="1286"/>
      <c r="AK66" s="1286"/>
      <c r="AL66" s="1286"/>
      <c r="AM66" s="1286"/>
      <c r="AN66" s="1286"/>
      <c r="AO66" s="1286"/>
      <c r="AP66" s="1286"/>
      <c r="AQ66" s="1286"/>
      <c r="AR66" s="1522"/>
      <c r="AS66" s="1521"/>
      <c r="AU66" s="1308"/>
      <c r="AV66" s="1309"/>
      <c r="AW66" s="1309"/>
      <c r="AX66" s="1311"/>
      <c r="AY66" s="1311"/>
      <c r="AZ66" s="1297">
        <f>附表!AH22</f>
        <v>0</v>
      </c>
      <c r="BA66" s="1298"/>
      <c r="BB66" s="1298"/>
      <c r="BC66" s="1298"/>
      <c r="BD66" s="1298"/>
      <c r="BE66" s="1298"/>
      <c r="BF66" s="1297">
        <f>附表!AK22</f>
        <v>0</v>
      </c>
      <c r="BG66" s="1298"/>
      <c r="BH66" s="1298"/>
      <c r="BI66" s="1298"/>
      <c r="BJ66" s="1298"/>
      <c r="BK66" s="1298"/>
      <c r="BL66" s="1297" t="str">
        <f>附表!AN22</f>
        <v>中华人民共和国31周年</v>
      </c>
      <c r="BM66" s="1298"/>
      <c r="BN66" s="1298"/>
      <c r="BO66" s="1298"/>
      <c r="BP66" s="1298"/>
      <c r="BQ66" s="1298"/>
      <c r="BR66" s="1299"/>
    </row>
    <row r="67" spans="1:70" s="340" customFormat="1" ht="18" customHeight="1">
      <c r="B67" s="1510"/>
      <c r="C67" s="1511"/>
      <c r="D67" s="1511"/>
      <c r="E67" s="1511"/>
      <c r="F67" s="1511"/>
      <c r="G67" s="1511"/>
      <c r="H67" s="1511"/>
      <c r="I67" s="1511"/>
      <c r="J67" s="1511"/>
      <c r="K67" s="1512"/>
      <c r="L67" s="1517"/>
      <c r="M67" s="1518"/>
      <c r="N67" s="1518"/>
      <c r="O67" s="1518"/>
      <c r="P67" s="1518"/>
      <c r="Q67" s="1518"/>
      <c r="R67" s="1518"/>
      <c r="S67" s="1518"/>
      <c r="T67" s="1518"/>
      <c r="U67" s="1519"/>
      <c r="W67" s="1528" t="s">
        <v>188</v>
      </c>
      <c r="X67" s="1529"/>
      <c r="Y67" s="1529"/>
      <c r="Z67" s="1529"/>
      <c r="AA67" s="1312" t="s">
        <v>5958</v>
      </c>
      <c r="AB67" s="1313"/>
      <c r="AC67" s="1313"/>
      <c r="AD67" s="1313"/>
      <c r="AE67" s="1313"/>
      <c r="AF67" s="1313"/>
      <c r="AG67" s="1313"/>
      <c r="AH67" s="1313"/>
      <c r="AI67" s="1313"/>
      <c r="AJ67" s="1313"/>
      <c r="AK67" s="1313"/>
      <c r="AL67" s="1313"/>
      <c r="AM67" s="1313"/>
      <c r="AN67" s="1313"/>
      <c r="AO67" s="1313"/>
      <c r="AP67" s="1313"/>
      <c r="AQ67" s="1313"/>
      <c r="AR67" s="1598" t="s">
        <v>59</v>
      </c>
      <c r="AS67" s="1599"/>
      <c r="AU67" s="1300" t="s">
        <v>189</v>
      </c>
      <c r="AV67" s="1301"/>
      <c r="AW67" s="1301"/>
      <c r="AX67" s="1301"/>
      <c r="AY67" s="1301"/>
      <c r="AZ67" s="1301"/>
      <c r="BA67" s="1301"/>
      <c r="BB67" s="1301"/>
      <c r="BC67" s="1301"/>
      <c r="BD67" s="1301"/>
      <c r="BE67" s="1301"/>
      <c r="BF67" s="1301"/>
      <c r="BG67" s="1301"/>
      <c r="BH67" s="1301"/>
      <c r="BI67" s="1301"/>
      <c r="BJ67" s="1301"/>
      <c r="BK67" s="1301"/>
      <c r="BL67" s="1301"/>
      <c r="BM67" s="1301"/>
      <c r="BN67" s="1301"/>
      <c r="BO67" s="1301"/>
      <c r="BP67" s="1301"/>
      <c r="BQ67" s="1301"/>
      <c r="BR67" s="1302"/>
    </row>
    <row r="68" spans="1:70" s="340" customFormat="1" ht="18" customHeight="1">
      <c r="B68" s="946" t="s">
        <v>190</v>
      </c>
      <c r="C68" s="947"/>
      <c r="D68" s="947"/>
      <c r="E68" s="947"/>
      <c r="F68" s="947"/>
      <c r="G68" s="947"/>
      <c r="H68" s="947"/>
      <c r="I68" s="947"/>
      <c r="J68" s="947"/>
      <c r="K68" s="947"/>
      <c r="L68" s="947"/>
      <c r="M68" s="947"/>
      <c r="N68" s="947"/>
      <c r="O68" s="947"/>
      <c r="P68" s="947"/>
      <c r="Q68" s="947"/>
      <c r="R68" s="947"/>
      <c r="S68" s="947"/>
      <c r="T68" s="947"/>
      <c r="U68" s="948"/>
      <c r="W68" s="1528"/>
      <c r="X68" s="1529"/>
      <c r="Y68" s="1529"/>
      <c r="Z68" s="1529"/>
      <c r="AA68" s="1313"/>
      <c r="AB68" s="1313"/>
      <c r="AC68" s="1313"/>
      <c r="AD68" s="1313"/>
      <c r="AE68" s="1313"/>
      <c r="AF68" s="1313"/>
      <c r="AG68" s="1313"/>
      <c r="AH68" s="1313"/>
      <c r="AI68" s="1313"/>
      <c r="AJ68" s="1313"/>
      <c r="AK68" s="1313"/>
      <c r="AL68" s="1313"/>
      <c r="AM68" s="1313"/>
      <c r="AN68" s="1313"/>
      <c r="AO68" s="1313"/>
      <c r="AP68" s="1313"/>
      <c r="AQ68" s="1313"/>
      <c r="AR68" s="1598"/>
      <c r="AS68" s="1599"/>
      <c r="AU68" s="1552" t="str">
        <f>附表!AO22</f>
        <v>美国每盎司黄金达到802 美元
美国通胀率33 年来最高
银行业放松管制
圣海伦火山喷发死亡超过50 人
伊朗人质解救失败
波兰团结公会成立
亚马逊淘金热
杜比C型降噪器
美国公债9080 亿美元
美国人口2.265 亿</v>
      </c>
      <c r="AV68" s="1553"/>
      <c r="AW68" s="1553"/>
      <c r="AX68" s="1553"/>
      <c r="AY68" s="1553"/>
      <c r="AZ68" s="1553"/>
      <c r="BA68" s="1553"/>
      <c r="BB68" s="1553"/>
      <c r="BC68" s="1553"/>
      <c r="BD68" s="1553"/>
      <c r="BE68" s="1553"/>
      <c r="BF68" s="1553"/>
      <c r="BG68" s="1553"/>
      <c r="BH68" s="1553"/>
      <c r="BI68" s="1553"/>
      <c r="BJ68" s="1553"/>
      <c r="BK68" s="1553"/>
      <c r="BL68" s="1553"/>
      <c r="BM68" s="1553"/>
      <c r="BN68" s="1553"/>
      <c r="BO68" s="1553"/>
      <c r="BP68" s="1553"/>
      <c r="BQ68" s="1553"/>
      <c r="BR68" s="1554"/>
    </row>
    <row r="69" spans="1:70" s="340" customFormat="1" ht="18" customHeight="1">
      <c r="B69" s="1303" t="s">
        <v>191</v>
      </c>
      <c r="C69" s="1017"/>
      <c r="D69" s="1017"/>
      <c r="E69" s="1017"/>
      <c r="F69" s="1016" t="s">
        <v>192</v>
      </c>
      <c r="G69" s="1017"/>
      <c r="H69" s="1017"/>
      <c r="I69" s="1017"/>
      <c r="J69" s="1016" t="s">
        <v>193</v>
      </c>
      <c r="K69" s="1017"/>
      <c r="L69" s="1017"/>
      <c r="M69" s="1017"/>
      <c r="N69" s="1016" t="s">
        <v>194</v>
      </c>
      <c r="O69" s="1017"/>
      <c r="P69" s="1017"/>
      <c r="Q69" s="1017"/>
      <c r="R69" s="1016" t="s">
        <v>195</v>
      </c>
      <c r="S69" s="1017"/>
      <c r="T69" s="1017"/>
      <c r="U69" s="1018"/>
      <c r="W69" s="972" t="s">
        <v>196</v>
      </c>
      <c r="X69" s="968"/>
      <c r="Y69" s="968"/>
      <c r="Z69" s="968"/>
      <c r="AA69" s="1504" t="s">
        <v>5959</v>
      </c>
      <c r="AB69" s="1286"/>
      <c r="AC69" s="1286"/>
      <c r="AD69" s="1286"/>
      <c r="AE69" s="1286"/>
      <c r="AF69" s="1286"/>
      <c r="AG69" s="1286"/>
      <c r="AH69" s="1286"/>
      <c r="AI69" s="1286"/>
      <c r="AJ69" s="1286"/>
      <c r="AK69" s="1286"/>
      <c r="AL69" s="1286"/>
      <c r="AM69" s="1286"/>
      <c r="AN69" s="1286"/>
      <c r="AO69" s="1286"/>
      <c r="AP69" s="1286"/>
      <c r="AQ69" s="1286"/>
      <c r="AR69" s="1520" t="s">
        <v>59</v>
      </c>
      <c r="AS69" s="1521"/>
      <c r="AU69" s="1555"/>
      <c r="AV69" s="1553"/>
      <c r="AW69" s="1553"/>
      <c r="AX69" s="1553"/>
      <c r="AY69" s="1553"/>
      <c r="AZ69" s="1553"/>
      <c r="BA69" s="1553"/>
      <c r="BB69" s="1553"/>
      <c r="BC69" s="1553"/>
      <c r="BD69" s="1553"/>
      <c r="BE69" s="1553"/>
      <c r="BF69" s="1553"/>
      <c r="BG69" s="1553"/>
      <c r="BH69" s="1553"/>
      <c r="BI69" s="1553"/>
      <c r="BJ69" s="1553"/>
      <c r="BK69" s="1553"/>
      <c r="BL69" s="1553"/>
      <c r="BM69" s="1553"/>
      <c r="BN69" s="1553"/>
      <c r="BO69" s="1553"/>
      <c r="BP69" s="1553"/>
      <c r="BQ69" s="1553"/>
      <c r="BR69" s="1554"/>
    </row>
    <row r="70" spans="1:70" s="340" customFormat="1" ht="18" customHeight="1">
      <c r="B70" s="1530" t="s">
        <v>5954</v>
      </c>
      <c r="C70" s="1531"/>
      <c r="D70" s="1531"/>
      <c r="E70" s="1532"/>
      <c r="F70" s="1539" t="s">
        <v>5953</v>
      </c>
      <c r="G70" s="1540"/>
      <c r="H70" s="1540"/>
      <c r="I70" s="1540"/>
      <c r="J70" s="1539" t="s">
        <v>5951</v>
      </c>
      <c r="K70" s="1540"/>
      <c r="L70" s="1540"/>
      <c r="M70" s="1540"/>
      <c r="N70" s="1539" t="s">
        <v>5952</v>
      </c>
      <c r="O70" s="1540"/>
      <c r="P70" s="1540"/>
      <c r="Q70" s="1540"/>
      <c r="R70" s="964"/>
      <c r="S70" s="964"/>
      <c r="T70" s="964"/>
      <c r="U70" s="966"/>
      <c r="W70" s="1307"/>
      <c r="X70" s="968"/>
      <c r="Y70" s="968"/>
      <c r="Z70" s="968"/>
      <c r="AA70" s="1286"/>
      <c r="AB70" s="1286"/>
      <c r="AC70" s="1286"/>
      <c r="AD70" s="1286"/>
      <c r="AE70" s="1286"/>
      <c r="AF70" s="1286"/>
      <c r="AG70" s="1286"/>
      <c r="AH70" s="1286"/>
      <c r="AI70" s="1286"/>
      <c r="AJ70" s="1286"/>
      <c r="AK70" s="1286"/>
      <c r="AL70" s="1286"/>
      <c r="AM70" s="1286"/>
      <c r="AN70" s="1286"/>
      <c r="AO70" s="1286"/>
      <c r="AP70" s="1286"/>
      <c r="AQ70" s="1286"/>
      <c r="AR70" s="1522"/>
      <c r="AS70" s="1521"/>
      <c r="AU70" s="1555"/>
      <c r="AV70" s="1553"/>
      <c r="AW70" s="1553"/>
      <c r="AX70" s="1553"/>
      <c r="AY70" s="1553"/>
      <c r="AZ70" s="1553"/>
      <c r="BA70" s="1553"/>
      <c r="BB70" s="1553"/>
      <c r="BC70" s="1553"/>
      <c r="BD70" s="1553"/>
      <c r="BE70" s="1553"/>
      <c r="BF70" s="1553"/>
      <c r="BG70" s="1553"/>
      <c r="BH70" s="1553"/>
      <c r="BI70" s="1553"/>
      <c r="BJ70" s="1553"/>
      <c r="BK70" s="1553"/>
      <c r="BL70" s="1553"/>
      <c r="BM70" s="1553"/>
      <c r="BN70" s="1553"/>
      <c r="BO70" s="1553"/>
      <c r="BP70" s="1553"/>
      <c r="BQ70" s="1553"/>
      <c r="BR70" s="1554"/>
    </row>
    <row r="71" spans="1:70" s="340" customFormat="1" ht="18" customHeight="1">
      <c r="B71" s="1533"/>
      <c r="C71" s="1534"/>
      <c r="D71" s="1534"/>
      <c r="E71" s="1535"/>
      <c r="F71" s="1540"/>
      <c r="G71" s="1540"/>
      <c r="H71" s="1540"/>
      <c r="I71" s="1540"/>
      <c r="J71" s="1540"/>
      <c r="K71" s="1540"/>
      <c r="L71" s="1540"/>
      <c r="M71" s="1540"/>
      <c r="N71" s="1540"/>
      <c r="O71" s="1540"/>
      <c r="P71" s="1540"/>
      <c r="Q71" s="1540"/>
      <c r="R71" s="964"/>
      <c r="S71" s="964"/>
      <c r="T71" s="964"/>
      <c r="U71" s="966"/>
      <c r="W71" s="963" t="s">
        <v>197</v>
      </c>
      <c r="X71" s="964"/>
      <c r="Y71" s="964"/>
      <c r="Z71" s="964"/>
      <c r="AA71" s="1312" t="s">
        <v>5960</v>
      </c>
      <c r="AB71" s="1313"/>
      <c r="AC71" s="1313"/>
      <c r="AD71" s="1313"/>
      <c r="AE71" s="1313"/>
      <c r="AF71" s="1313"/>
      <c r="AG71" s="1313"/>
      <c r="AH71" s="1313"/>
      <c r="AI71" s="1313"/>
      <c r="AJ71" s="1313"/>
      <c r="AK71" s="1313"/>
      <c r="AL71" s="1313"/>
      <c r="AM71" s="1313"/>
      <c r="AN71" s="1313"/>
      <c r="AO71" s="1313"/>
      <c r="AP71" s="1313"/>
      <c r="AQ71" s="1313"/>
      <c r="AR71" s="1598" t="s">
        <v>59</v>
      </c>
      <c r="AS71" s="1599"/>
      <c r="AU71" s="1555"/>
      <c r="AV71" s="1553"/>
      <c r="AW71" s="1553"/>
      <c r="AX71" s="1553"/>
      <c r="AY71" s="1553"/>
      <c r="AZ71" s="1553"/>
      <c r="BA71" s="1553"/>
      <c r="BB71" s="1553"/>
      <c r="BC71" s="1553"/>
      <c r="BD71" s="1553"/>
      <c r="BE71" s="1553"/>
      <c r="BF71" s="1553"/>
      <c r="BG71" s="1553"/>
      <c r="BH71" s="1553"/>
      <c r="BI71" s="1553"/>
      <c r="BJ71" s="1553"/>
      <c r="BK71" s="1553"/>
      <c r="BL71" s="1553"/>
      <c r="BM71" s="1553"/>
      <c r="BN71" s="1553"/>
      <c r="BO71" s="1553"/>
      <c r="BP71" s="1553"/>
      <c r="BQ71" s="1553"/>
      <c r="BR71" s="1554"/>
    </row>
    <row r="72" spans="1:70" s="340" customFormat="1" ht="18" customHeight="1">
      <c r="B72" s="1533"/>
      <c r="C72" s="1534"/>
      <c r="D72" s="1534"/>
      <c r="E72" s="1535"/>
      <c r="F72" s="1540"/>
      <c r="G72" s="1540"/>
      <c r="H72" s="1540"/>
      <c r="I72" s="1540"/>
      <c r="J72" s="1540"/>
      <c r="K72" s="1540"/>
      <c r="L72" s="1540"/>
      <c r="M72" s="1540"/>
      <c r="N72" s="1540"/>
      <c r="O72" s="1540"/>
      <c r="P72" s="1540"/>
      <c r="Q72" s="1540"/>
      <c r="R72" s="964"/>
      <c r="S72" s="964"/>
      <c r="T72" s="964"/>
      <c r="U72" s="966"/>
      <c r="W72" s="963"/>
      <c r="X72" s="964"/>
      <c r="Y72" s="964"/>
      <c r="Z72" s="964"/>
      <c r="AA72" s="1313"/>
      <c r="AB72" s="1313"/>
      <c r="AC72" s="1313"/>
      <c r="AD72" s="1313"/>
      <c r="AE72" s="1313"/>
      <c r="AF72" s="1313"/>
      <c r="AG72" s="1313"/>
      <c r="AH72" s="1313"/>
      <c r="AI72" s="1313"/>
      <c r="AJ72" s="1313"/>
      <c r="AK72" s="1313"/>
      <c r="AL72" s="1313"/>
      <c r="AM72" s="1313"/>
      <c r="AN72" s="1313"/>
      <c r="AO72" s="1313"/>
      <c r="AP72" s="1313"/>
      <c r="AQ72" s="1313"/>
      <c r="AR72" s="1598"/>
      <c r="AS72" s="1599"/>
      <c r="AU72" s="1555"/>
      <c r="AV72" s="1553"/>
      <c r="AW72" s="1553"/>
      <c r="AX72" s="1553"/>
      <c r="AY72" s="1553"/>
      <c r="AZ72" s="1553"/>
      <c r="BA72" s="1553"/>
      <c r="BB72" s="1553"/>
      <c r="BC72" s="1553"/>
      <c r="BD72" s="1553"/>
      <c r="BE72" s="1553"/>
      <c r="BF72" s="1553"/>
      <c r="BG72" s="1553"/>
      <c r="BH72" s="1553"/>
      <c r="BI72" s="1553"/>
      <c r="BJ72" s="1553"/>
      <c r="BK72" s="1553"/>
      <c r="BL72" s="1553"/>
      <c r="BM72" s="1553"/>
      <c r="BN72" s="1553"/>
      <c r="BO72" s="1553"/>
      <c r="BP72" s="1553"/>
      <c r="BQ72" s="1553"/>
      <c r="BR72" s="1554"/>
    </row>
    <row r="73" spans="1:70" s="340" customFormat="1" ht="18" customHeight="1">
      <c r="B73" s="1533"/>
      <c r="C73" s="1534"/>
      <c r="D73" s="1534"/>
      <c r="E73" s="1535"/>
      <c r="F73" s="1540"/>
      <c r="G73" s="1540"/>
      <c r="H73" s="1540"/>
      <c r="I73" s="1540"/>
      <c r="J73" s="1540"/>
      <c r="K73" s="1540"/>
      <c r="L73" s="1540"/>
      <c r="M73" s="1540"/>
      <c r="N73" s="1540"/>
      <c r="O73" s="1540"/>
      <c r="P73" s="1540"/>
      <c r="Q73" s="1540"/>
      <c r="R73" s="964"/>
      <c r="S73" s="964"/>
      <c r="T73" s="964"/>
      <c r="U73" s="966"/>
      <c r="W73" s="972" t="s">
        <v>198</v>
      </c>
      <c r="X73" s="968"/>
      <c r="Y73" s="968"/>
      <c r="Z73" s="968"/>
      <c r="AA73" s="1504" t="s">
        <v>5961</v>
      </c>
      <c r="AB73" s="1286"/>
      <c r="AC73" s="1286"/>
      <c r="AD73" s="1286"/>
      <c r="AE73" s="1286"/>
      <c r="AF73" s="1286"/>
      <c r="AG73" s="1286"/>
      <c r="AH73" s="1286"/>
      <c r="AI73" s="1286"/>
      <c r="AJ73" s="1286"/>
      <c r="AK73" s="1286"/>
      <c r="AL73" s="1286"/>
      <c r="AM73" s="1286"/>
      <c r="AN73" s="1286"/>
      <c r="AO73" s="1286"/>
      <c r="AP73" s="1286"/>
      <c r="AQ73" s="1286"/>
      <c r="AR73" s="1520" t="s">
        <v>59</v>
      </c>
      <c r="AS73" s="1521"/>
      <c r="AU73" s="1555"/>
      <c r="AV73" s="1553"/>
      <c r="AW73" s="1553"/>
      <c r="AX73" s="1553"/>
      <c r="AY73" s="1553"/>
      <c r="AZ73" s="1553"/>
      <c r="BA73" s="1553"/>
      <c r="BB73" s="1553"/>
      <c r="BC73" s="1553"/>
      <c r="BD73" s="1553"/>
      <c r="BE73" s="1553"/>
      <c r="BF73" s="1553"/>
      <c r="BG73" s="1553"/>
      <c r="BH73" s="1553"/>
      <c r="BI73" s="1553"/>
      <c r="BJ73" s="1553"/>
      <c r="BK73" s="1553"/>
      <c r="BL73" s="1553"/>
      <c r="BM73" s="1553"/>
      <c r="BN73" s="1553"/>
      <c r="BO73" s="1553"/>
      <c r="BP73" s="1553"/>
      <c r="BQ73" s="1553"/>
      <c r="BR73" s="1554"/>
    </row>
    <row r="74" spans="1:70" s="340" customFormat="1" ht="18" customHeight="1">
      <c r="B74" s="1536"/>
      <c r="C74" s="1537"/>
      <c r="D74" s="1537"/>
      <c r="E74" s="1538"/>
      <c r="F74" s="1540"/>
      <c r="G74" s="1540"/>
      <c r="H74" s="1540"/>
      <c r="I74" s="1540"/>
      <c r="J74" s="1540"/>
      <c r="K74" s="1540"/>
      <c r="L74" s="1540"/>
      <c r="M74" s="1540"/>
      <c r="N74" s="1540"/>
      <c r="O74" s="1540"/>
      <c r="P74" s="1540"/>
      <c r="Q74" s="1540"/>
      <c r="R74" s="964"/>
      <c r="S74" s="964"/>
      <c r="T74" s="964"/>
      <c r="U74" s="966"/>
      <c r="W74" s="1307"/>
      <c r="X74" s="968"/>
      <c r="Y74" s="968"/>
      <c r="Z74" s="968"/>
      <c r="AA74" s="1286"/>
      <c r="AB74" s="1286"/>
      <c r="AC74" s="1286"/>
      <c r="AD74" s="1286"/>
      <c r="AE74" s="1286"/>
      <c r="AF74" s="1286"/>
      <c r="AG74" s="1286"/>
      <c r="AH74" s="1286"/>
      <c r="AI74" s="1286"/>
      <c r="AJ74" s="1286"/>
      <c r="AK74" s="1286"/>
      <c r="AL74" s="1286"/>
      <c r="AM74" s="1286"/>
      <c r="AN74" s="1286"/>
      <c r="AO74" s="1286"/>
      <c r="AP74" s="1286"/>
      <c r="AQ74" s="1286"/>
      <c r="AR74" s="1522"/>
      <c r="AS74" s="1521"/>
      <c r="AU74" s="1555"/>
      <c r="AV74" s="1553"/>
      <c r="AW74" s="1553"/>
      <c r="AX74" s="1553"/>
      <c r="AY74" s="1553"/>
      <c r="AZ74" s="1553"/>
      <c r="BA74" s="1553"/>
      <c r="BB74" s="1553"/>
      <c r="BC74" s="1553"/>
      <c r="BD74" s="1553"/>
      <c r="BE74" s="1553"/>
      <c r="BF74" s="1553"/>
      <c r="BG74" s="1553"/>
      <c r="BH74" s="1553"/>
      <c r="BI74" s="1553"/>
      <c r="BJ74" s="1553"/>
      <c r="BK74" s="1553"/>
      <c r="BL74" s="1553"/>
      <c r="BM74" s="1553"/>
      <c r="BN74" s="1553"/>
      <c r="BO74" s="1553"/>
      <c r="BP74" s="1553"/>
      <c r="BQ74" s="1553"/>
      <c r="BR74" s="1554"/>
    </row>
    <row r="75" spans="1:70" s="340" customFormat="1" ht="18" customHeight="1">
      <c r="B75" s="1304">
        <v>2000</v>
      </c>
      <c r="C75" s="1305"/>
      <c r="D75" s="1305"/>
      <c r="E75" s="1305"/>
      <c r="F75" s="1305">
        <v>8000</v>
      </c>
      <c r="G75" s="1305"/>
      <c r="H75" s="1305"/>
      <c r="I75" s="1305"/>
      <c r="J75" s="1305">
        <v>5000</v>
      </c>
      <c r="K75" s="1305"/>
      <c r="L75" s="1305"/>
      <c r="M75" s="1305"/>
      <c r="N75" s="1305">
        <v>10000</v>
      </c>
      <c r="O75" s="1305"/>
      <c r="P75" s="1305"/>
      <c r="Q75" s="1306"/>
      <c r="R75" s="1305">
        <v>0</v>
      </c>
      <c r="S75" s="1305"/>
      <c r="T75" s="1305"/>
      <c r="U75" s="1306"/>
      <c r="W75" s="963" t="s">
        <v>199</v>
      </c>
      <c r="X75" s="964"/>
      <c r="Y75" s="964"/>
      <c r="Z75" s="964"/>
      <c r="AA75" s="1312" t="s">
        <v>5962</v>
      </c>
      <c r="AB75" s="1313"/>
      <c r="AC75" s="1313"/>
      <c r="AD75" s="1313"/>
      <c r="AE75" s="1313"/>
      <c r="AF75" s="1313"/>
      <c r="AG75" s="1313"/>
      <c r="AH75" s="1313"/>
      <c r="AI75" s="1313"/>
      <c r="AJ75" s="1313"/>
      <c r="AK75" s="1313"/>
      <c r="AL75" s="1313"/>
      <c r="AM75" s="1313"/>
      <c r="AN75" s="1313"/>
      <c r="AO75" s="1313"/>
      <c r="AP75" s="1313"/>
      <c r="AQ75" s="1313"/>
      <c r="AR75" s="1598" t="s">
        <v>59</v>
      </c>
      <c r="AS75" s="1599"/>
      <c r="AU75" s="1555"/>
      <c r="AV75" s="1553"/>
      <c r="AW75" s="1553"/>
      <c r="AX75" s="1553"/>
      <c r="AY75" s="1553"/>
      <c r="AZ75" s="1553"/>
      <c r="BA75" s="1553"/>
      <c r="BB75" s="1553"/>
      <c r="BC75" s="1553"/>
      <c r="BD75" s="1553"/>
      <c r="BE75" s="1553"/>
      <c r="BF75" s="1553"/>
      <c r="BG75" s="1553"/>
      <c r="BH75" s="1553"/>
      <c r="BI75" s="1553"/>
      <c r="BJ75" s="1553"/>
      <c r="BK75" s="1553"/>
      <c r="BL75" s="1553"/>
      <c r="BM75" s="1553"/>
      <c r="BN75" s="1553"/>
      <c r="BO75" s="1553"/>
      <c r="BP75" s="1553"/>
      <c r="BQ75" s="1553"/>
      <c r="BR75" s="1554"/>
    </row>
    <row r="76" spans="1:70" s="340" customFormat="1" ht="18" customHeight="1">
      <c r="B76" s="1314" t="str">
        <f>"资产总和："&amp;SUM(B75:U75)</f>
        <v>资产总和：25000</v>
      </c>
      <c r="C76" s="1314"/>
      <c r="D76" s="1314"/>
      <c r="E76" s="1314"/>
      <c r="F76" s="1314"/>
      <c r="G76" s="1314"/>
      <c r="H76" s="1314"/>
      <c r="I76" s="1314"/>
      <c r="J76" s="1315"/>
      <c r="K76" s="1315"/>
      <c r="L76" s="1315"/>
      <c r="M76" s="1315"/>
      <c r="N76" s="1314" t="str">
        <f>"剩余资产值："&amp;IF(附表!AG230="没有",0-SUM(B75:U75),附表!AG230-SUM(B75:U75))</f>
        <v>剩余资产值：0</v>
      </c>
      <c r="O76" s="1314"/>
      <c r="P76" s="1314"/>
      <c r="Q76" s="1314"/>
      <c r="R76" s="1314"/>
      <c r="S76" s="1314"/>
      <c r="T76" s="1314"/>
      <c r="U76" s="1314"/>
      <c r="W76" s="1604"/>
      <c r="X76" s="977"/>
      <c r="Y76" s="977"/>
      <c r="Z76" s="977"/>
      <c r="AA76" s="1605"/>
      <c r="AB76" s="1605"/>
      <c r="AC76" s="1605"/>
      <c r="AD76" s="1605"/>
      <c r="AE76" s="1605"/>
      <c r="AF76" s="1605"/>
      <c r="AG76" s="1605"/>
      <c r="AH76" s="1605"/>
      <c r="AI76" s="1605"/>
      <c r="AJ76" s="1605"/>
      <c r="AK76" s="1605"/>
      <c r="AL76" s="1605"/>
      <c r="AM76" s="1605"/>
      <c r="AN76" s="1605"/>
      <c r="AO76" s="1605"/>
      <c r="AP76" s="1605"/>
      <c r="AQ76" s="1605"/>
      <c r="AR76" s="1600"/>
      <c r="AS76" s="1601"/>
      <c r="AU76" s="1555"/>
      <c r="AV76" s="1553"/>
      <c r="AW76" s="1553"/>
      <c r="AX76" s="1553"/>
      <c r="AY76" s="1553"/>
      <c r="AZ76" s="1553"/>
      <c r="BA76" s="1553"/>
      <c r="BB76" s="1553"/>
      <c r="BC76" s="1553"/>
      <c r="BD76" s="1553"/>
      <c r="BE76" s="1553"/>
      <c r="BF76" s="1553"/>
      <c r="BG76" s="1553"/>
      <c r="BH76" s="1553"/>
      <c r="BI76" s="1553"/>
      <c r="BJ76" s="1553"/>
      <c r="BK76" s="1553"/>
      <c r="BL76" s="1553"/>
      <c r="BM76" s="1553"/>
      <c r="BN76" s="1553"/>
      <c r="BO76" s="1553"/>
      <c r="BP76" s="1553"/>
      <c r="BQ76" s="1553"/>
      <c r="BR76" s="1554"/>
    </row>
    <row r="77" spans="1:70" s="340" customFormat="1" ht="18" customHeight="1">
      <c r="B77" s="946" t="s">
        <v>201</v>
      </c>
      <c r="C77" s="947"/>
      <c r="D77" s="947"/>
      <c r="E77" s="947"/>
      <c r="F77" s="947"/>
      <c r="G77" s="947"/>
      <c r="H77" s="947"/>
      <c r="I77" s="947"/>
      <c r="J77" s="947"/>
      <c r="K77" s="947"/>
      <c r="L77" s="947"/>
      <c r="M77" s="947"/>
      <c r="N77" s="947"/>
      <c r="O77" s="947"/>
      <c r="P77" s="947"/>
      <c r="Q77" s="947"/>
      <c r="R77" s="947"/>
      <c r="S77" s="947"/>
      <c r="T77" s="947"/>
      <c r="U77" s="948"/>
      <c r="W77" s="1602" t="s">
        <v>5963</v>
      </c>
      <c r="X77" s="1603"/>
      <c r="Y77" s="1603"/>
      <c r="Z77" s="1603"/>
      <c r="AA77" s="1603"/>
      <c r="AB77" s="1603"/>
      <c r="AC77" s="1603"/>
      <c r="AD77" s="1603"/>
      <c r="AE77" s="1603"/>
      <c r="AF77" s="1603"/>
      <c r="AG77" s="1603"/>
      <c r="AH77" s="1603"/>
      <c r="AI77" s="1603"/>
      <c r="AJ77" s="1603"/>
      <c r="AK77" s="1603"/>
      <c r="AL77" s="1603"/>
      <c r="AM77" s="1603"/>
      <c r="AN77" s="1603"/>
      <c r="AO77" s="1603"/>
      <c r="AP77" s="1603"/>
      <c r="AQ77" s="1603"/>
      <c r="AR77" s="1603"/>
      <c r="AS77" s="1603"/>
      <c r="AT77" s="481"/>
      <c r="AU77" s="1555"/>
      <c r="AV77" s="1553"/>
      <c r="AW77" s="1553"/>
      <c r="AX77" s="1553"/>
      <c r="AY77" s="1553"/>
      <c r="AZ77" s="1553"/>
      <c r="BA77" s="1553"/>
      <c r="BB77" s="1553"/>
      <c r="BC77" s="1553"/>
      <c r="BD77" s="1553"/>
      <c r="BE77" s="1553"/>
      <c r="BF77" s="1553"/>
      <c r="BG77" s="1553"/>
      <c r="BH77" s="1553"/>
      <c r="BI77" s="1553"/>
      <c r="BJ77" s="1553"/>
      <c r="BK77" s="1553"/>
      <c r="BL77" s="1553"/>
      <c r="BM77" s="1553"/>
      <c r="BN77" s="1553"/>
      <c r="BO77" s="1553"/>
      <c r="BP77" s="1553"/>
      <c r="BQ77" s="1553"/>
      <c r="BR77" s="1554"/>
    </row>
    <row r="78" spans="1:70" s="340" customFormat="1" ht="18" customHeight="1">
      <c r="A78" s="351"/>
      <c r="B78" s="1316" t="s">
        <v>202</v>
      </c>
      <c r="C78" s="1317"/>
      <c r="D78" s="1318" t="s">
        <v>203</v>
      </c>
      <c r="E78" s="1317"/>
      <c r="F78" s="1318" t="s">
        <v>204</v>
      </c>
      <c r="G78" s="1317"/>
      <c r="H78" s="1317"/>
      <c r="I78" s="1317"/>
      <c r="J78" s="1317"/>
      <c r="K78" s="1317"/>
      <c r="L78" s="1317"/>
      <c r="M78" s="1317"/>
      <c r="N78" s="1319" t="s">
        <v>205</v>
      </c>
      <c r="O78" s="1317"/>
      <c r="P78" s="1317"/>
      <c r="Q78" s="1317"/>
      <c r="R78" s="1317"/>
      <c r="S78" s="1317"/>
      <c r="T78" s="1317"/>
      <c r="U78" s="1320"/>
      <c r="W78" s="1603"/>
      <c r="X78" s="1603"/>
      <c r="Y78" s="1603"/>
      <c r="Z78" s="1603"/>
      <c r="AA78" s="1603"/>
      <c r="AB78" s="1603"/>
      <c r="AC78" s="1603"/>
      <c r="AD78" s="1603"/>
      <c r="AE78" s="1603"/>
      <c r="AF78" s="1603"/>
      <c r="AG78" s="1603"/>
      <c r="AH78" s="1603"/>
      <c r="AI78" s="1603"/>
      <c r="AJ78" s="1603"/>
      <c r="AK78" s="1603"/>
      <c r="AL78" s="1603"/>
      <c r="AM78" s="1603"/>
      <c r="AN78" s="1603"/>
      <c r="AO78" s="1603"/>
      <c r="AP78" s="1603"/>
      <c r="AQ78" s="1603"/>
      <c r="AR78" s="1603"/>
      <c r="AS78" s="1603"/>
      <c r="AT78" s="481"/>
      <c r="AU78" s="1555"/>
      <c r="AV78" s="1553"/>
      <c r="AW78" s="1553"/>
      <c r="AX78" s="1553"/>
      <c r="AY78" s="1553"/>
      <c r="AZ78" s="1553"/>
      <c r="BA78" s="1553"/>
      <c r="BB78" s="1553"/>
      <c r="BC78" s="1553"/>
      <c r="BD78" s="1553"/>
      <c r="BE78" s="1553"/>
      <c r="BF78" s="1553"/>
      <c r="BG78" s="1553"/>
      <c r="BH78" s="1553"/>
      <c r="BI78" s="1553"/>
      <c r="BJ78" s="1553"/>
      <c r="BK78" s="1553"/>
      <c r="BL78" s="1553"/>
      <c r="BM78" s="1553"/>
      <c r="BN78" s="1553"/>
      <c r="BO78" s="1553"/>
      <c r="BP78" s="1553"/>
      <c r="BQ78" s="1553"/>
      <c r="BR78" s="1554"/>
    </row>
    <row r="79" spans="1:70" s="340" customFormat="1" ht="18" customHeight="1">
      <c r="A79" s="351"/>
      <c r="B79" s="1321" t="s">
        <v>206</v>
      </c>
      <c r="C79" s="1322"/>
      <c r="D79" s="1323" t="s">
        <v>207</v>
      </c>
      <c r="E79" s="1324"/>
      <c r="F79" s="1325" t="s">
        <v>5964</v>
      </c>
      <c r="G79" s="1326"/>
      <c r="H79" s="1326"/>
      <c r="I79" s="1326"/>
      <c r="J79" s="1326"/>
      <c r="K79" s="1326"/>
      <c r="L79" s="1326"/>
      <c r="M79" s="1327"/>
      <c r="N79" s="1326"/>
      <c r="O79" s="1326"/>
      <c r="P79" s="1326"/>
      <c r="Q79" s="1326"/>
      <c r="R79" s="1326"/>
      <c r="S79" s="1326"/>
      <c r="T79" s="1326"/>
      <c r="U79" s="1328"/>
      <c r="W79" s="1603"/>
      <c r="X79" s="1603"/>
      <c r="Y79" s="1603"/>
      <c r="Z79" s="1603"/>
      <c r="AA79" s="1603"/>
      <c r="AB79" s="1603"/>
      <c r="AC79" s="1603"/>
      <c r="AD79" s="1603"/>
      <c r="AE79" s="1603"/>
      <c r="AF79" s="1603"/>
      <c r="AG79" s="1603"/>
      <c r="AH79" s="1603"/>
      <c r="AI79" s="1603"/>
      <c r="AJ79" s="1603"/>
      <c r="AK79" s="1603"/>
      <c r="AL79" s="1603"/>
      <c r="AM79" s="1603"/>
      <c r="AN79" s="1603"/>
      <c r="AO79" s="1603"/>
      <c r="AP79" s="1603"/>
      <c r="AQ79" s="1603"/>
      <c r="AR79" s="1603"/>
      <c r="AS79" s="1603"/>
      <c r="AT79" s="481"/>
      <c r="AU79" s="1555"/>
      <c r="AV79" s="1553"/>
      <c r="AW79" s="1553"/>
      <c r="AX79" s="1553"/>
      <c r="AY79" s="1553"/>
      <c r="AZ79" s="1553"/>
      <c r="BA79" s="1553"/>
      <c r="BB79" s="1553"/>
      <c r="BC79" s="1553"/>
      <c r="BD79" s="1553"/>
      <c r="BE79" s="1553"/>
      <c r="BF79" s="1553"/>
      <c r="BG79" s="1553"/>
      <c r="BH79" s="1553"/>
      <c r="BI79" s="1553"/>
      <c r="BJ79" s="1553"/>
      <c r="BK79" s="1553"/>
      <c r="BL79" s="1553"/>
      <c r="BM79" s="1553"/>
      <c r="BN79" s="1553"/>
      <c r="BO79" s="1553"/>
      <c r="BP79" s="1553"/>
      <c r="BQ79" s="1553"/>
      <c r="BR79" s="1554"/>
    </row>
    <row r="80" spans="1:70" s="340" customFormat="1" ht="18" customHeight="1">
      <c r="A80" s="351"/>
      <c r="B80" s="1329"/>
      <c r="C80" s="1330"/>
      <c r="D80" s="1331" t="s">
        <v>1494</v>
      </c>
      <c r="E80" s="1332"/>
      <c r="F80" s="1333" t="s">
        <v>5965</v>
      </c>
      <c r="G80" s="1334"/>
      <c r="H80" s="1334"/>
      <c r="I80" s="1334"/>
      <c r="J80" s="1334"/>
      <c r="K80" s="1334"/>
      <c r="L80" s="1334"/>
      <c r="M80" s="1335"/>
      <c r="N80" s="1336"/>
      <c r="O80" s="1334"/>
      <c r="P80" s="1334"/>
      <c r="Q80" s="1334"/>
      <c r="R80" s="1334"/>
      <c r="S80" s="1334"/>
      <c r="T80" s="1334"/>
      <c r="U80" s="1337"/>
      <c r="W80" s="1603"/>
      <c r="X80" s="1603"/>
      <c r="Y80" s="1603"/>
      <c r="Z80" s="1603"/>
      <c r="AA80" s="1603"/>
      <c r="AB80" s="1603"/>
      <c r="AC80" s="1603"/>
      <c r="AD80" s="1603"/>
      <c r="AE80" s="1603"/>
      <c r="AF80" s="1603"/>
      <c r="AG80" s="1603"/>
      <c r="AH80" s="1603"/>
      <c r="AI80" s="1603"/>
      <c r="AJ80" s="1603"/>
      <c r="AK80" s="1603"/>
      <c r="AL80" s="1603"/>
      <c r="AM80" s="1603"/>
      <c r="AN80" s="1603"/>
      <c r="AO80" s="1603"/>
      <c r="AP80" s="1603"/>
      <c r="AQ80" s="1603"/>
      <c r="AR80" s="1603"/>
      <c r="AS80" s="1603"/>
      <c r="AT80" s="481"/>
      <c r="AU80" s="1555"/>
      <c r="AV80" s="1553"/>
      <c r="AW80" s="1553"/>
      <c r="AX80" s="1553"/>
      <c r="AY80" s="1553"/>
      <c r="AZ80" s="1553"/>
      <c r="BA80" s="1553"/>
      <c r="BB80" s="1553"/>
      <c r="BC80" s="1553"/>
      <c r="BD80" s="1553"/>
      <c r="BE80" s="1553"/>
      <c r="BF80" s="1553"/>
      <c r="BG80" s="1553"/>
      <c r="BH80" s="1553"/>
      <c r="BI80" s="1553"/>
      <c r="BJ80" s="1553"/>
      <c r="BK80" s="1553"/>
      <c r="BL80" s="1553"/>
      <c r="BM80" s="1553"/>
      <c r="BN80" s="1553"/>
      <c r="BO80" s="1553"/>
      <c r="BP80" s="1553"/>
      <c r="BQ80" s="1553"/>
      <c r="BR80" s="1554"/>
    </row>
    <row r="81" spans="1:70" s="340" customFormat="1" ht="18" customHeight="1">
      <c r="A81" s="351"/>
      <c r="B81" s="1321" t="s">
        <v>209</v>
      </c>
      <c r="C81" s="1322"/>
      <c r="D81" s="1323" t="s">
        <v>210</v>
      </c>
      <c r="E81" s="1324"/>
      <c r="F81" s="1325" t="s">
        <v>5969</v>
      </c>
      <c r="G81" s="1326"/>
      <c r="H81" s="1326"/>
      <c r="I81" s="1326"/>
      <c r="J81" s="1326"/>
      <c r="K81" s="1326"/>
      <c r="L81" s="1326"/>
      <c r="M81" s="1327"/>
      <c r="N81" s="1326"/>
      <c r="O81" s="1326"/>
      <c r="P81" s="1326"/>
      <c r="Q81" s="1326"/>
      <c r="R81" s="1326"/>
      <c r="S81" s="1326"/>
      <c r="T81" s="1326"/>
      <c r="U81" s="1328"/>
      <c r="W81" s="1603"/>
      <c r="X81" s="1603"/>
      <c r="Y81" s="1603"/>
      <c r="Z81" s="1603"/>
      <c r="AA81" s="1603"/>
      <c r="AB81" s="1603"/>
      <c r="AC81" s="1603"/>
      <c r="AD81" s="1603"/>
      <c r="AE81" s="1603"/>
      <c r="AF81" s="1603"/>
      <c r="AG81" s="1603"/>
      <c r="AH81" s="1603"/>
      <c r="AI81" s="1603"/>
      <c r="AJ81" s="1603"/>
      <c r="AK81" s="1603"/>
      <c r="AL81" s="1603"/>
      <c r="AM81" s="1603"/>
      <c r="AN81" s="1603"/>
      <c r="AO81" s="1603"/>
      <c r="AP81" s="1603"/>
      <c r="AQ81" s="1603"/>
      <c r="AR81" s="1603"/>
      <c r="AS81" s="1603"/>
      <c r="AT81" s="481"/>
      <c r="AU81" s="1555"/>
      <c r="AV81" s="1553"/>
      <c r="AW81" s="1553"/>
      <c r="AX81" s="1553"/>
      <c r="AY81" s="1553"/>
      <c r="AZ81" s="1553"/>
      <c r="BA81" s="1553"/>
      <c r="BB81" s="1553"/>
      <c r="BC81" s="1553"/>
      <c r="BD81" s="1553"/>
      <c r="BE81" s="1553"/>
      <c r="BF81" s="1553"/>
      <c r="BG81" s="1553"/>
      <c r="BH81" s="1553"/>
      <c r="BI81" s="1553"/>
      <c r="BJ81" s="1553"/>
      <c r="BK81" s="1553"/>
      <c r="BL81" s="1553"/>
      <c r="BM81" s="1553"/>
      <c r="BN81" s="1553"/>
      <c r="BO81" s="1553"/>
      <c r="BP81" s="1553"/>
      <c r="BQ81" s="1553"/>
      <c r="BR81" s="1554"/>
    </row>
    <row r="82" spans="1:70" s="340" customFormat="1" ht="18" customHeight="1">
      <c r="A82" s="351"/>
      <c r="B82" s="1329"/>
      <c r="C82" s="1330"/>
      <c r="D82" s="1331" t="s">
        <v>210</v>
      </c>
      <c r="E82" s="1332"/>
      <c r="F82" s="1333" t="s">
        <v>5970</v>
      </c>
      <c r="G82" s="1334"/>
      <c r="H82" s="1334"/>
      <c r="I82" s="1334"/>
      <c r="J82" s="1334"/>
      <c r="K82" s="1334"/>
      <c r="L82" s="1334"/>
      <c r="M82" s="1335"/>
      <c r="N82" s="1336"/>
      <c r="O82" s="1334"/>
      <c r="P82" s="1334"/>
      <c r="Q82" s="1334"/>
      <c r="R82" s="1334"/>
      <c r="S82" s="1334"/>
      <c r="T82" s="1334"/>
      <c r="U82" s="1337"/>
      <c r="W82" s="1603"/>
      <c r="X82" s="1603"/>
      <c r="Y82" s="1603"/>
      <c r="Z82" s="1603"/>
      <c r="AA82" s="1603"/>
      <c r="AB82" s="1603"/>
      <c r="AC82" s="1603"/>
      <c r="AD82" s="1603"/>
      <c r="AE82" s="1603"/>
      <c r="AF82" s="1603"/>
      <c r="AG82" s="1603"/>
      <c r="AH82" s="1603"/>
      <c r="AI82" s="1603"/>
      <c r="AJ82" s="1603"/>
      <c r="AK82" s="1603"/>
      <c r="AL82" s="1603"/>
      <c r="AM82" s="1603"/>
      <c r="AN82" s="1603"/>
      <c r="AO82" s="1603"/>
      <c r="AP82" s="1603"/>
      <c r="AQ82" s="1603"/>
      <c r="AR82" s="1603"/>
      <c r="AS82" s="1603"/>
      <c r="AT82" s="481"/>
      <c r="AU82" s="1555"/>
      <c r="AV82" s="1553"/>
      <c r="AW82" s="1553"/>
      <c r="AX82" s="1553"/>
      <c r="AY82" s="1553"/>
      <c r="AZ82" s="1553"/>
      <c r="BA82" s="1553"/>
      <c r="BB82" s="1553"/>
      <c r="BC82" s="1553"/>
      <c r="BD82" s="1553"/>
      <c r="BE82" s="1553"/>
      <c r="BF82" s="1553"/>
      <c r="BG82" s="1553"/>
      <c r="BH82" s="1553"/>
      <c r="BI82" s="1553"/>
      <c r="BJ82" s="1553"/>
      <c r="BK82" s="1553"/>
      <c r="BL82" s="1553"/>
      <c r="BM82" s="1553"/>
      <c r="BN82" s="1553"/>
      <c r="BO82" s="1553"/>
      <c r="BP82" s="1553"/>
      <c r="BQ82" s="1553"/>
      <c r="BR82" s="1554"/>
    </row>
    <row r="83" spans="1:70" s="340" customFormat="1" ht="18" customHeight="1">
      <c r="A83" s="351"/>
      <c r="B83" s="1321"/>
      <c r="C83" s="1322"/>
      <c r="D83" s="1323" t="s">
        <v>211</v>
      </c>
      <c r="E83" s="1324"/>
      <c r="F83" s="1325" t="s">
        <v>5966</v>
      </c>
      <c r="G83" s="1326"/>
      <c r="H83" s="1326"/>
      <c r="I83" s="1326"/>
      <c r="J83" s="1326"/>
      <c r="K83" s="1326"/>
      <c r="L83" s="1326"/>
      <c r="M83" s="1327"/>
      <c r="N83" s="1326"/>
      <c r="O83" s="1326"/>
      <c r="P83" s="1326"/>
      <c r="Q83" s="1326"/>
      <c r="R83" s="1326"/>
      <c r="S83" s="1326"/>
      <c r="T83" s="1326"/>
      <c r="U83" s="1328"/>
      <c r="W83" s="1603"/>
      <c r="X83" s="1603"/>
      <c r="Y83" s="1603"/>
      <c r="Z83" s="1603"/>
      <c r="AA83" s="1603"/>
      <c r="AB83" s="1603"/>
      <c r="AC83" s="1603"/>
      <c r="AD83" s="1603"/>
      <c r="AE83" s="1603"/>
      <c r="AF83" s="1603"/>
      <c r="AG83" s="1603"/>
      <c r="AH83" s="1603"/>
      <c r="AI83" s="1603"/>
      <c r="AJ83" s="1603"/>
      <c r="AK83" s="1603"/>
      <c r="AL83" s="1603"/>
      <c r="AM83" s="1603"/>
      <c r="AN83" s="1603"/>
      <c r="AO83" s="1603"/>
      <c r="AP83" s="1603"/>
      <c r="AQ83" s="1603"/>
      <c r="AR83" s="1603"/>
      <c r="AS83" s="1603"/>
      <c r="AT83" s="481"/>
      <c r="AU83" s="1555"/>
      <c r="AV83" s="1553"/>
      <c r="AW83" s="1553"/>
      <c r="AX83" s="1553"/>
      <c r="AY83" s="1553"/>
      <c r="AZ83" s="1553"/>
      <c r="BA83" s="1553"/>
      <c r="BB83" s="1553"/>
      <c r="BC83" s="1553"/>
      <c r="BD83" s="1553"/>
      <c r="BE83" s="1553"/>
      <c r="BF83" s="1553"/>
      <c r="BG83" s="1553"/>
      <c r="BH83" s="1553"/>
      <c r="BI83" s="1553"/>
      <c r="BJ83" s="1553"/>
      <c r="BK83" s="1553"/>
      <c r="BL83" s="1553"/>
      <c r="BM83" s="1553"/>
      <c r="BN83" s="1553"/>
      <c r="BO83" s="1553"/>
      <c r="BP83" s="1553"/>
      <c r="BQ83" s="1553"/>
      <c r="BR83" s="1554"/>
    </row>
    <row r="84" spans="1:70" s="340" customFormat="1" ht="18" customHeight="1">
      <c r="A84" s="351"/>
      <c r="B84" s="1329"/>
      <c r="C84" s="1330"/>
      <c r="D84" s="1331" t="s">
        <v>212</v>
      </c>
      <c r="E84" s="1332"/>
      <c r="F84" s="1333" t="s">
        <v>5967</v>
      </c>
      <c r="G84" s="1334"/>
      <c r="H84" s="1334"/>
      <c r="I84" s="1334"/>
      <c r="J84" s="1334"/>
      <c r="K84" s="1334"/>
      <c r="L84" s="1334"/>
      <c r="M84" s="1335"/>
      <c r="N84" s="1336"/>
      <c r="O84" s="1334"/>
      <c r="P84" s="1334"/>
      <c r="Q84" s="1334"/>
      <c r="R84" s="1334"/>
      <c r="S84" s="1334"/>
      <c r="T84" s="1334"/>
      <c r="U84" s="1337"/>
      <c r="W84" s="1603"/>
      <c r="X84" s="1603"/>
      <c r="Y84" s="1603"/>
      <c r="Z84" s="1603"/>
      <c r="AA84" s="1603"/>
      <c r="AB84" s="1603"/>
      <c r="AC84" s="1603"/>
      <c r="AD84" s="1603"/>
      <c r="AE84" s="1603"/>
      <c r="AF84" s="1603"/>
      <c r="AG84" s="1603"/>
      <c r="AH84" s="1603"/>
      <c r="AI84" s="1603"/>
      <c r="AJ84" s="1603"/>
      <c r="AK84" s="1603"/>
      <c r="AL84" s="1603"/>
      <c r="AM84" s="1603"/>
      <c r="AN84" s="1603"/>
      <c r="AO84" s="1603"/>
      <c r="AP84" s="1603"/>
      <c r="AQ84" s="1603"/>
      <c r="AR84" s="1603"/>
      <c r="AS84" s="1603"/>
      <c r="AT84" s="481"/>
      <c r="AU84" s="1555"/>
      <c r="AV84" s="1553"/>
      <c r="AW84" s="1553"/>
      <c r="AX84" s="1553"/>
      <c r="AY84" s="1553"/>
      <c r="AZ84" s="1553"/>
      <c r="BA84" s="1553"/>
      <c r="BB84" s="1553"/>
      <c r="BC84" s="1553"/>
      <c r="BD84" s="1553"/>
      <c r="BE84" s="1553"/>
      <c r="BF84" s="1553"/>
      <c r="BG84" s="1553"/>
      <c r="BH84" s="1553"/>
      <c r="BI84" s="1553"/>
      <c r="BJ84" s="1553"/>
      <c r="BK84" s="1553"/>
      <c r="BL84" s="1553"/>
      <c r="BM84" s="1553"/>
      <c r="BN84" s="1553"/>
      <c r="BO84" s="1553"/>
      <c r="BP84" s="1553"/>
      <c r="BQ84" s="1553"/>
      <c r="BR84" s="1554"/>
    </row>
    <row r="85" spans="1:70" s="340" customFormat="1" ht="18" customHeight="1">
      <c r="A85" s="351"/>
      <c r="B85" s="1321"/>
      <c r="C85" s="1322"/>
      <c r="D85" s="1323" t="s">
        <v>212</v>
      </c>
      <c r="E85" s="1324"/>
      <c r="F85" s="1325" t="s">
        <v>5968</v>
      </c>
      <c r="G85" s="1326"/>
      <c r="H85" s="1326"/>
      <c r="I85" s="1326"/>
      <c r="J85" s="1326"/>
      <c r="K85" s="1326"/>
      <c r="L85" s="1326"/>
      <c r="M85" s="1327"/>
      <c r="N85" s="1326"/>
      <c r="O85" s="1326"/>
      <c r="P85" s="1326"/>
      <c r="Q85" s="1326"/>
      <c r="R85" s="1326"/>
      <c r="S85" s="1326"/>
      <c r="T85" s="1326"/>
      <c r="U85" s="1328"/>
      <c r="W85" s="1603"/>
      <c r="X85" s="1603"/>
      <c r="Y85" s="1603"/>
      <c r="Z85" s="1603"/>
      <c r="AA85" s="1603"/>
      <c r="AB85" s="1603"/>
      <c r="AC85" s="1603"/>
      <c r="AD85" s="1603"/>
      <c r="AE85" s="1603"/>
      <c r="AF85" s="1603"/>
      <c r="AG85" s="1603"/>
      <c r="AH85" s="1603"/>
      <c r="AI85" s="1603"/>
      <c r="AJ85" s="1603"/>
      <c r="AK85" s="1603"/>
      <c r="AL85" s="1603"/>
      <c r="AM85" s="1603"/>
      <c r="AN85" s="1603"/>
      <c r="AO85" s="1603"/>
      <c r="AP85" s="1603"/>
      <c r="AQ85" s="1603"/>
      <c r="AR85" s="1603"/>
      <c r="AS85" s="1603"/>
      <c r="AT85" s="481"/>
      <c r="AU85" s="1555"/>
      <c r="AV85" s="1553"/>
      <c r="AW85" s="1553"/>
      <c r="AX85" s="1553"/>
      <c r="AY85" s="1553"/>
      <c r="AZ85" s="1553"/>
      <c r="BA85" s="1553"/>
      <c r="BB85" s="1553"/>
      <c r="BC85" s="1553"/>
      <c r="BD85" s="1553"/>
      <c r="BE85" s="1553"/>
      <c r="BF85" s="1553"/>
      <c r="BG85" s="1553"/>
      <c r="BH85" s="1553"/>
      <c r="BI85" s="1553"/>
      <c r="BJ85" s="1553"/>
      <c r="BK85" s="1553"/>
      <c r="BL85" s="1553"/>
      <c r="BM85" s="1553"/>
      <c r="BN85" s="1553"/>
      <c r="BO85" s="1553"/>
      <c r="BP85" s="1553"/>
      <c r="BQ85" s="1553"/>
      <c r="BR85" s="1554"/>
    </row>
    <row r="86" spans="1:70" s="340" customFormat="1" ht="18" customHeight="1">
      <c r="A86" s="351"/>
      <c r="B86" s="1329" t="s">
        <v>209</v>
      </c>
      <c r="C86" s="1330"/>
      <c r="D86" s="1331" t="s">
        <v>210</v>
      </c>
      <c r="E86" s="1332"/>
      <c r="F86" s="1333" t="s">
        <v>5971</v>
      </c>
      <c r="G86" s="1334"/>
      <c r="H86" s="1334"/>
      <c r="I86" s="1334"/>
      <c r="J86" s="1334"/>
      <c r="K86" s="1334"/>
      <c r="L86" s="1334"/>
      <c r="M86" s="1335"/>
      <c r="N86" s="1336"/>
      <c r="O86" s="1334"/>
      <c r="P86" s="1334"/>
      <c r="Q86" s="1334"/>
      <c r="R86" s="1334"/>
      <c r="S86" s="1334"/>
      <c r="T86" s="1334"/>
      <c r="U86" s="1337"/>
      <c r="W86" s="1603"/>
      <c r="X86" s="1603"/>
      <c r="Y86" s="1603"/>
      <c r="Z86" s="1603"/>
      <c r="AA86" s="1603"/>
      <c r="AB86" s="1603"/>
      <c r="AC86" s="1603"/>
      <c r="AD86" s="1603"/>
      <c r="AE86" s="1603"/>
      <c r="AF86" s="1603"/>
      <c r="AG86" s="1603"/>
      <c r="AH86" s="1603"/>
      <c r="AI86" s="1603"/>
      <c r="AJ86" s="1603"/>
      <c r="AK86" s="1603"/>
      <c r="AL86" s="1603"/>
      <c r="AM86" s="1603"/>
      <c r="AN86" s="1603"/>
      <c r="AO86" s="1603"/>
      <c r="AP86" s="1603"/>
      <c r="AQ86" s="1603"/>
      <c r="AR86" s="1603"/>
      <c r="AS86" s="1603"/>
      <c r="AT86" s="481"/>
      <c r="AU86" s="1555"/>
      <c r="AV86" s="1553"/>
      <c r="AW86" s="1553"/>
      <c r="AX86" s="1553"/>
      <c r="AY86" s="1553"/>
      <c r="AZ86" s="1553"/>
      <c r="BA86" s="1553"/>
      <c r="BB86" s="1553"/>
      <c r="BC86" s="1553"/>
      <c r="BD86" s="1553"/>
      <c r="BE86" s="1553"/>
      <c r="BF86" s="1553"/>
      <c r="BG86" s="1553"/>
      <c r="BH86" s="1553"/>
      <c r="BI86" s="1553"/>
      <c r="BJ86" s="1553"/>
      <c r="BK86" s="1553"/>
      <c r="BL86" s="1553"/>
      <c r="BM86" s="1553"/>
      <c r="BN86" s="1553"/>
      <c r="BO86" s="1553"/>
      <c r="BP86" s="1553"/>
      <c r="BQ86" s="1553"/>
      <c r="BR86" s="1554"/>
    </row>
    <row r="87" spans="1:70" s="340" customFormat="1" ht="18" customHeight="1">
      <c r="A87" s="351"/>
      <c r="B87" s="1321" t="s">
        <v>209</v>
      </c>
      <c r="C87" s="1322"/>
      <c r="D87" s="1323" t="s">
        <v>210</v>
      </c>
      <c r="E87" s="1324"/>
      <c r="F87" s="1325" t="s">
        <v>3913</v>
      </c>
      <c r="G87" s="1326"/>
      <c r="H87" s="1326"/>
      <c r="I87" s="1326"/>
      <c r="J87" s="1326"/>
      <c r="K87" s="1326"/>
      <c r="L87" s="1326"/>
      <c r="M87" s="1327"/>
      <c r="N87" s="1326"/>
      <c r="O87" s="1326"/>
      <c r="P87" s="1326"/>
      <c r="Q87" s="1326"/>
      <c r="R87" s="1326"/>
      <c r="S87" s="1326"/>
      <c r="T87" s="1326"/>
      <c r="U87" s="1328"/>
      <c r="W87" s="1603"/>
      <c r="X87" s="1603"/>
      <c r="Y87" s="1603"/>
      <c r="Z87" s="1603"/>
      <c r="AA87" s="1603"/>
      <c r="AB87" s="1603"/>
      <c r="AC87" s="1603"/>
      <c r="AD87" s="1603"/>
      <c r="AE87" s="1603"/>
      <c r="AF87" s="1603"/>
      <c r="AG87" s="1603"/>
      <c r="AH87" s="1603"/>
      <c r="AI87" s="1603"/>
      <c r="AJ87" s="1603"/>
      <c r="AK87" s="1603"/>
      <c r="AL87" s="1603"/>
      <c r="AM87" s="1603"/>
      <c r="AN87" s="1603"/>
      <c r="AO87" s="1603"/>
      <c r="AP87" s="1603"/>
      <c r="AQ87" s="1603"/>
      <c r="AR87" s="1603"/>
      <c r="AS87" s="1603"/>
      <c r="AT87" s="481"/>
      <c r="AU87" s="1555"/>
      <c r="AV87" s="1553"/>
      <c r="AW87" s="1553"/>
      <c r="AX87" s="1553"/>
      <c r="AY87" s="1553"/>
      <c r="AZ87" s="1553"/>
      <c r="BA87" s="1553"/>
      <c r="BB87" s="1553"/>
      <c r="BC87" s="1553"/>
      <c r="BD87" s="1553"/>
      <c r="BE87" s="1553"/>
      <c r="BF87" s="1553"/>
      <c r="BG87" s="1553"/>
      <c r="BH87" s="1553"/>
      <c r="BI87" s="1553"/>
      <c r="BJ87" s="1553"/>
      <c r="BK87" s="1553"/>
      <c r="BL87" s="1553"/>
      <c r="BM87" s="1553"/>
      <c r="BN87" s="1553"/>
      <c r="BO87" s="1553"/>
      <c r="BP87" s="1553"/>
      <c r="BQ87" s="1553"/>
      <c r="BR87" s="1554"/>
    </row>
    <row r="88" spans="1:70" s="340" customFormat="1" ht="18" customHeight="1">
      <c r="A88" s="351"/>
      <c r="B88" s="1329"/>
      <c r="C88" s="1330"/>
      <c r="D88" s="1331" t="s">
        <v>211</v>
      </c>
      <c r="E88" s="1332"/>
      <c r="F88" s="1333" t="s">
        <v>5972</v>
      </c>
      <c r="G88" s="1334"/>
      <c r="H88" s="1334"/>
      <c r="I88" s="1334"/>
      <c r="J88" s="1334"/>
      <c r="K88" s="1334"/>
      <c r="L88" s="1334"/>
      <c r="M88" s="1335"/>
      <c r="N88" s="1336"/>
      <c r="O88" s="1334"/>
      <c r="P88" s="1334"/>
      <c r="Q88" s="1334"/>
      <c r="R88" s="1334"/>
      <c r="S88" s="1334"/>
      <c r="T88" s="1334"/>
      <c r="U88" s="1337"/>
      <c r="W88" s="1603"/>
      <c r="X88" s="1603"/>
      <c r="Y88" s="1603"/>
      <c r="Z88" s="1603"/>
      <c r="AA88" s="1603"/>
      <c r="AB88" s="1603"/>
      <c r="AC88" s="1603"/>
      <c r="AD88" s="1603"/>
      <c r="AE88" s="1603"/>
      <c r="AF88" s="1603"/>
      <c r="AG88" s="1603"/>
      <c r="AH88" s="1603"/>
      <c r="AI88" s="1603"/>
      <c r="AJ88" s="1603"/>
      <c r="AK88" s="1603"/>
      <c r="AL88" s="1603"/>
      <c r="AM88" s="1603"/>
      <c r="AN88" s="1603"/>
      <c r="AO88" s="1603"/>
      <c r="AP88" s="1603"/>
      <c r="AQ88" s="1603"/>
      <c r="AR88" s="1603"/>
      <c r="AS88" s="1603"/>
      <c r="AT88" s="481"/>
      <c r="AU88" s="1555"/>
      <c r="AV88" s="1553"/>
      <c r="AW88" s="1553"/>
      <c r="AX88" s="1553"/>
      <c r="AY88" s="1553"/>
      <c r="AZ88" s="1553"/>
      <c r="BA88" s="1553"/>
      <c r="BB88" s="1553"/>
      <c r="BC88" s="1553"/>
      <c r="BD88" s="1553"/>
      <c r="BE88" s="1553"/>
      <c r="BF88" s="1553"/>
      <c r="BG88" s="1553"/>
      <c r="BH88" s="1553"/>
      <c r="BI88" s="1553"/>
      <c r="BJ88" s="1553"/>
      <c r="BK88" s="1553"/>
      <c r="BL88" s="1553"/>
      <c r="BM88" s="1553"/>
      <c r="BN88" s="1553"/>
      <c r="BO88" s="1553"/>
      <c r="BP88" s="1553"/>
      <c r="BQ88" s="1553"/>
      <c r="BR88" s="1554"/>
    </row>
    <row r="89" spans="1:70" s="340" customFormat="1" ht="18" customHeight="1">
      <c r="A89" s="351"/>
      <c r="B89" s="1321"/>
      <c r="C89" s="1322"/>
      <c r="D89" s="1323" t="s">
        <v>210</v>
      </c>
      <c r="E89" s="1324"/>
      <c r="F89" s="1325" t="s">
        <v>5973</v>
      </c>
      <c r="G89" s="1326"/>
      <c r="H89" s="1326"/>
      <c r="I89" s="1326"/>
      <c r="J89" s="1326"/>
      <c r="K89" s="1326"/>
      <c r="L89" s="1326"/>
      <c r="M89" s="1327"/>
      <c r="N89" s="1326"/>
      <c r="O89" s="1326"/>
      <c r="P89" s="1326"/>
      <c r="Q89" s="1326"/>
      <c r="R89" s="1326"/>
      <c r="S89" s="1326"/>
      <c r="T89" s="1326"/>
      <c r="U89" s="1328"/>
      <c r="W89" s="1603"/>
      <c r="X89" s="1603"/>
      <c r="Y89" s="1603"/>
      <c r="Z89" s="1603"/>
      <c r="AA89" s="1603"/>
      <c r="AB89" s="1603"/>
      <c r="AC89" s="1603"/>
      <c r="AD89" s="1603"/>
      <c r="AE89" s="1603"/>
      <c r="AF89" s="1603"/>
      <c r="AG89" s="1603"/>
      <c r="AH89" s="1603"/>
      <c r="AI89" s="1603"/>
      <c r="AJ89" s="1603"/>
      <c r="AK89" s="1603"/>
      <c r="AL89" s="1603"/>
      <c r="AM89" s="1603"/>
      <c r="AN89" s="1603"/>
      <c r="AO89" s="1603"/>
      <c r="AP89" s="1603"/>
      <c r="AQ89" s="1603"/>
      <c r="AR89" s="1603"/>
      <c r="AS89" s="1603"/>
      <c r="AT89" s="481"/>
      <c r="AU89" s="1555"/>
      <c r="AV89" s="1553"/>
      <c r="AW89" s="1553"/>
      <c r="AX89" s="1553"/>
      <c r="AY89" s="1553"/>
      <c r="AZ89" s="1553"/>
      <c r="BA89" s="1553"/>
      <c r="BB89" s="1553"/>
      <c r="BC89" s="1553"/>
      <c r="BD89" s="1553"/>
      <c r="BE89" s="1553"/>
      <c r="BF89" s="1553"/>
      <c r="BG89" s="1553"/>
      <c r="BH89" s="1553"/>
      <c r="BI89" s="1553"/>
      <c r="BJ89" s="1553"/>
      <c r="BK89" s="1553"/>
      <c r="BL89" s="1553"/>
      <c r="BM89" s="1553"/>
      <c r="BN89" s="1553"/>
      <c r="BO89" s="1553"/>
      <c r="BP89" s="1553"/>
      <c r="BQ89" s="1553"/>
      <c r="BR89" s="1554"/>
    </row>
    <row r="90" spans="1:70" s="340" customFormat="1" ht="18" customHeight="1">
      <c r="A90" s="351"/>
      <c r="B90" s="1329"/>
      <c r="C90" s="1330"/>
      <c r="D90" s="1331" t="s">
        <v>210</v>
      </c>
      <c r="E90" s="1332"/>
      <c r="F90" s="1333" t="s">
        <v>133</v>
      </c>
      <c r="G90" s="1334"/>
      <c r="H90" s="1334"/>
      <c r="I90" s="1334"/>
      <c r="J90" s="1334"/>
      <c r="K90" s="1334"/>
      <c r="L90" s="1334"/>
      <c r="M90" s="1335"/>
      <c r="N90" s="1336"/>
      <c r="O90" s="1334"/>
      <c r="P90" s="1334"/>
      <c r="Q90" s="1334"/>
      <c r="R90" s="1334"/>
      <c r="S90" s="1334"/>
      <c r="T90" s="1334"/>
      <c r="U90" s="1337"/>
      <c r="W90" s="1603"/>
      <c r="X90" s="1603"/>
      <c r="Y90" s="1603"/>
      <c r="Z90" s="1603"/>
      <c r="AA90" s="1603"/>
      <c r="AB90" s="1603"/>
      <c r="AC90" s="1603"/>
      <c r="AD90" s="1603"/>
      <c r="AE90" s="1603"/>
      <c r="AF90" s="1603"/>
      <c r="AG90" s="1603"/>
      <c r="AH90" s="1603"/>
      <c r="AI90" s="1603"/>
      <c r="AJ90" s="1603"/>
      <c r="AK90" s="1603"/>
      <c r="AL90" s="1603"/>
      <c r="AM90" s="1603"/>
      <c r="AN90" s="1603"/>
      <c r="AO90" s="1603"/>
      <c r="AP90" s="1603"/>
      <c r="AQ90" s="1603"/>
      <c r="AR90" s="1603"/>
      <c r="AS90" s="1603"/>
      <c r="AT90" s="481"/>
      <c r="AU90" s="1555"/>
      <c r="AV90" s="1553"/>
      <c r="AW90" s="1553"/>
      <c r="AX90" s="1553"/>
      <c r="AY90" s="1553"/>
      <c r="AZ90" s="1553"/>
      <c r="BA90" s="1553"/>
      <c r="BB90" s="1553"/>
      <c r="BC90" s="1553"/>
      <c r="BD90" s="1553"/>
      <c r="BE90" s="1553"/>
      <c r="BF90" s="1553"/>
      <c r="BG90" s="1553"/>
      <c r="BH90" s="1553"/>
      <c r="BI90" s="1553"/>
      <c r="BJ90" s="1553"/>
      <c r="BK90" s="1553"/>
      <c r="BL90" s="1553"/>
      <c r="BM90" s="1553"/>
      <c r="BN90" s="1553"/>
      <c r="BO90" s="1553"/>
      <c r="BP90" s="1553"/>
      <c r="BQ90" s="1553"/>
      <c r="BR90" s="1554"/>
    </row>
    <row r="91" spans="1:70" s="340" customFormat="1" ht="18" customHeight="1">
      <c r="A91" s="351"/>
      <c r="B91" s="1338"/>
      <c r="C91" s="1339"/>
      <c r="D91" s="1340" t="s">
        <v>210</v>
      </c>
      <c r="E91" s="1341"/>
      <c r="F91" s="1342" t="s">
        <v>5974</v>
      </c>
      <c r="G91" s="1315"/>
      <c r="H91" s="1315"/>
      <c r="I91" s="1315"/>
      <c r="J91" s="1315"/>
      <c r="K91" s="1315"/>
      <c r="L91" s="1315"/>
      <c r="M91" s="1343"/>
      <c r="N91" s="1315"/>
      <c r="O91" s="1315"/>
      <c r="P91" s="1315"/>
      <c r="Q91" s="1315"/>
      <c r="R91" s="1315"/>
      <c r="S91" s="1315"/>
      <c r="T91" s="1315"/>
      <c r="U91" s="1344"/>
      <c r="W91" s="1603"/>
      <c r="X91" s="1603"/>
      <c r="Y91" s="1603"/>
      <c r="Z91" s="1603"/>
      <c r="AA91" s="1603"/>
      <c r="AB91" s="1603"/>
      <c r="AC91" s="1603"/>
      <c r="AD91" s="1603"/>
      <c r="AE91" s="1603"/>
      <c r="AF91" s="1603"/>
      <c r="AG91" s="1603"/>
      <c r="AH91" s="1603"/>
      <c r="AI91" s="1603"/>
      <c r="AJ91" s="1603"/>
      <c r="AK91" s="1603"/>
      <c r="AL91" s="1603"/>
      <c r="AM91" s="1603"/>
      <c r="AN91" s="1603"/>
      <c r="AO91" s="1603"/>
      <c r="AP91" s="1603"/>
      <c r="AQ91" s="1603"/>
      <c r="AR91" s="1603"/>
      <c r="AS91" s="1603"/>
      <c r="AT91" s="481"/>
      <c r="AU91" s="1555"/>
      <c r="AV91" s="1553"/>
      <c r="AW91" s="1553"/>
      <c r="AX91" s="1553"/>
      <c r="AY91" s="1553"/>
      <c r="AZ91" s="1553"/>
      <c r="BA91" s="1553"/>
      <c r="BB91" s="1553"/>
      <c r="BC91" s="1553"/>
      <c r="BD91" s="1553"/>
      <c r="BE91" s="1553"/>
      <c r="BF91" s="1553"/>
      <c r="BG91" s="1553"/>
      <c r="BH91" s="1553"/>
      <c r="BI91" s="1553"/>
      <c r="BJ91" s="1553"/>
      <c r="BK91" s="1553"/>
      <c r="BL91" s="1553"/>
      <c r="BM91" s="1553"/>
      <c r="BN91" s="1553"/>
      <c r="BO91" s="1553"/>
      <c r="BP91" s="1553"/>
      <c r="BQ91" s="1553"/>
      <c r="BR91" s="1554"/>
    </row>
    <row r="92" spans="1:70" s="340" customFormat="1" ht="18" customHeight="1">
      <c r="A92" s="351"/>
      <c r="B92" s="1329"/>
      <c r="C92" s="1330"/>
      <c r="D92" s="1331"/>
      <c r="E92" s="1332"/>
      <c r="F92" s="1345"/>
      <c r="G92" s="1334"/>
      <c r="H92" s="1334"/>
      <c r="I92" s="1334"/>
      <c r="J92" s="1334"/>
      <c r="K92" s="1334"/>
      <c r="L92" s="1334"/>
      <c r="M92" s="1335"/>
      <c r="N92" s="1336"/>
      <c r="O92" s="1334"/>
      <c r="P92" s="1334"/>
      <c r="Q92" s="1334"/>
      <c r="R92" s="1334"/>
      <c r="S92" s="1334"/>
      <c r="T92" s="1334"/>
      <c r="U92" s="1337"/>
      <c r="W92" s="1603"/>
      <c r="X92" s="1603"/>
      <c r="Y92" s="1603"/>
      <c r="Z92" s="1603"/>
      <c r="AA92" s="1603"/>
      <c r="AB92" s="1603"/>
      <c r="AC92" s="1603"/>
      <c r="AD92" s="1603"/>
      <c r="AE92" s="1603"/>
      <c r="AF92" s="1603"/>
      <c r="AG92" s="1603"/>
      <c r="AH92" s="1603"/>
      <c r="AI92" s="1603"/>
      <c r="AJ92" s="1603"/>
      <c r="AK92" s="1603"/>
      <c r="AL92" s="1603"/>
      <c r="AM92" s="1603"/>
      <c r="AN92" s="1603"/>
      <c r="AO92" s="1603"/>
      <c r="AP92" s="1603"/>
      <c r="AQ92" s="1603"/>
      <c r="AR92" s="1603"/>
      <c r="AS92" s="1603"/>
      <c r="AT92" s="481"/>
      <c r="AU92" s="1555"/>
      <c r="AV92" s="1553"/>
      <c r="AW92" s="1553"/>
      <c r="AX92" s="1553"/>
      <c r="AY92" s="1553"/>
      <c r="AZ92" s="1553"/>
      <c r="BA92" s="1553"/>
      <c r="BB92" s="1553"/>
      <c r="BC92" s="1553"/>
      <c r="BD92" s="1553"/>
      <c r="BE92" s="1553"/>
      <c r="BF92" s="1553"/>
      <c r="BG92" s="1553"/>
      <c r="BH92" s="1553"/>
      <c r="BI92" s="1553"/>
      <c r="BJ92" s="1553"/>
      <c r="BK92" s="1553"/>
      <c r="BL92" s="1553"/>
      <c r="BM92" s="1553"/>
      <c r="BN92" s="1553"/>
      <c r="BO92" s="1553"/>
      <c r="BP92" s="1553"/>
      <c r="BQ92" s="1553"/>
      <c r="BR92" s="1554"/>
    </row>
    <row r="93" spans="1:70" s="340" customFormat="1" ht="18" customHeight="1">
      <c r="A93" s="351"/>
      <c r="B93" s="1346"/>
      <c r="C93" s="1347"/>
      <c r="D93" s="1348"/>
      <c r="E93" s="1349"/>
      <c r="F93" s="1350"/>
      <c r="G93" s="1351"/>
      <c r="H93" s="1351"/>
      <c r="I93" s="1351"/>
      <c r="J93" s="1351"/>
      <c r="K93" s="1351"/>
      <c r="L93" s="1351"/>
      <c r="M93" s="1352"/>
      <c r="N93" s="1351"/>
      <c r="O93" s="1351"/>
      <c r="P93" s="1351"/>
      <c r="Q93" s="1351"/>
      <c r="R93" s="1351"/>
      <c r="S93" s="1351"/>
      <c r="T93" s="1351"/>
      <c r="U93" s="1353"/>
      <c r="W93" s="1603"/>
      <c r="X93" s="1603"/>
      <c r="Y93" s="1603"/>
      <c r="Z93" s="1603"/>
      <c r="AA93" s="1603"/>
      <c r="AB93" s="1603"/>
      <c r="AC93" s="1603"/>
      <c r="AD93" s="1603"/>
      <c r="AE93" s="1603"/>
      <c r="AF93" s="1603"/>
      <c r="AG93" s="1603"/>
      <c r="AH93" s="1603"/>
      <c r="AI93" s="1603"/>
      <c r="AJ93" s="1603"/>
      <c r="AK93" s="1603"/>
      <c r="AL93" s="1603"/>
      <c r="AM93" s="1603"/>
      <c r="AN93" s="1603"/>
      <c r="AO93" s="1603"/>
      <c r="AP93" s="1603"/>
      <c r="AQ93" s="1603"/>
      <c r="AR93" s="1603"/>
      <c r="AS93" s="1603"/>
      <c r="AT93" s="481"/>
      <c r="AU93" s="1555"/>
      <c r="AV93" s="1553"/>
      <c r="AW93" s="1553"/>
      <c r="AX93" s="1553"/>
      <c r="AY93" s="1553"/>
      <c r="AZ93" s="1553"/>
      <c r="BA93" s="1553"/>
      <c r="BB93" s="1553"/>
      <c r="BC93" s="1553"/>
      <c r="BD93" s="1553"/>
      <c r="BE93" s="1553"/>
      <c r="BF93" s="1553"/>
      <c r="BG93" s="1553"/>
      <c r="BH93" s="1553"/>
      <c r="BI93" s="1553"/>
      <c r="BJ93" s="1553"/>
      <c r="BK93" s="1553"/>
      <c r="BL93" s="1553"/>
      <c r="BM93" s="1553"/>
      <c r="BN93" s="1553"/>
      <c r="BO93" s="1553"/>
      <c r="BP93" s="1553"/>
      <c r="BQ93" s="1553"/>
      <c r="BR93" s="1554"/>
    </row>
    <row r="94" spans="1:70" s="340" customFormat="1" ht="18" customHeight="1">
      <c r="AH94" s="481"/>
      <c r="AS94" s="481"/>
      <c r="AT94" s="481"/>
      <c r="AU94" s="1555"/>
      <c r="AV94" s="1553"/>
      <c r="AW94" s="1553"/>
      <c r="AX94" s="1553"/>
      <c r="AY94" s="1553"/>
      <c r="AZ94" s="1553"/>
      <c r="BA94" s="1553"/>
      <c r="BB94" s="1553"/>
      <c r="BC94" s="1553"/>
      <c r="BD94" s="1553"/>
      <c r="BE94" s="1553"/>
      <c r="BF94" s="1553"/>
      <c r="BG94" s="1553"/>
      <c r="BH94" s="1553"/>
      <c r="BI94" s="1553"/>
      <c r="BJ94" s="1553"/>
      <c r="BK94" s="1553"/>
      <c r="BL94" s="1553"/>
      <c r="BM94" s="1553"/>
      <c r="BN94" s="1553"/>
      <c r="BO94" s="1553"/>
      <c r="BP94" s="1553"/>
      <c r="BQ94" s="1553"/>
      <c r="BR94" s="1554"/>
    </row>
    <row r="95" spans="1:70" s="340" customFormat="1" ht="18" customHeight="1">
      <c r="B95" s="946" t="s">
        <v>213</v>
      </c>
      <c r="C95" s="947"/>
      <c r="D95" s="947"/>
      <c r="E95" s="947"/>
      <c r="F95" s="947"/>
      <c r="G95" s="947"/>
      <c r="H95" s="947"/>
      <c r="I95" s="947"/>
      <c r="J95" s="947"/>
      <c r="K95" s="947"/>
      <c r="L95" s="947"/>
      <c r="M95" s="947"/>
      <c r="N95" s="947"/>
      <c r="O95" s="947"/>
      <c r="P95" s="947"/>
      <c r="Q95" s="947"/>
      <c r="R95" s="947"/>
      <c r="S95" s="947"/>
      <c r="T95" s="947"/>
      <c r="U95" s="948"/>
      <c r="W95" s="1354" t="s">
        <v>214</v>
      </c>
      <c r="X95" s="1355"/>
      <c r="Y95" s="1355"/>
      <c r="Z95" s="1355"/>
      <c r="AA95" s="1355"/>
      <c r="AB95" s="1355"/>
      <c r="AC95" s="1355"/>
      <c r="AD95" s="1355"/>
      <c r="AE95" s="1355"/>
      <c r="AF95" s="1355"/>
      <c r="AG95" s="1355"/>
      <c r="AH95" s="1355"/>
      <c r="AI95" s="1355"/>
      <c r="AJ95" s="1355"/>
      <c r="AK95" s="1355"/>
      <c r="AL95" s="1355"/>
      <c r="AM95" s="1355"/>
      <c r="AN95" s="1355"/>
      <c r="AO95" s="1355"/>
      <c r="AP95" s="1355"/>
      <c r="AQ95" s="1355"/>
      <c r="AR95" s="1355"/>
      <c r="AS95" s="1356"/>
      <c r="AT95" s="481"/>
      <c r="AU95" s="1555"/>
      <c r="AV95" s="1553"/>
      <c r="AW95" s="1553"/>
      <c r="AX95" s="1553"/>
      <c r="AY95" s="1553"/>
      <c r="AZ95" s="1553"/>
      <c r="BA95" s="1553"/>
      <c r="BB95" s="1553"/>
      <c r="BC95" s="1553"/>
      <c r="BD95" s="1553"/>
      <c r="BE95" s="1553"/>
      <c r="BF95" s="1553"/>
      <c r="BG95" s="1553"/>
      <c r="BH95" s="1553"/>
      <c r="BI95" s="1553"/>
      <c r="BJ95" s="1553"/>
      <c r="BK95" s="1553"/>
      <c r="BL95" s="1553"/>
      <c r="BM95" s="1553"/>
      <c r="BN95" s="1553"/>
      <c r="BO95" s="1553"/>
      <c r="BP95" s="1553"/>
      <c r="BQ95" s="1553"/>
      <c r="BR95" s="1554"/>
    </row>
    <row r="96" spans="1:70" s="340" customFormat="1" ht="18" customHeight="1">
      <c r="B96" s="1357" t="s">
        <v>215</v>
      </c>
      <c r="C96" s="1358"/>
      <c r="D96" s="1358"/>
      <c r="E96" s="1358"/>
      <c r="F96" s="1358"/>
      <c r="G96" s="1358"/>
      <c r="H96" s="1358"/>
      <c r="I96" s="1358"/>
      <c r="J96" s="1359" t="s">
        <v>216</v>
      </c>
      <c r="K96" s="1360"/>
      <c r="L96" s="1360"/>
      <c r="M96" s="1360"/>
      <c r="N96" s="1360"/>
      <c r="O96" s="1360"/>
      <c r="P96" s="1360"/>
      <c r="Q96" s="1360"/>
      <c r="R96" s="1360"/>
      <c r="S96" s="1360"/>
      <c r="T96" s="1360"/>
      <c r="U96" s="1361"/>
      <c r="W96" s="1362" t="s">
        <v>217</v>
      </c>
      <c r="X96" s="1363"/>
      <c r="Y96" s="1363"/>
      <c r="Z96" s="1364"/>
      <c r="AA96" s="1363"/>
      <c r="AB96" s="1363"/>
      <c r="AC96" s="1363"/>
      <c r="AD96" s="1363"/>
      <c r="AE96" s="1363"/>
      <c r="AF96" s="1363"/>
      <c r="AG96" s="1363"/>
      <c r="AH96" s="1363"/>
      <c r="AI96" s="1363"/>
      <c r="AJ96" s="1363"/>
      <c r="AK96" s="1363"/>
      <c r="AL96" s="1363"/>
      <c r="AM96" s="1363"/>
      <c r="AN96" s="1363"/>
      <c r="AO96" s="1363"/>
      <c r="AP96" s="1363"/>
      <c r="AQ96" s="1363"/>
      <c r="AR96" s="1363"/>
      <c r="AS96" s="1365"/>
      <c r="AT96" s="481"/>
      <c r="AU96" s="1555"/>
      <c r="AV96" s="1553"/>
      <c r="AW96" s="1553"/>
      <c r="AX96" s="1553"/>
      <c r="AY96" s="1553"/>
      <c r="AZ96" s="1553"/>
      <c r="BA96" s="1553"/>
      <c r="BB96" s="1553"/>
      <c r="BC96" s="1553"/>
      <c r="BD96" s="1553"/>
      <c r="BE96" s="1553"/>
      <c r="BF96" s="1553"/>
      <c r="BG96" s="1553"/>
      <c r="BH96" s="1553"/>
      <c r="BI96" s="1553"/>
      <c r="BJ96" s="1553"/>
      <c r="BK96" s="1553"/>
      <c r="BL96" s="1553"/>
      <c r="BM96" s="1553"/>
      <c r="BN96" s="1553"/>
      <c r="BO96" s="1553"/>
      <c r="BP96" s="1553"/>
      <c r="BQ96" s="1553"/>
      <c r="BR96" s="1554"/>
    </row>
    <row r="97" spans="2:70" s="340" customFormat="1" ht="18" customHeight="1">
      <c r="B97" s="1366" t="s">
        <v>218</v>
      </c>
      <c r="C97" s="1367"/>
      <c r="D97" s="1367"/>
      <c r="E97" s="1367"/>
      <c r="F97" s="1367"/>
      <c r="G97" s="1367"/>
      <c r="H97" s="1367"/>
      <c r="I97" s="1368"/>
      <c r="J97" s="1367" t="s">
        <v>219</v>
      </c>
      <c r="K97" s="1367"/>
      <c r="L97" s="1367"/>
      <c r="M97" s="1367"/>
      <c r="N97" s="1367"/>
      <c r="O97" s="1367"/>
      <c r="P97" s="1367"/>
      <c r="Q97" s="1367"/>
      <c r="R97" s="1367"/>
      <c r="S97" s="1367"/>
      <c r="T97" s="1367"/>
      <c r="U97" s="1369"/>
      <c r="W97" s="1370" t="s">
        <v>220</v>
      </c>
      <c r="X97" s="1371"/>
      <c r="Y97" s="1371"/>
      <c r="Z97" s="1372"/>
      <c r="AA97" s="1373" t="s">
        <v>221</v>
      </c>
      <c r="AB97" s="1371"/>
      <c r="AC97" s="1371"/>
      <c r="AD97" s="1371"/>
      <c r="AE97" s="1371"/>
      <c r="AF97" s="1371"/>
      <c r="AG97" s="1371"/>
      <c r="AH97" s="1371"/>
      <c r="AI97" s="1371"/>
      <c r="AJ97" s="1374"/>
      <c r="AK97" s="1375" t="s">
        <v>108</v>
      </c>
      <c r="AL97" s="1376"/>
      <c r="AM97" s="1376"/>
      <c r="AN97" s="1376"/>
      <c r="AO97" s="1376"/>
      <c r="AP97" s="1376"/>
      <c r="AQ97" s="1377"/>
      <c r="AR97" s="1378" t="s">
        <v>222</v>
      </c>
      <c r="AS97" s="1379"/>
      <c r="AT97" s="481"/>
      <c r="AU97" s="1555"/>
      <c r="AV97" s="1553"/>
      <c r="AW97" s="1553"/>
      <c r="AX97" s="1553"/>
      <c r="AY97" s="1553"/>
      <c r="AZ97" s="1553"/>
      <c r="BA97" s="1553"/>
      <c r="BB97" s="1553"/>
      <c r="BC97" s="1553"/>
      <c r="BD97" s="1553"/>
      <c r="BE97" s="1553"/>
      <c r="BF97" s="1553"/>
      <c r="BG97" s="1553"/>
      <c r="BH97" s="1553"/>
      <c r="BI97" s="1553"/>
      <c r="BJ97" s="1553"/>
      <c r="BK97" s="1553"/>
      <c r="BL97" s="1553"/>
      <c r="BM97" s="1553"/>
      <c r="BN97" s="1553"/>
      <c r="BO97" s="1553"/>
      <c r="BP97" s="1553"/>
      <c r="BQ97" s="1553"/>
      <c r="BR97" s="1554"/>
    </row>
    <row r="98" spans="2:70" s="340" customFormat="1" ht="18" customHeight="1">
      <c r="B98" s="1380" t="s">
        <v>223</v>
      </c>
      <c r="C98" s="1381"/>
      <c r="D98" s="1381"/>
      <c r="E98" s="1381"/>
      <c r="F98" s="1381"/>
      <c r="G98" s="1381"/>
      <c r="H98" s="1381"/>
      <c r="I98" s="1382"/>
      <c r="J98" s="1383" t="s">
        <v>224</v>
      </c>
      <c r="K98" s="1381"/>
      <c r="L98" s="1381"/>
      <c r="M98" s="1381"/>
      <c r="N98" s="1381"/>
      <c r="O98" s="1381"/>
      <c r="P98" s="1381"/>
      <c r="Q98" s="1381"/>
      <c r="R98" s="1381"/>
      <c r="S98" s="1381"/>
      <c r="T98" s="1381"/>
      <c r="U98" s="1384"/>
      <c r="W98" s="1380" t="s">
        <v>225</v>
      </c>
      <c r="X98" s="1381"/>
      <c r="Y98" s="1381"/>
      <c r="Z98" s="1382"/>
      <c r="AA98" s="1385" t="s">
        <v>226</v>
      </c>
      <c r="AB98" s="1386"/>
      <c r="AC98" s="1386"/>
      <c r="AD98" s="1386"/>
      <c r="AE98" s="1386"/>
      <c r="AF98" s="1386"/>
      <c r="AG98" s="1386"/>
      <c r="AH98" s="1386"/>
      <c r="AI98" s="1386"/>
      <c r="AJ98" s="1387"/>
      <c r="AK98" s="1388" t="s">
        <v>227</v>
      </c>
      <c r="AL98" s="1386"/>
      <c r="AM98" s="1386"/>
      <c r="AN98" s="1386"/>
      <c r="AO98" s="1386"/>
      <c r="AP98" s="1386"/>
      <c r="AQ98" s="1389"/>
      <c r="AR98" s="1383">
        <v>6</v>
      </c>
      <c r="AS98" s="1384"/>
      <c r="AT98" s="481"/>
      <c r="AU98" s="1555"/>
      <c r="AV98" s="1553"/>
      <c r="AW98" s="1553"/>
      <c r="AX98" s="1553"/>
      <c r="AY98" s="1553"/>
      <c r="AZ98" s="1553"/>
      <c r="BA98" s="1553"/>
      <c r="BB98" s="1553"/>
      <c r="BC98" s="1553"/>
      <c r="BD98" s="1553"/>
      <c r="BE98" s="1553"/>
      <c r="BF98" s="1553"/>
      <c r="BG98" s="1553"/>
      <c r="BH98" s="1553"/>
      <c r="BI98" s="1553"/>
      <c r="BJ98" s="1553"/>
      <c r="BK98" s="1553"/>
      <c r="BL98" s="1553"/>
      <c r="BM98" s="1553"/>
      <c r="BN98" s="1553"/>
      <c r="BO98" s="1553"/>
      <c r="BP98" s="1553"/>
      <c r="BQ98" s="1553"/>
      <c r="BR98" s="1554"/>
    </row>
    <row r="99" spans="2:70" s="340" customFormat="1" ht="18" customHeight="1">
      <c r="B99" s="1366"/>
      <c r="C99" s="1367"/>
      <c r="D99" s="1367"/>
      <c r="E99" s="1367"/>
      <c r="F99" s="1367"/>
      <c r="G99" s="1367"/>
      <c r="H99" s="1367"/>
      <c r="I99" s="1368"/>
      <c r="J99" s="1367"/>
      <c r="K99" s="1367"/>
      <c r="L99" s="1367"/>
      <c r="M99" s="1367"/>
      <c r="N99" s="1367"/>
      <c r="O99" s="1367"/>
      <c r="P99" s="1367"/>
      <c r="Q99" s="1367"/>
      <c r="R99" s="1367"/>
      <c r="S99" s="1367"/>
      <c r="T99" s="1367"/>
      <c r="U99" s="1369"/>
      <c r="W99" s="1366" t="s">
        <v>228</v>
      </c>
      <c r="X99" s="1367"/>
      <c r="Y99" s="1367"/>
      <c r="Z99" s="1368"/>
      <c r="AA99" s="1390" t="s">
        <v>229</v>
      </c>
      <c r="AB99" s="1390"/>
      <c r="AC99" s="1390"/>
      <c r="AD99" s="1390"/>
      <c r="AE99" s="1390"/>
      <c r="AF99" s="1390"/>
      <c r="AG99" s="1390"/>
      <c r="AH99" s="1390"/>
      <c r="AI99" s="1390"/>
      <c r="AJ99" s="1391"/>
      <c r="AK99" s="1392" t="s">
        <v>230</v>
      </c>
      <c r="AL99" s="1390"/>
      <c r="AM99" s="1390"/>
      <c r="AN99" s="1390"/>
      <c r="AO99" s="1390"/>
      <c r="AP99" s="1390"/>
      <c r="AQ99" s="1393"/>
      <c r="AR99" s="1367">
        <v>5</v>
      </c>
      <c r="AS99" s="1369"/>
      <c r="AT99" s="481"/>
      <c r="AU99" s="1555"/>
      <c r="AV99" s="1553"/>
      <c r="AW99" s="1553"/>
      <c r="AX99" s="1553"/>
      <c r="AY99" s="1553"/>
      <c r="AZ99" s="1553"/>
      <c r="BA99" s="1553"/>
      <c r="BB99" s="1553"/>
      <c r="BC99" s="1553"/>
      <c r="BD99" s="1553"/>
      <c r="BE99" s="1553"/>
      <c r="BF99" s="1553"/>
      <c r="BG99" s="1553"/>
      <c r="BH99" s="1553"/>
      <c r="BI99" s="1553"/>
      <c r="BJ99" s="1553"/>
      <c r="BK99" s="1553"/>
      <c r="BL99" s="1553"/>
      <c r="BM99" s="1553"/>
      <c r="BN99" s="1553"/>
      <c r="BO99" s="1553"/>
      <c r="BP99" s="1553"/>
      <c r="BQ99" s="1553"/>
      <c r="BR99" s="1554"/>
    </row>
    <row r="100" spans="2:70" s="340" customFormat="1" ht="18" customHeight="1">
      <c r="B100" s="1380"/>
      <c r="C100" s="1381"/>
      <c r="D100" s="1381"/>
      <c r="E100" s="1381"/>
      <c r="F100" s="1381"/>
      <c r="G100" s="1381"/>
      <c r="H100" s="1381"/>
      <c r="I100" s="1382"/>
      <c r="J100" s="1383"/>
      <c r="K100" s="1381"/>
      <c r="L100" s="1381"/>
      <c r="M100" s="1381"/>
      <c r="N100" s="1381"/>
      <c r="O100" s="1381"/>
      <c r="P100" s="1381"/>
      <c r="Q100" s="1381"/>
      <c r="R100" s="1381"/>
      <c r="S100" s="1381"/>
      <c r="T100" s="1381"/>
      <c r="U100" s="1384"/>
      <c r="W100" s="1380"/>
      <c r="X100" s="1381"/>
      <c r="Y100" s="1381"/>
      <c r="Z100" s="1382"/>
      <c r="AA100" s="1394"/>
      <c r="AB100" s="1395"/>
      <c r="AC100" s="1395"/>
      <c r="AD100" s="1395"/>
      <c r="AE100" s="1395"/>
      <c r="AF100" s="1395"/>
      <c r="AG100" s="1395"/>
      <c r="AH100" s="1395"/>
      <c r="AI100" s="1395"/>
      <c r="AJ100" s="1396"/>
      <c r="AK100" s="1397"/>
      <c r="AL100" s="1395"/>
      <c r="AM100" s="1395"/>
      <c r="AN100" s="1395"/>
      <c r="AO100" s="1395"/>
      <c r="AP100" s="1395"/>
      <c r="AQ100" s="1398"/>
      <c r="AR100" s="1383"/>
      <c r="AS100" s="1384"/>
      <c r="AT100" s="481"/>
      <c r="AU100" s="1555"/>
      <c r="AV100" s="1553"/>
      <c r="AW100" s="1553"/>
      <c r="AX100" s="1553"/>
      <c r="AY100" s="1553"/>
      <c r="AZ100" s="1553"/>
      <c r="BA100" s="1553"/>
      <c r="BB100" s="1553"/>
      <c r="BC100" s="1553"/>
      <c r="BD100" s="1553"/>
      <c r="BE100" s="1553"/>
      <c r="BF100" s="1553"/>
      <c r="BG100" s="1553"/>
      <c r="BH100" s="1553"/>
      <c r="BI100" s="1553"/>
      <c r="BJ100" s="1553"/>
      <c r="BK100" s="1553"/>
      <c r="BL100" s="1553"/>
      <c r="BM100" s="1553"/>
      <c r="BN100" s="1553"/>
      <c r="BO100" s="1553"/>
      <c r="BP100" s="1553"/>
      <c r="BQ100" s="1553"/>
      <c r="BR100" s="1554"/>
    </row>
    <row r="101" spans="2:70" s="340" customFormat="1" ht="18" customHeight="1">
      <c r="B101" s="1366"/>
      <c r="C101" s="1367"/>
      <c r="D101" s="1367"/>
      <c r="E101" s="1367"/>
      <c r="F101" s="1367"/>
      <c r="G101" s="1367"/>
      <c r="H101" s="1367"/>
      <c r="I101" s="1368"/>
      <c r="J101" s="1367"/>
      <c r="K101" s="1367"/>
      <c r="L101" s="1367"/>
      <c r="M101" s="1367"/>
      <c r="N101" s="1367"/>
      <c r="O101" s="1367"/>
      <c r="P101" s="1367"/>
      <c r="Q101" s="1367"/>
      <c r="R101" s="1367"/>
      <c r="S101" s="1367"/>
      <c r="T101" s="1367"/>
      <c r="U101" s="1369"/>
      <c r="W101" s="1366"/>
      <c r="X101" s="1367"/>
      <c r="Y101" s="1367"/>
      <c r="Z101" s="1368"/>
      <c r="AA101" s="1399"/>
      <c r="AB101" s="1399"/>
      <c r="AC101" s="1399"/>
      <c r="AD101" s="1399"/>
      <c r="AE101" s="1399"/>
      <c r="AF101" s="1399"/>
      <c r="AG101" s="1399"/>
      <c r="AH101" s="1399"/>
      <c r="AI101" s="1399"/>
      <c r="AJ101" s="1400"/>
      <c r="AK101" s="1401"/>
      <c r="AL101" s="1399"/>
      <c r="AM101" s="1399"/>
      <c r="AN101" s="1399"/>
      <c r="AO101" s="1399"/>
      <c r="AP101" s="1399"/>
      <c r="AQ101" s="1402"/>
      <c r="AR101" s="1367"/>
      <c r="AS101" s="1369"/>
      <c r="AT101" s="481"/>
      <c r="AU101" s="1555"/>
      <c r="AV101" s="1553"/>
      <c r="AW101" s="1553"/>
      <c r="AX101" s="1553"/>
      <c r="AY101" s="1553"/>
      <c r="AZ101" s="1553"/>
      <c r="BA101" s="1553"/>
      <c r="BB101" s="1553"/>
      <c r="BC101" s="1553"/>
      <c r="BD101" s="1553"/>
      <c r="BE101" s="1553"/>
      <c r="BF101" s="1553"/>
      <c r="BG101" s="1553"/>
      <c r="BH101" s="1553"/>
      <c r="BI101" s="1553"/>
      <c r="BJ101" s="1553"/>
      <c r="BK101" s="1553"/>
      <c r="BL101" s="1553"/>
      <c r="BM101" s="1553"/>
      <c r="BN101" s="1553"/>
      <c r="BO101" s="1553"/>
      <c r="BP101" s="1553"/>
      <c r="BQ101" s="1553"/>
      <c r="BR101" s="1554"/>
    </row>
    <row r="102" spans="2:70" s="340" customFormat="1" ht="18" customHeight="1">
      <c r="B102" s="1380"/>
      <c r="C102" s="1381"/>
      <c r="D102" s="1381"/>
      <c r="E102" s="1381"/>
      <c r="F102" s="1381"/>
      <c r="G102" s="1381"/>
      <c r="H102" s="1381"/>
      <c r="I102" s="1382"/>
      <c r="J102" s="1383"/>
      <c r="K102" s="1381"/>
      <c r="L102" s="1381"/>
      <c r="M102" s="1381"/>
      <c r="N102" s="1381"/>
      <c r="O102" s="1381"/>
      <c r="P102" s="1381"/>
      <c r="Q102" s="1381"/>
      <c r="R102" s="1381"/>
      <c r="S102" s="1381"/>
      <c r="T102" s="1381"/>
      <c r="U102" s="1384"/>
      <c r="W102" s="1380"/>
      <c r="X102" s="1381"/>
      <c r="Y102" s="1381"/>
      <c r="Z102" s="1382"/>
      <c r="AA102" s="1394"/>
      <c r="AB102" s="1395"/>
      <c r="AC102" s="1395"/>
      <c r="AD102" s="1395"/>
      <c r="AE102" s="1395"/>
      <c r="AF102" s="1395"/>
      <c r="AG102" s="1395"/>
      <c r="AH102" s="1395"/>
      <c r="AI102" s="1395"/>
      <c r="AJ102" s="1396"/>
      <c r="AK102" s="1397"/>
      <c r="AL102" s="1395"/>
      <c r="AM102" s="1395"/>
      <c r="AN102" s="1395"/>
      <c r="AO102" s="1395"/>
      <c r="AP102" s="1395"/>
      <c r="AQ102" s="1398"/>
      <c r="AR102" s="1383"/>
      <c r="AS102" s="1384"/>
      <c r="AT102" s="481"/>
      <c r="AU102" s="1555"/>
      <c r="AV102" s="1553"/>
      <c r="AW102" s="1553"/>
      <c r="AX102" s="1553"/>
      <c r="AY102" s="1553"/>
      <c r="AZ102" s="1553"/>
      <c r="BA102" s="1553"/>
      <c r="BB102" s="1553"/>
      <c r="BC102" s="1553"/>
      <c r="BD102" s="1553"/>
      <c r="BE102" s="1553"/>
      <c r="BF102" s="1553"/>
      <c r="BG102" s="1553"/>
      <c r="BH102" s="1553"/>
      <c r="BI102" s="1553"/>
      <c r="BJ102" s="1553"/>
      <c r="BK102" s="1553"/>
      <c r="BL102" s="1553"/>
      <c r="BM102" s="1553"/>
      <c r="BN102" s="1553"/>
      <c r="BO102" s="1553"/>
      <c r="BP102" s="1553"/>
      <c r="BQ102" s="1553"/>
      <c r="BR102" s="1554"/>
    </row>
    <row r="103" spans="2:70" s="340" customFormat="1" ht="18" customHeight="1">
      <c r="B103" s="1366"/>
      <c r="C103" s="1367"/>
      <c r="D103" s="1367"/>
      <c r="E103" s="1367"/>
      <c r="F103" s="1367"/>
      <c r="G103" s="1367"/>
      <c r="H103" s="1367"/>
      <c r="I103" s="1368"/>
      <c r="J103" s="1367"/>
      <c r="K103" s="1367"/>
      <c r="L103" s="1367"/>
      <c r="M103" s="1367"/>
      <c r="N103" s="1367"/>
      <c r="O103" s="1367"/>
      <c r="P103" s="1367"/>
      <c r="Q103" s="1367"/>
      <c r="R103" s="1367"/>
      <c r="S103" s="1367"/>
      <c r="T103" s="1367"/>
      <c r="U103" s="1369"/>
      <c r="W103" s="1366"/>
      <c r="X103" s="1367"/>
      <c r="Y103" s="1367"/>
      <c r="Z103" s="1368"/>
      <c r="AA103" s="1399"/>
      <c r="AB103" s="1399"/>
      <c r="AC103" s="1399"/>
      <c r="AD103" s="1399"/>
      <c r="AE103" s="1399"/>
      <c r="AF103" s="1399"/>
      <c r="AG103" s="1399"/>
      <c r="AH103" s="1399"/>
      <c r="AI103" s="1399"/>
      <c r="AJ103" s="1400"/>
      <c r="AK103" s="1401"/>
      <c r="AL103" s="1399"/>
      <c r="AM103" s="1399"/>
      <c r="AN103" s="1399"/>
      <c r="AO103" s="1399"/>
      <c r="AP103" s="1399"/>
      <c r="AQ103" s="1402"/>
      <c r="AR103" s="1367"/>
      <c r="AS103" s="1369"/>
      <c r="AU103" s="1556"/>
      <c r="AV103" s="1557"/>
      <c r="AW103" s="1557"/>
      <c r="AX103" s="1557"/>
      <c r="AY103" s="1557"/>
      <c r="AZ103" s="1557"/>
      <c r="BA103" s="1557"/>
      <c r="BB103" s="1557"/>
      <c r="BC103" s="1557"/>
      <c r="BD103" s="1557"/>
      <c r="BE103" s="1557"/>
      <c r="BF103" s="1557"/>
      <c r="BG103" s="1557"/>
      <c r="BH103" s="1557"/>
      <c r="BI103" s="1557"/>
      <c r="BJ103" s="1557"/>
      <c r="BK103" s="1557"/>
      <c r="BL103" s="1557"/>
      <c r="BM103" s="1557"/>
      <c r="BN103" s="1557"/>
      <c r="BO103" s="1557"/>
      <c r="BP103" s="1557"/>
      <c r="BQ103" s="1557"/>
      <c r="BR103" s="1558"/>
    </row>
    <row r="104" spans="2:70" s="340" customFormat="1" ht="18" customHeight="1">
      <c r="B104" s="1380"/>
      <c r="C104" s="1381"/>
      <c r="D104" s="1381"/>
      <c r="E104" s="1381"/>
      <c r="F104" s="1381"/>
      <c r="G104" s="1381"/>
      <c r="H104" s="1381"/>
      <c r="I104" s="1382"/>
      <c r="J104" s="1383"/>
      <c r="K104" s="1381"/>
      <c r="L104" s="1381"/>
      <c r="M104" s="1381"/>
      <c r="N104" s="1381"/>
      <c r="O104" s="1381"/>
      <c r="P104" s="1381"/>
      <c r="Q104" s="1381"/>
      <c r="R104" s="1381"/>
      <c r="S104" s="1381"/>
      <c r="T104" s="1381"/>
      <c r="U104" s="1384"/>
      <c r="W104" s="1380"/>
      <c r="X104" s="1381"/>
      <c r="Y104" s="1381"/>
      <c r="Z104" s="1382"/>
      <c r="AA104" s="1394"/>
      <c r="AB104" s="1395"/>
      <c r="AC104" s="1395"/>
      <c r="AD104" s="1395"/>
      <c r="AE104" s="1395"/>
      <c r="AF104" s="1395"/>
      <c r="AG104" s="1395"/>
      <c r="AH104" s="1395"/>
      <c r="AI104" s="1395"/>
      <c r="AJ104" s="1396"/>
      <c r="AK104" s="1397"/>
      <c r="AL104" s="1395"/>
      <c r="AM104" s="1395"/>
      <c r="AN104" s="1395"/>
      <c r="AO104" s="1395"/>
      <c r="AP104" s="1395"/>
      <c r="AQ104" s="1398"/>
      <c r="AR104" s="1383"/>
      <c r="AS104" s="1384"/>
      <c r="AU104" s="1403" t="s">
        <v>231</v>
      </c>
      <c r="AV104" s="1404"/>
      <c r="AW104" s="1404"/>
      <c r="AX104" s="1404"/>
      <c r="AY104" s="1404"/>
      <c r="AZ104" s="1404"/>
      <c r="BA104" s="1404"/>
      <c r="BB104" s="1404"/>
      <c r="BC104" s="1404"/>
      <c r="BD104" s="1404"/>
      <c r="BE104" s="1404"/>
      <c r="BF104" s="1404"/>
      <c r="BG104" s="1404"/>
      <c r="BH104" s="1404"/>
      <c r="BI104" s="1404"/>
      <c r="BJ104" s="1404"/>
      <c r="BK104" s="1404"/>
      <c r="BL104" s="1404"/>
      <c r="BM104" s="1404"/>
      <c r="BN104" s="1404"/>
      <c r="BO104" s="1404"/>
      <c r="BP104" s="1404"/>
      <c r="BQ104" s="1404"/>
      <c r="BR104" s="1405"/>
    </row>
    <row r="105" spans="2:70" s="340" customFormat="1" ht="18" customHeight="1">
      <c r="B105" s="1366"/>
      <c r="C105" s="1367"/>
      <c r="D105" s="1367"/>
      <c r="E105" s="1367"/>
      <c r="F105" s="1367"/>
      <c r="G105" s="1367"/>
      <c r="H105" s="1367"/>
      <c r="I105" s="1368"/>
      <c r="J105" s="1367"/>
      <c r="K105" s="1367"/>
      <c r="L105" s="1367"/>
      <c r="M105" s="1367"/>
      <c r="N105" s="1367"/>
      <c r="O105" s="1367"/>
      <c r="P105" s="1367"/>
      <c r="Q105" s="1367"/>
      <c r="R105" s="1367"/>
      <c r="S105" s="1367"/>
      <c r="T105" s="1367"/>
      <c r="U105" s="1369"/>
      <c r="W105" s="1366"/>
      <c r="X105" s="1367"/>
      <c r="Y105" s="1367"/>
      <c r="Z105" s="1368"/>
      <c r="AA105" s="1399"/>
      <c r="AB105" s="1399"/>
      <c r="AC105" s="1399"/>
      <c r="AD105" s="1399"/>
      <c r="AE105" s="1399"/>
      <c r="AF105" s="1399"/>
      <c r="AG105" s="1399"/>
      <c r="AH105" s="1399"/>
      <c r="AI105" s="1399"/>
      <c r="AJ105" s="1400"/>
      <c r="AK105" s="1401"/>
      <c r="AL105" s="1399"/>
      <c r="AM105" s="1399"/>
      <c r="AN105" s="1399"/>
      <c r="AO105" s="1399"/>
      <c r="AP105" s="1399"/>
      <c r="AQ105" s="1402"/>
      <c r="AR105" s="1367"/>
      <c r="AS105" s="1369"/>
      <c r="AU105" s="1684" t="str">
        <f>附表!AP22</f>
        <v>总统：
   吉米·卡特（民主党）</v>
      </c>
      <c r="AV105" s="1685"/>
      <c r="AW105" s="1685"/>
      <c r="AX105" s="1685"/>
      <c r="AY105" s="1685"/>
      <c r="AZ105" s="1685"/>
      <c r="BA105" s="1685"/>
      <c r="BB105" s="1685"/>
      <c r="BC105" s="1685"/>
      <c r="BD105" s="1685"/>
      <c r="BE105" s="1685"/>
      <c r="BF105" s="1685"/>
      <c r="BG105" s="1685"/>
      <c r="BH105" s="1685"/>
      <c r="BI105" s="1685"/>
      <c r="BJ105" s="1685"/>
      <c r="BK105" s="1685"/>
      <c r="BL105" s="1685"/>
      <c r="BM105" s="1685"/>
      <c r="BN105" s="1685"/>
      <c r="BO105" s="1685"/>
      <c r="BP105" s="1685"/>
      <c r="BQ105" s="1685"/>
      <c r="BR105" s="1686"/>
    </row>
    <row r="106" spans="2:70" s="340" customFormat="1" ht="18" customHeight="1">
      <c r="B106" s="1380"/>
      <c r="C106" s="1381"/>
      <c r="D106" s="1381"/>
      <c r="E106" s="1381"/>
      <c r="F106" s="1381"/>
      <c r="G106" s="1381"/>
      <c r="H106" s="1381"/>
      <c r="I106" s="1382"/>
      <c r="J106" s="1383"/>
      <c r="K106" s="1381"/>
      <c r="L106" s="1381"/>
      <c r="M106" s="1381"/>
      <c r="N106" s="1381"/>
      <c r="O106" s="1381"/>
      <c r="P106" s="1381"/>
      <c r="Q106" s="1381"/>
      <c r="R106" s="1381"/>
      <c r="S106" s="1381"/>
      <c r="T106" s="1381"/>
      <c r="U106" s="1384"/>
      <c r="W106" s="1380"/>
      <c r="X106" s="1381"/>
      <c r="Y106" s="1381"/>
      <c r="Z106" s="1382"/>
      <c r="AA106" s="1394"/>
      <c r="AB106" s="1395"/>
      <c r="AC106" s="1395"/>
      <c r="AD106" s="1395"/>
      <c r="AE106" s="1395"/>
      <c r="AF106" s="1395"/>
      <c r="AG106" s="1395"/>
      <c r="AH106" s="1395"/>
      <c r="AI106" s="1395"/>
      <c r="AJ106" s="1396"/>
      <c r="AK106" s="1397"/>
      <c r="AL106" s="1395"/>
      <c r="AM106" s="1395"/>
      <c r="AN106" s="1395"/>
      <c r="AO106" s="1395"/>
      <c r="AP106" s="1395"/>
      <c r="AQ106" s="1398"/>
      <c r="AR106" s="1383"/>
      <c r="AS106" s="1384"/>
      <c r="AU106" s="1687"/>
      <c r="AV106" s="1685"/>
      <c r="AW106" s="1685"/>
      <c r="AX106" s="1685"/>
      <c r="AY106" s="1685"/>
      <c r="AZ106" s="1685"/>
      <c r="BA106" s="1685"/>
      <c r="BB106" s="1685"/>
      <c r="BC106" s="1685"/>
      <c r="BD106" s="1685"/>
      <c r="BE106" s="1685"/>
      <c r="BF106" s="1685"/>
      <c r="BG106" s="1685"/>
      <c r="BH106" s="1685"/>
      <c r="BI106" s="1685"/>
      <c r="BJ106" s="1685"/>
      <c r="BK106" s="1685"/>
      <c r="BL106" s="1685"/>
      <c r="BM106" s="1685"/>
      <c r="BN106" s="1685"/>
      <c r="BO106" s="1685"/>
      <c r="BP106" s="1685"/>
      <c r="BQ106" s="1685"/>
      <c r="BR106" s="1686"/>
    </row>
    <row r="107" spans="2:70" s="340" customFormat="1" ht="18" customHeight="1">
      <c r="B107" s="1366"/>
      <c r="C107" s="1367"/>
      <c r="D107" s="1367"/>
      <c r="E107" s="1367"/>
      <c r="F107" s="1367"/>
      <c r="G107" s="1367"/>
      <c r="H107" s="1367"/>
      <c r="I107" s="1368"/>
      <c r="J107" s="1367"/>
      <c r="K107" s="1367"/>
      <c r="L107" s="1367"/>
      <c r="M107" s="1367"/>
      <c r="N107" s="1367"/>
      <c r="O107" s="1367"/>
      <c r="P107" s="1367"/>
      <c r="Q107" s="1367"/>
      <c r="R107" s="1367"/>
      <c r="S107" s="1367"/>
      <c r="T107" s="1367"/>
      <c r="U107" s="1369"/>
      <c r="W107" s="1366"/>
      <c r="X107" s="1367"/>
      <c r="Y107" s="1367"/>
      <c r="Z107" s="1368"/>
      <c r="AA107" s="1399"/>
      <c r="AB107" s="1399"/>
      <c r="AC107" s="1399"/>
      <c r="AD107" s="1399"/>
      <c r="AE107" s="1399"/>
      <c r="AF107" s="1399"/>
      <c r="AG107" s="1399"/>
      <c r="AH107" s="1399"/>
      <c r="AI107" s="1399"/>
      <c r="AJ107" s="1400"/>
      <c r="AK107" s="1401"/>
      <c r="AL107" s="1399"/>
      <c r="AM107" s="1399"/>
      <c r="AN107" s="1399"/>
      <c r="AO107" s="1399"/>
      <c r="AP107" s="1399"/>
      <c r="AQ107" s="1402"/>
      <c r="AR107" s="1367"/>
      <c r="AS107" s="1369"/>
      <c r="AT107" s="481"/>
      <c r="AU107" s="1687"/>
      <c r="AV107" s="1685"/>
      <c r="AW107" s="1685"/>
      <c r="AX107" s="1685"/>
      <c r="AY107" s="1685"/>
      <c r="AZ107" s="1685"/>
      <c r="BA107" s="1685"/>
      <c r="BB107" s="1685"/>
      <c r="BC107" s="1685"/>
      <c r="BD107" s="1685"/>
      <c r="BE107" s="1685"/>
      <c r="BF107" s="1685"/>
      <c r="BG107" s="1685"/>
      <c r="BH107" s="1685"/>
      <c r="BI107" s="1685"/>
      <c r="BJ107" s="1685"/>
      <c r="BK107" s="1685"/>
      <c r="BL107" s="1685"/>
      <c r="BM107" s="1685"/>
      <c r="BN107" s="1685"/>
      <c r="BO107" s="1685"/>
      <c r="BP107" s="1685"/>
      <c r="BQ107" s="1685"/>
      <c r="BR107" s="1686"/>
    </row>
    <row r="108" spans="2:70" s="340" customFormat="1" ht="18" customHeight="1">
      <c r="B108" s="1380"/>
      <c r="C108" s="1381"/>
      <c r="D108" s="1381"/>
      <c r="E108" s="1381"/>
      <c r="F108" s="1381"/>
      <c r="G108" s="1381"/>
      <c r="H108" s="1381"/>
      <c r="I108" s="1382"/>
      <c r="J108" s="1383"/>
      <c r="K108" s="1381"/>
      <c r="L108" s="1381"/>
      <c r="M108" s="1381"/>
      <c r="N108" s="1381"/>
      <c r="O108" s="1381"/>
      <c r="P108" s="1381"/>
      <c r="Q108" s="1381"/>
      <c r="R108" s="1381"/>
      <c r="S108" s="1381"/>
      <c r="T108" s="1381"/>
      <c r="U108" s="1384"/>
      <c r="W108" s="1380"/>
      <c r="X108" s="1381"/>
      <c r="Y108" s="1381"/>
      <c r="Z108" s="1382"/>
      <c r="AA108" s="1394"/>
      <c r="AB108" s="1395"/>
      <c r="AC108" s="1395"/>
      <c r="AD108" s="1395"/>
      <c r="AE108" s="1395"/>
      <c r="AF108" s="1395"/>
      <c r="AG108" s="1395"/>
      <c r="AH108" s="1395"/>
      <c r="AI108" s="1395"/>
      <c r="AJ108" s="1396"/>
      <c r="AK108" s="1397"/>
      <c r="AL108" s="1395"/>
      <c r="AM108" s="1395"/>
      <c r="AN108" s="1395"/>
      <c r="AO108" s="1395"/>
      <c r="AP108" s="1395"/>
      <c r="AQ108" s="1398"/>
      <c r="AR108" s="1383"/>
      <c r="AS108" s="1384"/>
      <c r="AT108" s="481"/>
      <c r="AU108" s="1687"/>
      <c r="AV108" s="1685"/>
      <c r="AW108" s="1685"/>
      <c r="AX108" s="1685"/>
      <c r="AY108" s="1685"/>
      <c r="AZ108" s="1685"/>
      <c r="BA108" s="1685"/>
      <c r="BB108" s="1685"/>
      <c r="BC108" s="1685"/>
      <c r="BD108" s="1685"/>
      <c r="BE108" s="1685"/>
      <c r="BF108" s="1685"/>
      <c r="BG108" s="1685"/>
      <c r="BH108" s="1685"/>
      <c r="BI108" s="1685"/>
      <c r="BJ108" s="1685"/>
      <c r="BK108" s="1685"/>
      <c r="BL108" s="1685"/>
      <c r="BM108" s="1685"/>
      <c r="BN108" s="1685"/>
      <c r="BO108" s="1685"/>
      <c r="BP108" s="1685"/>
      <c r="BQ108" s="1685"/>
      <c r="BR108" s="1686"/>
    </row>
    <row r="109" spans="2:70" s="340" customFormat="1" ht="18" customHeight="1">
      <c r="B109" s="1366"/>
      <c r="C109" s="1367"/>
      <c r="D109" s="1367"/>
      <c r="E109" s="1367"/>
      <c r="F109" s="1367"/>
      <c r="G109" s="1367"/>
      <c r="H109" s="1367"/>
      <c r="I109" s="1368"/>
      <c r="J109" s="1367"/>
      <c r="K109" s="1367"/>
      <c r="L109" s="1367"/>
      <c r="M109" s="1367"/>
      <c r="N109" s="1367"/>
      <c r="O109" s="1367"/>
      <c r="P109" s="1367"/>
      <c r="Q109" s="1367"/>
      <c r="R109" s="1367"/>
      <c r="S109" s="1367"/>
      <c r="T109" s="1367"/>
      <c r="U109" s="1369"/>
      <c r="W109" s="1366"/>
      <c r="X109" s="1367"/>
      <c r="Y109" s="1367"/>
      <c r="Z109" s="1368"/>
      <c r="AA109" s="1399"/>
      <c r="AB109" s="1399"/>
      <c r="AC109" s="1399"/>
      <c r="AD109" s="1399"/>
      <c r="AE109" s="1399"/>
      <c r="AF109" s="1399"/>
      <c r="AG109" s="1399"/>
      <c r="AH109" s="1399"/>
      <c r="AI109" s="1399"/>
      <c r="AJ109" s="1400"/>
      <c r="AK109" s="1401"/>
      <c r="AL109" s="1399"/>
      <c r="AM109" s="1399"/>
      <c r="AN109" s="1399"/>
      <c r="AO109" s="1399"/>
      <c r="AP109" s="1399"/>
      <c r="AQ109" s="1402"/>
      <c r="AR109" s="1367"/>
      <c r="AS109" s="1369"/>
      <c r="AU109" s="1687"/>
      <c r="AV109" s="1685"/>
      <c r="AW109" s="1685"/>
      <c r="AX109" s="1685"/>
      <c r="AY109" s="1685"/>
      <c r="AZ109" s="1685"/>
      <c r="BA109" s="1685"/>
      <c r="BB109" s="1685"/>
      <c r="BC109" s="1685"/>
      <c r="BD109" s="1685"/>
      <c r="BE109" s="1685"/>
      <c r="BF109" s="1685"/>
      <c r="BG109" s="1685"/>
      <c r="BH109" s="1685"/>
      <c r="BI109" s="1685"/>
      <c r="BJ109" s="1685"/>
      <c r="BK109" s="1685"/>
      <c r="BL109" s="1685"/>
      <c r="BM109" s="1685"/>
      <c r="BN109" s="1685"/>
      <c r="BO109" s="1685"/>
      <c r="BP109" s="1685"/>
      <c r="BQ109" s="1685"/>
      <c r="BR109" s="1686"/>
    </row>
    <row r="110" spans="2:70" s="340" customFormat="1" ht="18" customHeight="1">
      <c r="B110" s="1380"/>
      <c r="C110" s="1381"/>
      <c r="D110" s="1381"/>
      <c r="E110" s="1381"/>
      <c r="F110" s="1381"/>
      <c r="G110" s="1381"/>
      <c r="H110" s="1381"/>
      <c r="I110" s="1382"/>
      <c r="J110" s="1383"/>
      <c r="K110" s="1381"/>
      <c r="L110" s="1381"/>
      <c r="M110" s="1381"/>
      <c r="N110" s="1381"/>
      <c r="O110" s="1381"/>
      <c r="P110" s="1381"/>
      <c r="Q110" s="1381"/>
      <c r="R110" s="1381"/>
      <c r="S110" s="1381"/>
      <c r="T110" s="1381"/>
      <c r="U110" s="1384"/>
      <c r="W110" s="1406"/>
      <c r="X110" s="1407"/>
      <c r="Y110" s="1407"/>
      <c r="Z110" s="1408"/>
      <c r="AA110" s="1409"/>
      <c r="AB110" s="1410"/>
      <c r="AC110" s="1410"/>
      <c r="AD110" s="1410"/>
      <c r="AE110" s="1410"/>
      <c r="AF110" s="1410"/>
      <c r="AG110" s="1410"/>
      <c r="AH110" s="1410"/>
      <c r="AI110" s="1410"/>
      <c r="AJ110" s="1410"/>
      <c r="AK110" s="1411"/>
      <c r="AL110" s="1410"/>
      <c r="AM110" s="1410"/>
      <c r="AN110" s="1410"/>
      <c r="AO110" s="1410"/>
      <c r="AP110" s="1410"/>
      <c r="AQ110" s="1412"/>
      <c r="AR110" s="1413"/>
      <c r="AS110" s="1414"/>
      <c r="AU110" s="1687"/>
      <c r="AV110" s="1685"/>
      <c r="AW110" s="1685"/>
      <c r="AX110" s="1685"/>
      <c r="AY110" s="1685"/>
      <c r="AZ110" s="1685"/>
      <c r="BA110" s="1685"/>
      <c r="BB110" s="1685"/>
      <c r="BC110" s="1685"/>
      <c r="BD110" s="1685"/>
      <c r="BE110" s="1685"/>
      <c r="BF110" s="1685"/>
      <c r="BG110" s="1685"/>
      <c r="BH110" s="1685"/>
      <c r="BI110" s="1685"/>
      <c r="BJ110" s="1685"/>
      <c r="BK110" s="1685"/>
      <c r="BL110" s="1685"/>
      <c r="BM110" s="1685"/>
      <c r="BN110" s="1685"/>
      <c r="BO110" s="1685"/>
      <c r="BP110" s="1685"/>
      <c r="BQ110" s="1685"/>
      <c r="BR110" s="1686"/>
    </row>
    <row r="111" spans="2:70" s="340" customFormat="1" ht="18" customHeight="1">
      <c r="B111" s="1366"/>
      <c r="C111" s="1367"/>
      <c r="D111" s="1367"/>
      <c r="E111" s="1367"/>
      <c r="F111" s="1367"/>
      <c r="G111" s="1367"/>
      <c r="H111" s="1367"/>
      <c r="I111" s="1368"/>
      <c r="J111" s="1367"/>
      <c r="K111" s="1367"/>
      <c r="L111" s="1367"/>
      <c r="M111" s="1367"/>
      <c r="N111" s="1367"/>
      <c r="O111" s="1367"/>
      <c r="P111" s="1367"/>
      <c r="Q111" s="1367"/>
      <c r="R111" s="1367"/>
      <c r="S111" s="1367"/>
      <c r="T111" s="1367"/>
      <c r="U111" s="1369"/>
      <c r="Y111" s="328"/>
      <c r="AU111" s="1687"/>
      <c r="AV111" s="1685"/>
      <c r="AW111" s="1685"/>
      <c r="AX111" s="1685"/>
      <c r="AY111" s="1685"/>
      <c r="AZ111" s="1685"/>
      <c r="BA111" s="1685"/>
      <c r="BB111" s="1685"/>
      <c r="BC111" s="1685"/>
      <c r="BD111" s="1685"/>
      <c r="BE111" s="1685"/>
      <c r="BF111" s="1685"/>
      <c r="BG111" s="1685"/>
      <c r="BH111" s="1685"/>
      <c r="BI111" s="1685"/>
      <c r="BJ111" s="1685"/>
      <c r="BK111" s="1685"/>
      <c r="BL111" s="1685"/>
      <c r="BM111" s="1685"/>
      <c r="BN111" s="1685"/>
      <c r="BO111" s="1685"/>
      <c r="BP111" s="1685"/>
      <c r="BQ111" s="1685"/>
      <c r="BR111" s="1686"/>
    </row>
    <row r="112" spans="2:70" s="340" customFormat="1" ht="18" customHeight="1">
      <c r="B112" s="1415"/>
      <c r="C112" s="1416"/>
      <c r="D112" s="1416"/>
      <c r="E112" s="1416"/>
      <c r="F112" s="1416"/>
      <c r="G112" s="1416"/>
      <c r="H112" s="1416"/>
      <c r="I112" s="1417"/>
      <c r="J112" s="1418"/>
      <c r="K112" s="1416"/>
      <c r="L112" s="1416"/>
      <c r="M112" s="1416"/>
      <c r="N112" s="1416"/>
      <c r="O112" s="1416"/>
      <c r="P112" s="1416"/>
      <c r="Q112" s="1416"/>
      <c r="R112" s="1416"/>
      <c r="S112" s="1416"/>
      <c r="T112" s="1416"/>
      <c r="U112" s="1419"/>
      <c r="W112" s="1420" t="s">
        <v>232</v>
      </c>
      <c r="X112" s="1421"/>
      <c r="Y112" s="1421"/>
      <c r="Z112" s="1421"/>
      <c r="AA112" s="1421"/>
      <c r="AB112" s="1421"/>
      <c r="AC112" s="1421"/>
      <c r="AD112" s="1421"/>
      <c r="AE112" s="1421"/>
      <c r="AF112" s="1421"/>
      <c r="AG112" s="1421"/>
      <c r="AH112" s="1421"/>
      <c r="AI112" s="1421"/>
      <c r="AJ112" s="1421"/>
      <c r="AK112" s="1421"/>
      <c r="AL112" s="1421"/>
      <c r="AM112" s="1421"/>
      <c r="AN112" s="1421"/>
      <c r="AO112" s="1421"/>
      <c r="AP112" s="1421"/>
      <c r="AQ112" s="1421"/>
      <c r="AR112" s="1421"/>
      <c r="AS112" s="1422"/>
      <c r="AU112" s="1687"/>
      <c r="AV112" s="1685"/>
      <c r="AW112" s="1685"/>
      <c r="AX112" s="1685"/>
      <c r="AY112" s="1685"/>
      <c r="AZ112" s="1685"/>
      <c r="BA112" s="1685"/>
      <c r="BB112" s="1685"/>
      <c r="BC112" s="1685"/>
      <c r="BD112" s="1685"/>
      <c r="BE112" s="1685"/>
      <c r="BF112" s="1685"/>
      <c r="BG112" s="1685"/>
      <c r="BH112" s="1685"/>
      <c r="BI112" s="1685"/>
      <c r="BJ112" s="1685"/>
      <c r="BK112" s="1685"/>
      <c r="BL112" s="1685"/>
      <c r="BM112" s="1685"/>
      <c r="BN112" s="1685"/>
      <c r="BO112" s="1685"/>
      <c r="BP112" s="1685"/>
      <c r="BQ112" s="1685"/>
      <c r="BR112" s="1686"/>
    </row>
    <row r="113" spans="2:70" s="340" customFormat="1" ht="18" customHeight="1">
      <c r="B113" s="1697" t="s">
        <v>233</v>
      </c>
      <c r="C113" s="1698"/>
      <c r="D113" s="1698"/>
      <c r="E113" s="1699"/>
      <c r="F113" s="1706" t="s">
        <v>200</v>
      </c>
      <c r="G113" s="1707"/>
      <c r="H113" s="1707"/>
      <c r="I113" s="1707"/>
      <c r="J113" s="1692" t="str">
        <f>"SAN值减少"&amp;附表!C34&amp;"        备注："&amp;附表!E34</f>
        <v>SAN值减少        备注：</v>
      </c>
      <c r="K113" s="1693"/>
      <c r="L113" s="1693"/>
      <c r="M113" s="1693"/>
      <c r="N113" s="1693"/>
      <c r="O113" s="1693"/>
      <c r="P113" s="1693"/>
      <c r="Q113" s="1693"/>
      <c r="R113" s="1693"/>
      <c r="S113" s="1693"/>
      <c r="T113" s="1693"/>
      <c r="U113" s="1694"/>
      <c r="W113" s="1423" t="s">
        <v>234</v>
      </c>
      <c r="X113" s="1424"/>
      <c r="Y113" s="1425" t="s">
        <v>235</v>
      </c>
      <c r="Z113" s="1424"/>
      <c r="AA113" s="1424"/>
      <c r="AB113" s="1426"/>
      <c r="AC113" s="1427" t="s">
        <v>236</v>
      </c>
      <c r="AD113" s="1424"/>
      <c r="AE113" s="1424"/>
      <c r="AF113" s="1424"/>
      <c r="AG113" s="1424"/>
      <c r="AH113" s="1428" t="s">
        <v>237</v>
      </c>
      <c r="AI113" s="1429"/>
      <c r="AJ113" s="1429"/>
      <c r="AK113" s="1429"/>
      <c r="AL113" s="1429"/>
      <c r="AM113" s="1429"/>
      <c r="AN113" s="1429"/>
      <c r="AO113" s="1429"/>
      <c r="AP113" s="1429"/>
      <c r="AQ113" s="1429"/>
      <c r="AR113" s="1429"/>
      <c r="AS113" s="1430"/>
      <c r="AU113" s="1687"/>
      <c r="AV113" s="1685"/>
      <c r="AW113" s="1685"/>
      <c r="AX113" s="1685"/>
      <c r="AY113" s="1685"/>
      <c r="AZ113" s="1685"/>
      <c r="BA113" s="1685"/>
      <c r="BB113" s="1685"/>
      <c r="BC113" s="1685"/>
      <c r="BD113" s="1685"/>
      <c r="BE113" s="1685"/>
      <c r="BF113" s="1685"/>
      <c r="BG113" s="1685"/>
      <c r="BH113" s="1685"/>
      <c r="BI113" s="1685"/>
      <c r="BJ113" s="1685"/>
      <c r="BK113" s="1685"/>
      <c r="BL113" s="1685"/>
      <c r="BM113" s="1685"/>
      <c r="BN113" s="1685"/>
      <c r="BO113" s="1685"/>
      <c r="BP113" s="1685"/>
      <c r="BQ113" s="1685"/>
      <c r="BR113" s="1686"/>
    </row>
    <row r="114" spans="2:70" s="340" customFormat="1" ht="18" customHeight="1">
      <c r="B114" s="1700"/>
      <c r="C114" s="1701"/>
      <c r="D114" s="1701"/>
      <c r="E114" s="1702"/>
      <c r="F114" s="1708"/>
      <c r="G114" s="1709"/>
      <c r="H114" s="1709"/>
      <c r="I114" s="1709"/>
      <c r="J114" s="1508"/>
      <c r="K114" s="1508"/>
      <c r="L114" s="1508"/>
      <c r="M114" s="1508"/>
      <c r="N114" s="1508"/>
      <c r="O114" s="1508"/>
      <c r="P114" s="1508"/>
      <c r="Q114" s="1508"/>
      <c r="R114" s="1508"/>
      <c r="S114" s="1508"/>
      <c r="T114" s="1508"/>
      <c r="U114" s="1695"/>
      <c r="W114" s="1431" t="s">
        <v>238</v>
      </c>
      <c r="X114" s="1401"/>
      <c r="Y114" s="1401" t="s">
        <v>239</v>
      </c>
      <c r="Z114" s="1401"/>
      <c r="AA114" s="1401"/>
      <c r="AB114" s="1401"/>
      <c r="AC114" s="1401" t="s">
        <v>240</v>
      </c>
      <c r="AD114" s="1401"/>
      <c r="AE114" s="1401"/>
      <c r="AF114" s="1401"/>
      <c r="AG114" s="1401"/>
      <c r="AH114" s="1401" t="s">
        <v>241</v>
      </c>
      <c r="AI114" s="1401"/>
      <c r="AJ114" s="1401"/>
      <c r="AK114" s="1401"/>
      <c r="AL114" s="1401"/>
      <c r="AM114" s="1401"/>
      <c r="AN114" s="1401"/>
      <c r="AO114" s="1401"/>
      <c r="AP114" s="1401"/>
      <c r="AQ114" s="1401"/>
      <c r="AR114" s="1401"/>
      <c r="AS114" s="1432"/>
      <c r="AU114" s="1687"/>
      <c r="AV114" s="1685"/>
      <c r="AW114" s="1685"/>
      <c r="AX114" s="1685"/>
      <c r="AY114" s="1685"/>
      <c r="AZ114" s="1685"/>
      <c r="BA114" s="1685"/>
      <c r="BB114" s="1685"/>
      <c r="BC114" s="1685"/>
      <c r="BD114" s="1685"/>
      <c r="BE114" s="1685"/>
      <c r="BF114" s="1685"/>
      <c r="BG114" s="1685"/>
      <c r="BH114" s="1685"/>
      <c r="BI114" s="1685"/>
      <c r="BJ114" s="1685"/>
      <c r="BK114" s="1685"/>
      <c r="BL114" s="1685"/>
      <c r="BM114" s="1685"/>
      <c r="BN114" s="1685"/>
      <c r="BO114" s="1685"/>
      <c r="BP114" s="1685"/>
      <c r="BQ114" s="1685"/>
      <c r="BR114" s="1686"/>
    </row>
    <row r="115" spans="2:70" ht="18" customHeight="1">
      <c r="B115" s="1700"/>
      <c r="C115" s="1701"/>
      <c r="D115" s="1701"/>
      <c r="E115" s="1702"/>
      <c r="F115" s="1708"/>
      <c r="G115" s="1709"/>
      <c r="H115" s="1709"/>
      <c r="I115" s="1709"/>
      <c r="J115" s="1508"/>
      <c r="K115" s="1508"/>
      <c r="L115" s="1508"/>
      <c r="M115" s="1508"/>
      <c r="N115" s="1508"/>
      <c r="O115" s="1508"/>
      <c r="P115" s="1508"/>
      <c r="Q115" s="1508"/>
      <c r="R115" s="1508"/>
      <c r="S115" s="1508"/>
      <c r="T115" s="1508"/>
      <c r="U115" s="1695"/>
      <c r="W115" s="1433"/>
      <c r="X115" s="1434"/>
      <c r="Y115" s="1397"/>
      <c r="Z115" s="1434"/>
      <c r="AA115" s="1434"/>
      <c r="AB115" s="1434"/>
      <c r="AC115" s="1397"/>
      <c r="AD115" s="1434"/>
      <c r="AE115" s="1434"/>
      <c r="AF115" s="1434"/>
      <c r="AG115" s="1434"/>
      <c r="AH115" s="1397"/>
      <c r="AI115" s="1434"/>
      <c r="AJ115" s="1434"/>
      <c r="AK115" s="1434"/>
      <c r="AL115" s="1434"/>
      <c r="AM115" s="1434"/>
      <c r="AN115" s="1434"/>
      <c r="AO115" s="1434"/>
      <c r="AP115" s="1434"/>
      <c r="AQ115" s="1434"/>
      <c r="AR115" s="1434"/>
      <c r="AS115" s="1435"/>
      <c r="AU115" s="1687"/>
      <c r="AV115" s="1685"/>
      <c r="AW115" s="1685"/>
      <c r="AX115" s="1685"/>
      <c r="AY115" s="1685"/>
      <c r="AZ115" s="1685"/>
      <c r="BA115" s="1685"/>
      <c r="BB115" s="1685"/>
      <c r="BC115" s="1685"/>
      <c r="BD115" s="1685"/>
      <c r="BE115" s="1685"/>
      <c r="BF115" s="1685"/>
      <c r="BG115" s="1685"/>
      <c r="BH115" s="1685"/>
      <c r="BI115" s="1685"/>
      <c r="BJ115" s="1685"/>
      <c r="BK115" s="1685"/>
      <c r="BL115" s="1685"/>
      <c r="BM115" s="1685"/>
      <c r="BN115" s="1685"/>
      <c r="BO115" s="1685"/>
      <c r="BP115" s="1685"/>
      <c r="BQ115" s="1685"/>
      <c r="BR115" s="1686"/>
    </row>
    <row r="116" spans="2:70" ht="18" customHeight="1">
      <c r="B116" s="1703"/>
      <c r="C116" s="1704"/>
      <c r="D116" s="1704"/>
      <c r="E116" s="1705"/>
      <c r="F116" s="1710"/>
      <c r="G116" s="1711"/>
      <c r="H116" s="1711"/>
      <c r="I116" s="1711"/>
      <c r="J116" s="1511"/>
      <c r="K116" s="1511"/>
      <c r="L116" s="1511"/>
      <c r="M116" s="1511"/>
      <c r="N116" s="1511"/>
      <c r="O116" s="1511"/>
      <c r="P116" s="1511"/>
      <c r="Q116" s="1511"/>
      <c r="R116" s="1511"/>
      <c r="S116" s="1511"/>
      <c r="T116" s="1511"/>
      <c r="U116" s="1696"/>
      <c r="W116" s="1431"/>
      <c r="X116" s="1401"/>
      <c r="Y116" s="1401"/>
      <c r="Z116" s="1401"/>
      <c r="AA116" s="1401"/>
      <c r="AB116" s="1401"/>
      <c r="AC116" s="1401"/>
      <c r="AD116" s="1401"/>
      <c r="AE116" s="1401"/>
      <c r="AF116" s="1401"/>
      <c r="AG116" s="1401"/>
      <c r="AH116" s="1401"/>
      <c r="AI116" s="1401"/>
      <c r="AJ116" s="1401"/>
      <c r="AK116" s="1401"/>
      <c r="AL116" s="1401"/>
      <c r="AM116" s="1401"/>
      <c r="AN116" s="1401"/>
      <c r="AO116" s="1401"/>
      <c r="AP116" s="1401"/>
      <c r="AQ116" s="1401"/>
      <c r="AR116" s="1401"/>
      <c r="AS116" s="1432"/>
      <c r="AU116" s="1687"/>
      <c r="AV116" s="1685"/>
      <c r="AW116" s="1685"/>
      <c r="AX116" s="1685"/>
      <c r="AY116" s="1685"/>
      <c r="AZ116" s="1685"/>
      <c r="BA116" s="1685"/>
      <c r="BB116" s="1685"/>
      <c r="BC116" s="1685"/>
      <c r="BD116" s="1685"/>
      <c r="BE116" s="1685"/>
      <c r="BF116" s="1685"/>
      <c r="BG116" s="1685"/>
      <c r="BH116" s="1685"/>
      <c r="BI116" s="1685"/>
      <c r="BJ116" s="1685"/>
      <c r="BK116" s="1685"/>
      <c r="BL116" s="1685"/>
      <c r="BM116" s="1685"/>
      <c r="BN116" s="1685"/>
      <c r="BO116" s="1685"/>
      <c r="BP116" s="1685"/>
      <c r="BQ116" s="1685"/>
      <c r="BR116" s="1686"/>
    </row>
    <row r="117" spans="2:70" ht="18" customHeight="1">
      <c r="L117" s="328"/>
      <c r="W117" s="1433"/>
      <c r="X117" s="1434"/>
      <c r="Y117" s="1397"/>
      <c r="Z117" s="1434"/>
      <c r="AA117" s="1434"/>
      <c r="AB117" s="1434"/>
      <c r="AC117" s="1397"/>
      <c r="AD117" s="1434"/>
      <c r="AE117" s="1434"/>
      <c r="AF117" s="1434"/>
      <c r="AG117" s="1434"/>
      <c r="AH117" s="1397"/>
      <c r="AI117" s="1434"/>
      <c r="AJ117" s="1434"/>
      <c r="AK117" s="1434"/>
      <c r="AL117" s="1434"/>
      <c r="AM117" s="1434"/>
      <c r="AN117" s="1434"/>
      <c r="AO117" s="1434"/>
      <c r="AP117" s="1434"/>
      <c r="AQ117" s="1434"/>
      <c r="AR117" s="1434"/>
      <c r="AS117" s="1435"/>
      <c r="AU117" s="1687"/>
      <c r="AV117" s="1685"/>
      <c r="AW117" s="1685"/>
      <c r="AX117" s="1685"/>
      <c r="AY117" s="1685"/>
      <c r="AZ117" s="1685"/>
      <c r="BA117" s="1685"/>
      <c r="BB117" s="1685"/>
      <c r="BC117" s="1685"/>
      <c r="BD117" s="1685"/>
      <c r="BE117" s="1685"/>
      <c r="BF117" s="1685"/>
      <c r="BG117" s="1685"/>
      <c r="BH117" s="1685"/>
      <c r="BI117" s="1685"/>
      <c r="BJ117" s="1685"/>
      <c r="BK117" s="1685"/>
      <c r="BL117" s="1685"/>
      <c r="BM117" s="1685"/>
      <c r="BN117" s="1685"/>
      <c r="BO117" s="1685"/>
      <c r="BP117" s="1685"/>
      <c r="BQ117" s="1685"/>
      <c r="BR117" s="1686"/>
    </row>
    <row r="118" spans="2:70" ht="18" customHeight="1">
      <c r="B118" s="946" t="s">
        <v>242</v>
      </c>
      <c r="C118" s="947"/>
      <c r="D118" s="947"/>
      <c r="E118" s="947"/>
      <c r="F118" s="947"/>
      <c r="G118" s="947"/>
      <c r="H118" s="947"/>
      <c r="I118" s="947"/>
      <c r="J118" s="947"/>
      <c r="K118" s="947"/>
      <c r="L118" s="947"/>
      <c r="M118" s="947"/>
      <c r="N118" s="947"/>
      <c r="O118" s="947"/>
      <c r="P118" s="947"/>
      <c r="Q118" s="947"/>
      <c r="R118" s="947"/>
      <c r="S118" s="947"/>
      <c r="T118" s="947"/>
      <c r="U118" s="948"/>
      <c r="W118" s="1431"/>
      <c r="X118" s="1401"/>
      <c r="Y118" s="1401"/>
      <c r="Z118" s="1401"/>
      <c r="AA118" s="1401"/>
      <c r="AB118" s="1401"/>
      <c r="AC118" s="1401"/>
      <c r="AD118" s="1401"/>
      <c r="AE118" s="1401"/>
      <c r="AF118" s="1401"/>
      <c r="AG118" s="1401"/>
      <c r="AH118" s="1401"/>
      <c r="AI118" s="1401"/>
      <c r="AJ118" s="1401"/>
      <c r="AK118" s="1401"/>
      <c r="AL118" s="1401"/>
      <c r="AM118" s="1401"/>
      <c r="AN118" s="1401"/>
      <c r="AO118" s="1401"/>
      <c r="AP118" s="1401"/>
      <c r="AQ118" s="1401"/>
      <c r="AR118" s="1401"/>
      <c r="AS118" s="1432"/>
      <c r="AU118" s="1687"/>
      <c r="AV118" s="1685"/>
      <c r="AW118" s="1685"/>
      <c r="AX118" s="1685"/>
      <c r="AY118" s="1685"/>
      <c r="AZ118" s="1685"/>
      <c r="BA118" s="1685"/>
      <c r="BB118" s="1685"/>
      <c r="BC118" s="1685"/>
      <c r="BD118" s="1685"/>
      <c r="BE118" s="1685"/>
      <c r="BF118" s="1685"/>
      <c r="BG118" s="1685"/>
      <c r="BH118" s="1685"/>
      <c r="BI118" s="1685"/>
      <c r="BJ118" s="1685"/>
      <c r="BK118" s="1685"/>
      <c r="BL118" s="1685"/>
      <c r="BM118" s="1685"/>
      <c r="BN118" s="1685"/>
      <c r="BO118" s="1685"/>
      <c r="BP118" s="1685"/>
      <c r="BQ118" s="1685"/>
      <c r="BR118" s="1686"/>
    </row>
    <row r="119" spans="2:70" ht="18" customHeight="1">
      <c r="B119" s="1505" t="s">
        <v>243</v>
      </c>
      <c r="C119" s="1313"/>
      <c r="D119" s="1313"/>
      <c r="E119" s="1313"/>
      <c r="F119" s="1436" t="s">
        <v>244</v>
      </c>
      <c r="G119" s="1436"/>
      <c r="H119" s="1436"/>
      <c r="I119" s="1436"/>
      <c r="J119" s="1436"/>
      <c r="K119" s="1436"/>
      <c r="L119" s="1436" t="s">
        <v>245</v>
      </c>
      <c r="M119" s="1436"/>
      <c r="N119" s="1436" t="s">
        <v>246</v>
      </c>
      <c r="O119" s="1436"/>
      <c r="P119" s="1436" t="s">
        <v>247</v>
      </c>
      <c r="Q119" s="1436"/>
      <c r="R119" s="1436" t="s">
        <v>248</v>
      </c>
      <c r="S119" s="1436"/>
      <c r="T119" s="1436" t="s">
        <v>249</v>
      </c>
      <c r="U119" s="1437"/>
      <c r="W119" s="1433"/>
      <c r="X119" s="1434"/>
      <c r="Y119" s="1397"/>
      <c r="Z119" s="1434"/>
      <c r="AA119" s="1434"/>
      <c r="AB119" s="1434"/>
      <c r="AC119" s="1397"/>
      <c r="AD119" s="1434"/>
      <c r="AE119" s="1434"/>
      <c r="AF119" s="1434"/>
      <c r="AG119" s="1434"/>
      <c r="AH119" s="1397"/>
      <c r="AI119" s="1434"/>
      <c r="AJ119" s="1434"/>
      <c r="AK119" s="1434"/>
      <c r="AL119" s="1434"/>
      <c r="AM119" s="1434"/>
      <c r="AN119" s="1434"/>
      <c r="AO119" s="1434"/>
      <c r="AP119" s="1434"/>
      <c r="AQ119" s="1434"/>
      <c r="AR119" s="1434"/>
      <c r="AS119" s="1435"/>
      <c r="AU119" s="1687"/>
      <c r="AV119" s="1685"/>
      <c r="AW119" s="1685"/>
      <c r="AX119" s="1685"/>
      <c r="AY119" s="1685"/>
      <c r="AZ119" s="1685"/>
      <c r="BA119" s="1685"/>
      <c r="BB119" s="1685"/>
      <c r="BC119" s="1685"/>
      <c r="BD119" s="1685"/>
      <c r="BE119" s="1685"/>
      <c r="BF119" s="1685"/>
      <c r="BG119" s="1685"/>
      <c r="BH119" s="1685"/>
      <c r="BI119" s="1685"/>
      <c r="BJ119" s="1685"/>
      <c r="BK119" s="1685"/>
      <c r="BL119" s="1685"/>
      <c r="BM119" s="1685"/>
      <c r="BN119" s="1685"/>
      <c r="BO119" s="1685"/>
      <c r="BP119" s="1685"/>
      <c r="BQ119" s="1685"/>
      <c r="BR119" s="1686"/>
    </row>
    <row r="120" spans="2:70" ht="18" customHeight="1">
      <c r="B120" s="1505"/>
      <c r="C120" s="1313"/>
      <c r="D120" s="1313"/>
      <c r="E120" s="1313"/>
      <c r="F120" s="1313" t="s">
        <v>250</v>
      </c>
      <c r="G120" s="1313"/>
      <c r="H120" s="1313"/>
      <c r="I120" s="1313"/>
      <c r="J120" s="1313"/>
      <c r="K120" s="1313"/>
      <c r="L120" s="964" t="s">
        <v>251</v>
      </c>
      <c r="M120" s="964"/>
      <c r="N120" s="964" t="s">
        <v>252</v>
      </c>
      <c r="O120" s="964"/>
      <c r="P120" s="964" t="s">
        <v>253</v>
      </c>
      <c r="Q120" s="964"/>
      <c r="R120" s="964" t="s">
        <v>254</v>
      </c>
      <c r="S120" s="964"/>
      <c r="T120" s="1102">
        <v>1</v>
      </c>
      <c r="U120" s="1691"/>
      <c r="W120" s="1431"/>
      <c r="X120" s="1401"/>
      <c r="Y120" s="1401"/>
      <c r="Z120" s="1401"/>
      <c r="AA120" s="1401"/>
      <c r="AB120" s="1401"/>
      <c r="AC120" s="1401"/>
      <c r="AD120" s="1401"/>
      <c r="AE120" s="1401"/>
      <c r="AF120" s="1401"/>
      <c r="AG120" s="1401"/>
      <c r="AH120" s="1401"/>
      <c r="AI120" s="1401"/>
      <c r="AJ120" s="1401"/>
      <c r="AK120" s="1401"/>
      <c r="AL120" s="1401"/>
      <c r="AM120" s="1401"/>
      <c r="AN120" s="1401"/>
      <c r="AO120" s="1401"/>
      <c r="AP120" s="1401"/>
      <c r="AQ120" s="1401"/>
      <c r="AR120" s="1401"/>
      <c r="AS120" s="1432"/>
      <c r="AU120" s="1687"/>
      <c r="AV120" s="1685"/>
      <c r="AW120" s="1685"/>
      <c r="AX120" s="1685"/>
      <c r="AY120" s="1685"/>
      <c r="AZ120" s="1685"/>
      <c r="BA120" s="1685"/>
      <c r="BB120" s="1685"/>
      <c r="BC120" s="1685"/>
      <c r="BD120" s="1685"/>
      <c r="BE120" s="1685"/>
      <c r="BF120" s="1685"/>
      <c r="BG120" s="1685"/>
      <c r="BH120" s="1685"/>
      <c r="BI120" s="1685"/>
      <c r="BJ120" s="1685"/>
      <c r="BK120" s="1685"/>
      <c r="BL120" s="1685"/>
      <c r="BM120" s="1685"/>
      <c r="BN120" s="1685"/>
      <c r="BO120" s="1685"/>
      <c r="BP120" s="1685"/>
      <c r="BQ120" s="1685"/>
      <c r="BR120" s="1686"/>
    </row>
    <row r="121" spans="2:70" ht="18" customHeight="1">
      <c r="B121" s="1505"/>
      <c r="C121" s="1313"/>
      <c r="D121" s="1313"/>
      <c r="E121" s="1313"/>
      <c r="F121" s="1313"/>
      <c r="G121" s="1313"/>
      <c r="H121" s="1313"/>
      <c r="I121" s="1313"/>
      <c r="J121" s="1313"/>
      <c r="K121" s="1313"/>
      <c r="L121" s="964"/>
      <c r="M121" s="964"/>
      <c r="N121" s="964"/>
      <c r="O121" s="964"/>
      <c r="P121" s="964"/>
      <c r="Q121" s="964"/>
      <c r="R121" s="964"/>
      <c r="S121" s="964"/>
      <c r="T121" s="1102"/>
      <c r="U121" s="1691"/>
      <c r="W121" s="1433"/>
      <c r="X121" s="1434"/>
      <c r="Y121" s="1397"/>
      <c r="Z121" s="1434"/>
      <c r="AA121" s="1434"/>
      <c r="AB121" s="1434"/>
      <c r="AC121" s="1397"/>
      <c r="AD121" s="1434"/>
      <c r="AE121" s="1434"/>
      <c r="AF121" s="1434"/>
      <c r="AG121" s="1434"/>
      <c r="AH121" s="1397"/>
      <c r="AI121" s="1434"/>
      <c r="AJ121" s="1434"/>
      <c r="AK121" s="1434"/>
      <c r="AL121" s="1434"/>
      <c r="AM121" s="1434"/>
      <c r="AN121" s="1434"/>
      <c r="AO121" s="1434"/>
      <c r="AP121" s="1434"/>
      <c r="AQ121" s="1434"/>
      <c r="AR121" s="1434"/>
      <c r="AS121" s="1435"/>
      <c r="AT121" s="940"/>
      <c r="AU121" s="1687"/>
      <c r="AV121" s="1685"/>
      <c r="AW121" s="1685"/>
      <c r="AX121" s="1685"/>
      <c r="AY121" s="1685"/>
      <c r="AZ121" s="1685"/>
      <c r="BA121" s="1685"/>
      <c r="BB121" s="1685"/>
      <c r="BC121" s="1685"/>
      <c r="BD121" s="1685"/>
      <c r="BE121" s="1685"/>
      <c r="BF121" s="1685"/>
      <c r="BG121" s="1685"/>
      <c r="BH121" s="1685"/>
      <c r="BI121" s="1685"/>
      <c r="BJ121" s="1685"/>
      <c r="BK121" s="1685"/>
      <c r="BL121" s="1685"/>
      <c r="BM121" s="1685"/>
      <c r="BN121" s="1685"/>
      <c r="BO121" s="1685"/>
      <c r="BP121" s="1685"/>
      <c r="BQ121" s="1685"/>
      <c r="BR121" s="1686"/>
    </row>
    <row r="122" spans="2:70" ht="18" customHeight="1">
      <c r="B122" s="1505" t="s">
        <v>255</v>
      </c>
      <c r="C122" s="1313"/>
      <c r="D122" s="1313"/>
      <c r="E122" s="1313"/>
      <c r="F122" s="1313"/>
      <c r="G122" s="1313"/>
      <c r="H122" s="1313"/>
      <c r="I122" s="1313"/>
      <c r="J122" s="1313"/>
      <c r="K122" s="1313"/>
      <c r="L122" s="1313"/>
      <c r="M122" s="1313"/>
      <c r="N122" s="1313"/>
      <c r="O122" s="1313"/>
      <c r="P122" s="1313"/>
      <c r="Q122" s="1313"/>
      <c r="R122" s="1313"/>
      <c r="S122" s="1313"/>
      <c r="T122" s="1313"/>
      <c r="U122" s="1506"/>
      <c r="W122" s="1431"/>
      <c r="X122" s="1401"/>
      <c r="Y122" s="1401"/>
      <c r="Z122" s="1401"/>
      <c r="AA122" s="1401"/>
      <c r="AB122" s="1401"/>
      <c r="AC122" s="1401"/>
      <c r="AD122" s="1401"/>
      <c r="AE122" s="1401"/>
      <c r="AF122" s="1401"/>
      <c r="AG122" s="1401"/>
      <c r="AH122" s="1401"/>
      <c r="AI122" s="1401"/>
      <c r="AJ122" s="1401"/>
      <c r="AK122" s="1401"/>
      <c r="AL122" s="1401"/>
      <c r="AM122" s="1401"/>
      <c r="AN122" s="1401"/>
      <c r="AO122" s="1401"/>
      <c r="AP122" s="1401"/>
      <c r="AQ122" s="1401"/>
      <c r="AR122" s="1401"/>
      <c r="AS122" s="1432"/>
      <c r="AT122" s="940"/>
      <c r="AU122" s="1687"/>
      <c r="AV122" s="1685"/>
      <c r="AW122" s="1685"/>
      <c r="AX122" s="1685"/>
      <c r="AY122" s="1685"/>
      <c r="AZ122" s="1685"/>
      <c r="BA122" s="1685"/>
      <c r="BB122" s="1685"/>
      <c r="BC122" s="1685"/>
      <c r="BD122" s="1685"/>
      <c r="BE122" s="1685"/>
      <c r="BF122" s="1685"/>
      <c r="BG122" s="1685"/>
      <c r="BH122" s="1685"/>
      <c r="BI122" s="1685"/>
      <c r="BJ122" s="1685"/>
      <c r="BK122" s="1685"/>
      <c r="BL122" s="1685"/>
      <c r="BM122" s="1685"/>
      <c r="BN122" s="1685"/>
      <c r="BO122" s="1685"/>
      <c r="BP122" s="1685"/>
      <c r="BQ122" s="1685"/>
      <c r="BR122" s="1686"/>
    </row>
    <row r="123" spans="2:70" ht="18" customHeight="1">
      <c r="B123" s="1505"/>
      <c r="C123" s="1313"/>
      <c r="D123" s="1313"/>
      <c r="E123" s="1313"/>
      <c r="F123" s="1313"/>
      <c r="G123" s="1313"/>
      <c r="H123" s="1313"/>
      <c r="I123" s="1313"/>
      <c r="J123" s="1313"/>
      <c r="K123" s="1313"/>
      <c r="L123" s="1313"/>
      <c r="M123" s="1313"/>
      <c r="N123" s="1313"/>
      <c r="O123" s="1313"/>
      <c r="P123" s="1313"/>
      <c r="Q123" s="1313"/>
      <c r="R123" s="1313"/>
      <c r="S123" s="1313"/>
      <c r="T123" s="1313"/>
      <c r="U123" s="1506"/>
      <c r="W123" s="1433"/>
      <c r="X123" s="1434"/>
      <c r="Y123" s="1397"/>
      <c r="Z123" s="1434"/>
      <c r="AA123" s="1434"/>
      <c r="AB123" s="1434"/>
      <c r="AC123" s="1397"/>
      <c r="AD123" s="1434"/>
      <c r="AE123" s="1434"/>
      <c r="AF123" s="1434"/>
      <c r="AG123" s="1434"/>
      <c r="AH123" s="1397"/>
      <c r="AI123" s="1434"/>
      <c r="AJ123" s="1434"/>
      <c r="AK123" s="1434"/>
      <c r="AL123" s="1434"/>
      <c r="AM123" s="1434"/>
      <c r="AN123" s="1434"/>
      <c r="AO123" s="1434"/>
      <c r="AP123" s="1434"/>
      <c r="AQ123" s="1434"/>
      <c r="AR123" s="1434"/>
      <c r="AS123" s="1435"/>
      <c r="AU123" s="1687"/>
      <c r="AV123" s="1685"/>
      <c r="AW123" s="1685"/>
      <c r="AX123" s="1685"/>
      <c r="AY123" s="1685"/>
      <c r="AZ123" s="1685"/>
      <c r="BA123" s="1685"/>
      <c r="BB123" s="1685"/>
      <c r="BC123" s="1685"/>
      <c r="BD123" s="1685"/>
      <c r="BE123" s="1685"/>
      <c r="BF123" s="1685"/>
      <c r="BG123" s="1685"/>
      <c r="BH123" s="1685"/>
      <c r="BI123" s="1685"/>
      <c r="BJ123" s="1685"/>
      <c r="BK123" s="1685"/>
      <c r="BL123" s="1685"/>
      <c r="BM123" s="1685"/>
      <c r="BN123" s="1685"/>
      <c r="BO123" s="1685"/>
      <c r="BP123" s="1685"/>
      <c r="BQ123" s="1685"/>
      <c r="BR123" s="1686"/>
    </row>
    <row r="124" spans="2:70" ht="18" customHeight="1">
      <c r="B124" s="1438" t="s">
        <v>256</v>
      </c>
      <c r="C124" s="1436"/>
      <c r="D124" s="1436"/>
      <c r="E124" s="1436"/>
      <c r="F124" s="1436"/>
      <c r="G124" s="1436"/>
      <c r="H124" s="1436"/>
      <c r="I124" s="1436"/>
      <c r="J124" s="1436"/>
      <c r="K124" s="1436"/>
      <c r="L124" s="1436" t="s">
        <v>257</v>
      </c>
      <c r="M124" s="1436"/>
      <c r="N124" s="1436"/>
      <c r="O124" s="1436"/>
      <c r="P124" s="1436"/>
      <c r="Q124" s="1436"/>
      <c r="R124" s="1436"/>
      <c r="S124" s="1436"/>
      <c r="T124" s="1436"/>
      <c r="U124" s="1439"/>
      <c r="W124" s="1431"/>
      <c r="X124" s="1401"/>
      <c r="Y124" s="1401"/>
      <c r="Z124" s="1401"/>
      <c r="AA124" s="1401"/>
      <c r="AB124" s="1401"/>
      <c r="AC124" s="1401"/>
      <c r="AD124" s="1401"/>
      <c r="AE124" s="1401"/>
      <c r="AF124" s="1401"/>
      <c r="AG124" s="1401"/>
      <c r="AH124" s="1401"/>
      <c r="AI124" s="1401"/>
      <c r="AJ124" s="1401"/>
      <c r="AK124" s="1401"/>
      <c r="AL124" s="1401"/>
      <c r="AM124" s="1401"/>
      <c r="AN124" s="1401"/>
      <c r="AO124" s="1401"/>
      <c r="AP124" s="1401"/>
      <c r="AQ124" s="1401"/>
      <c r="AR124" s="1401"/>
      <c r="AS124" s="1432"/>
      <c r="AU124" s="1687"/>
      <c r="AV124" s="1685"/>
      <c r="AW124" s="1685"/>
      <c r="AX124" s="1685"/>
      <c r="AY124" s="1685"/>
      <c r="AZ124" s="1685"/>
      <c r="BA124" s="1685"/>
      <c r="BB124" s="1685"/>
      <c r="BC124" s="1685"/>
      <c r="BD124" s="1685"/>
      <c r="BE124" s="1685"/>
      <c r="BF124" s="1685"/>
      <c r="BG124" s="1685"/>
      <c r="BH124" s="1685"/>
      <c r="BI124" s="1685"/>
      <c r="BJ124" s="1685"/>
      <c r="BK124" s="1685"/>
      <c r="BL124" s="1685"/>
      <c r="BM124" s="1685"/>
      <c r="BN124" s="1685"/>
      <c r="BO124" s="1685"/>
      <c r="BP124" s="1685"/>
      <c r="BQ124" s="1685"/>
      <c r="BR124" s="1686"/>
    </row>
    <row r="125" spans="2:70" ht="18" customHeight="1">
      <c r="B125" s="1438" t="s">
        <v>258</v>
      </c>
      <c r="C125" s="1436"/>
      <c r="D125" s="1436" t="s">
        <v>259</v>
      </c>
      <c r="E125" s="1436"/>
      <c r="F125" s="1436"/>
      <c r="G125" s="1436"/>
      <c r="H125" s="1436"/>
      <c r="I125" s="1436"/>
      <c r="J125" s="1436"/>
      <c r="K125" s="1436"/>
      <c r="L125" s="1436"/>
      <c r="M125" s="1436"/>
      <c r="N125" s="1436"/>
      <c r="O125" s="1436"/>
      <c r="P125" s="1436"/>
      <c r="Q125" s="1436"/>
      <c r="R125" s="1436"/>
      <c r="S125" s="1436"/>
      <c r="T125" s="1436"/>
      <c r="U125" s="1439"/>
      <c r="W125" s="1433"/>
      <c r="X125" s="1434"/>
      <c r="Y125" s="1397"/>
      <c r="Z125" s="1434"/>
      <c r="AA125" s="1434"/>
      <c r="AB125" s="1434"/>
      <c r="AC125" s="1397"/>
      <c r="AD125" s="1434"/>
      <c r="AE125" s="1434"/>
      <c r="AF125" s="1434"/>
      <c r="AG125" s="1434"/>
      <c r="AH125" s="1397"/>
      <c r="AI125" s="1434"/>
      <c r="AJ125" s="1434"/>
      <c r="AK125" s="1434"/>
      <c r="AL125" s="1434"/>
      <c r="AM125" s="1434"/>
      <c r="AN125" s="1434"/>
      <c r="AO125" s="1434"/>
      <c r="AP125" s="1434"/>
      <c r="AQ125" s="1434"/>
      <c r="AR125" s="1434"/>
      <c r="AS125" s="1435"/>
      <c r="AU125" s="1687"/>
      <c r="AV125" s="1685"/>
      <c r="AW125" s="1685"/>
      <c r="AX125" s="1685"/>
      <c r="AY125" s="1685"/>
      <c r="AZ125" s="1685"/>
      <c r="BA125" s="1685"/>
      <c r="BB125" s="1685"/>
      <c r="BC125" s="1685"/>
      <c r="BD125" s="1685"/>
      <c r="BE125" s="1685"/>
      <c r="BF125" s="1685"/>
      <c r="BG125" s="1685"/>
      <c r="BH125" s="1685"/>
      <c r="BI125" s="1685"/>
      <c r="BJ125" s="1685"/>
      <c r="BK125" s="1685"/>
      <c r="BL125" s="1685"/>
      <c r="BM125" s="1685"/>
      <c r="BN125" s="1685"/>
      <c r="BO125" s="1685"/>
      <c r="BP125" s="1685"/>
      <c r="BQ125" s="1685"/>
      <c r="BR125" s="1686"/>
    </row>
    <row r="126" spans="2:70" ht="18" customHeight="1">
      <c r="B126" s="1438" t="s">
        <v>260</v>
      </c>
      <c r="C126" s="1436"/>
      <c r="D126" s="1436" t="s">
        <v>261</v>
      </c>
      <c r="E126" s="1436"/>
      <c r="F126" s="1436"/>
      <c r="G126" s="1436"/>
      <c r="H126" s="1436"/>
      <c r="I126" s="1436"/>
      <c r="J126" s="1436"/>
      <c r="K126" s="1436"/>
      <c r="L126" s="1436"/>
      <c r="M126" s="1436"/>
      <c r="N126" s="1436"/>
      <c r="O126" s="1436"/>
      <c r="P126" s="1436"/>
      <c r="Q126" s="1436"/>
      <c r="R126" s="1436"/>
      <c r="S126" s="1436"/>
      <c r="T126" s="1436"/>
      <c r="U126" s="1439"/>
      <c r="W126" s="1440"/>
      <c r="X126" s="1441"/>
      <c r="Y126" s="1441"/>
      <c r="Z126" s="1441"/>
      <c r="AA126" s="1441"/>
      <c r="AB126" s="1441"/>
      <c r="AC126" s="1441"/>
      <c r="AD126" s="1441"/>
      <c r="AE126" s="1441"/>
      <c r="AF126" s="1441"/>
      <c r="AG126" s="1441"/>
      <c r="AH126" s="1441"/>
      <c r="AI126" s="1441"/>
      <c r="AJ126" s="1441"/>
      <c r="AK126" s="1441"/>
      <c r="AL126" s="1441"/>
      <c r="AM126" s="1441"/>
      <c r="AN126" s="1441"/>
      <c r="AO126" s="1441"/>
      <c r="AP126" s="1441"/>
      <c r="AQ126" s="1441"/>
      <c r="AR126" s="1441"/>
      <c r="AS126" s="1442"/>
      <c r="AU126" s="1687"/>
      <c r="AV126" s="1685"/>
      <c r="AW126" s="1685"/>
      <c r="AX126" s="1685"/>
      <c r="AY126" s="1685"/>
      <c r="AZ126" s="1685"/>
      <c r="BA126" s="1685"/>
      <c r="BB126" s="1685"/>
      <c r="BC126" s="1685"/>
      <c r="BD126" s="1685"/>
      <c r="BE126" s="1685"/>
      <c r="BF126" s="1685"/>
      <c r="BG126" s="1685"/>
      <c r="BH126" s="1685"/>
      <c r="BI126" s="1685"/>
      <c r="BJ126" s="1685"/>
      <c r="BK126" s="1685"/>
      <c r="BL126" s="1685"/>
      <c r="BM126" s="1685"/>
      <c r="BN126" s="1685"/>
      <c r="BO126" s="1685"/>
      <c r="BP126" s="1685"/>
      <c r="BQ126" s="1685"/>
      <c r="BR126" s="1686"/>
    </row>
    <row r="127" spans="2:70" ht="18" customHeight="1">
      <c r="B127" s="1438" t="s">
        <v>262</v>
      </c>
      <c r="C127" s="1436"/>
      <c r="D127" s="1313" t="s">
        <v>263</v>
      </c>
      <c r="E127" s="1313"/>
      <c r="F127" s="1313"/>
      <c r="G127" s="1313"/>
      <c r="H127" s="1313"/>
      <c r="I127" s="1313"/>
      <c r="J127" s="1313"/>
      <c r="K127" s="1313"/>
      <c r="L127" s="1313"/>
      <c r="M127" s="1313"/>
      <c r="N127" s="1313"/>
      <c r="O127" s="1313"/>
      <c r="P127" s="1313"/>
      <c r="Q127" s="1313"/>
      <c r="R127" s="1313"/>
      <c r="S127" s="1313"/>
      <c r="T127" s="1313"/>
      <c r="U127" s="1506"/>
      <c r="Y127" s="328"/>
      <c r="AM127" s="481"/>
      <c r="AN127" s="481"/>
      <c r="AO127" s="481"/>
      <c r="AP127" s="481"/>
      <c r="AQ127" s="481"/>
      <c r="AR127" s="481"/>
      <c r="AS127" s="481"/>
      <c r="AU127" s="1688"/>
      <c r="AV127" s="1689"/>
      <c r="AW127" s="1689"/>
      <c r="AX127" s="1689"/>
      <c r="AY127" s="1689"/>
      <c r="AZ127" s="1689"/>
      <c r="BA127" s="1689"/>
      <c r="BB127" s="1689"/>
      <c r="BC127" s="1689"/>
      <c r="BD127" s="1689"/>
      <c r="BE127" s="1689"/>
      <c r="BF127" s="1689"/>
      <c r="BG127" s="1689"/>
      <c r="BH127" s="1689"/>
      <c r="BI127" s="1689"/>
      <c r="BJ127" s="1689"/>
      <c r="BK127" s="1689"/>
      <c r="BL127" s="1689"/>
      <c r="BM127" s="1689"/>
      <c r="BN127" s="1689"/>
      <c r="BO127" s="1689"/>
      <c r="BP127" s="1689"/>
      <c r="BQ127" s="1689"/>
      <c r="BR127" s="1690"/>
    </row>
    <row r="128" spans="2:70" ht="18" customHeight="1">
      <c r="B128" s="1438"/>
      <c r="C128" s="1436"/>
      <c r="D128" s="1313"/>
      <c r="E128" s="1313"/>
      <c r="F128" s="1313"/>
      <c r="G128" s="1313"/>
      <c r="H128" s="1313"/>
      <c r="I128" s="1313"/>
      <c r="J128" s="1313"/>
      <c r="K128" s="1313"/>
      <c r="L128" s="1313"/>
      <c r="M128" s="1313"/>
      <c r="N128" s="1313"/>
      <c r="O128" s="1313"/>
      <c r="P128" s="1313"/>
      <c r="Q128" s="1313"/>
      <c r="R128" s="1313"/>
      <c r="S128" s="1313"/>
      <c r="T128" s="1313"/>
      <c r="U128" s="1506"/>
      <c r="W128" s="946" t="s">
        <v>264</v>
      </c>
      <c r="X128" s="947"/>
      <c r="Y128" s="947"/>
      <c r="Z128" s="947"/>
      <c r="AA128" s="947"/>
      <c r="AB128" s="947"/>
      <c r="AC128" s="947"/>
      <c r="AD128" s="947"/>
      <c r="AE128" s="947"/>
      <c r="AF128" s="947"/>
      <c r="AG128" s="947"/>
      <c r="AH128" s="947"/>
      <c r="AI128" s="947"/>
      <c r="AJ128" s="947"/>
      <c r="AK128" s="947"/>
      <c r="AL128" s="947"/>
      <c r="AM128" s="947"/>
      <c r="AN128" s="947"/>
      <c r="AO128" s="947"/>
      <c r="AP128" s="947"/>
      <c r="AQ128" s="947"/>
      <c r="AR128" s="947"/>
      <c r="AS128" s="948"/>
      <c r="AU128" s="1443" t="s">
        <v>265</v>
      </c>
      <c r="AV128" s="1444"/>
      <c r="AW128" s="1444"/>
      <c r="AX128" s="1444"/>
      <c r="AY128" s="1444"/>
      <c r="AZ128" s="1444"/>
      <c r="BA128" s="1444"/>
      <c r="BB128" s="1444"/>
      <c r="BC128" s="1444"/>
      <c r="BD128" s="1444"/>
      <c r="BE128" s="1444"/>
      <c r="BF128" s="1444"/>
      <c r="BG128" s="1444"/>
      <c r="BH128" s="1444"/>
      <c r="BI128" s="1444"/>
      <c r="BJ128" s="1444"/>
      <c r="BK128" s="1444"/>
      <c r="BL128" s="1444"/>
      <c r="BM128" s="1444"/>
      <c r="BN128" s="1444"/>
      <c r="BO128" s="1444"/>
      <c r="BP128" s="1444"/>
      <c r="BQ128" s="1444"/>
      <c r="BR128" s="1445"/>
    </row>
    <row r="129" spans="1:70" ht="18" customHeight="1">
      <c r="B129" s="1446" t="s">
        <v>266</v>
      </c>
      <c r="C129" s="1447"/>
      <c r="D129" s="1447"/>
      <c r="E129" s="1447"/>
      <c r="F129" s="1447"/>
      <c r="G129" s="1447"/>
      <c r="H129" s="1447"/>
      <c r="I129" s="1447"/>
      <c r="J129" s="1447"/>
      <c r="K129" s="1447"/>
      <c r="L129" s="1447" t="s">
        <v>267</v>
      </c>
      <c r="M129" s="1447"/>
      <c r="N129" s="1447"/>
      <c r="O129" s="1447"/>
      <c r="P129" s="1447"/>
      <c r="Q129" s="1447"/>
      <c r="R129" s="1447"/>
      <c r="S129" s="1447"/>
      <c r="T129" s="1447"/>
      <c r="U129" s="1448"/>
      <c r="W129" s="1449" t="s">
        <v>6</v>
      </c>
      <c r="X129" s="1450"/>
      <c r="Y129" s="1450"/>
      <c r="Z129" s="1450"/>
      <c r="AA129" s="1451" t="s">
        <v>10</v>
      </c>
      <c r="AB129" s="1452"/>
      <c r="AC129" s="1452"/>
      <c r="AD129" s="1453" t="s">
        <v>268</v>
      </c>
      <c r="AE129" s="1450"/>
      <c r="AF129" s="1450"/>
      <c r="AG129" s="1450"/>
      <c r="AH129" s="1450"/>
      <c r="AI129" s="1450"/>
      <c r="AJ129" s="1450"/>
      <c r="AK129" s="1450"/>
      <c r="AL129" s="1451" t="s">
        <v>269</v>
      </c>
      <c r="AM129" s="1452"/>
      <c r="AN129" s="1452"/>
      <c r="AO129" s="1452"/>
      <c r="AP129" s="1451" t="s">
        <v>270</v>
      </c>
      <c r="AQ129" s="1452"/>
      <c r="AR129" s="1452"/>
      <c r="AS129" s="1454"/>
      <c r="AU129" s="1455" t="s">
        <v>271</v>
      </c>
      <c r="AV129" s="1456"/>
      <c r="AW129" s="1456"/>
      <c r="AX129" s="1456"/>
      <c r="AY129" s="1456"/>
      <c r="AZ129" s="1457" t="s">
        <v>272</v>
      </c>
      <c r="BA129" s="1458"/>
      <c r="BB129" s="1458"/>
      <c r="BC129" s="1458"/>
      <c r="BD129" s="1458"/>
      <c r="BE129" s="1458"/>
      <c r="BF129" s="1458"/>
      <c r="BG129" s="1459" t="str">
        <f>IF(AZ129=附表!AT29,"要搜索的年份：","")</f>
        <v>要搜索的年份：</v>
      </c>
      <c r="BH129" s="1456"/>
      <c r="BI129" s="1456"/>
      <c r="BJ129" s="1456"/>
      <c r="BK129" s="1456"/>
      <c r="BL129" s="1460">
        <v>1920</v>
      </c>
      <c r="BM129" s="1461"/>
      <c r="BN129" s="1461"/>
      <c r="BO129" s="1461"/>
      <c r="BP129" s="1461"/>
      <c r="BQ129" s="1461"/>
      <c r="BR129" s="1462"/>
    </row>
    <row r="130" spans="1:70" ht="18" customHeight="1">
      <c r="A130" s="481"/>
      <c r="B130" s="1420" t="s">
        <v>273</v>
      </c>
      <c r="C130" s="1421"/>
      <c r="D130" s="1421"/>
      <c r="E130" s="1421"/>
      <c r="F130" s="1421"/>
      <c r="G130" s="1421"/>
      <c r="H130" s="1421"/>
      <c r="I130" s="1421"/>
      <c r="J130" s="1421"/>
      <c r="K130" s="1421"/>
      <c r="L130" s="1421"/>
      <c r="M130" s="1421"/>
      <c r="N130" s="1421"/>
      <c r="O130" s="1421"/>
      <c r="P130" s="1421"/>
      <c r="Q130" s="1421"/>
      <c r="R130" s="1421"/>
      <c r="S130" s="1421"/>
      <c r="T130" s="1421"/>
      <c r="U130" s="1422"/>
      <c r="W130" s="1463" t="s">
        <v>274</v>
      </c>
      <c r="X130" s="1464"/>
      <c r="Y130" s="1464"/>
      <c r="Z130" s="1465"/>
      <c r="AA130" s="1464" t="s">
        <v>275</v>
      </c>
      <c r="AB130" s="1464"/>
      <c r="AC130" s="1464"/>
      <c r="AD130" s="1466" t="s">
        <v>276</v>
      </c>
      <c r="AE130" s="1464"/>
      <c r="AF130" s="1464"/>
      <c r="AG130" s="1464"/>
      <c r="AH130" s="1464"/>
      <c r="AI130" s="1464"/>
      <c r="AJ130" s="1464"/>
      <c r="AK130" s="1465"/>
      <c r="AL130" s="1464" t="s">
        <v>277</v>
      </c>
      <c r="AM130" s="1464"/>
      <c r="AN130" s="1464"/>
      <c r="AO130" s="1464"/>
      <c r="AP130" s="1466" t="s">
        <v>278</v>
      </c>
      <c r="AQ130" s="1464"/>
      <c r="AR130" s="1464"/>
      <c r="AS130" s="1467"/>
      <c r="AU130" s="1672" t="str">
        <f>附表!BA14</f>
        <v>广播电台
茶包</v>
      </c>
      <c r="AV130" s="1673"/>
      <c r="AW130" s="1673"/>
      <c r="AX130" s="1673"/>
      <c r="AY130" s="1673"/>
      <c r="AZ130" s="1673"/>
      <c r="BA130" s="1673"/>
      <c r="BB130" s="1673"/>
      <c r="BC130" s="1673"/>
      <c r="BD130" s="1673"/>
      <c r="BE130" s="1673"/>
      <c r="BF130" s="1673"/>
      <c r="BG130" s="1673"/>
      <c r="BH130" s="1673"/>
      <c r="BI130" s="1673"/>
      <c r="BJ130" s="1673"/>
      <c r="BK130" s="1673"/>
      <c r="BL130" s="1673"/>
      <c r="BM130" s="1673"/>
      <c r="BN130" s="1673"/>
      <c r="BO130" s="1673"/>
      <c r="BP130" s="1673"/>
      <c r="BQ130" s="1673"/>
      <c r="BR130" s="1674"/>
    </row>
    <row r="131" spans="1:70" ht="18" customHeight="1">
      <c r="A131" s="481"/>
      <c r="B131" s="1528" t="s">
        <v>279</v>
      </c>
      <c r="C131" s="1529"/>
      <c r="D131" s="1529"/>
      <c r="E131" s="1529"/>
      <c r="F131" s="1529"/>
      <c r="G131" s="1436" t="s">
        <v>244</v>
      </c>
      <c r="H131" s="1436"/>
      <c r="I131" s="1436"/>
      <c r="J131" s="1436"/>
      <c r="K131" s="1436"/>
      <c r="L131" s="1436"/>
      <c r="M131" s="1436"/>
      <c r="N131" s="964" t="s">
        <v>245</v>
      </c>
      <c r="O131" s="964"/>
      <c r="P131" s="964"/>
      <c r="Q131" s="964"/>
      <c r="R131" s="964" t="s">
        <v>246</v>
      </c>
      <c r="S131" s="964"/>
      <c r="T131" s="964"/>
      <c r="U131" s="966"/>
      <c r="W131" s="1468"/>
      <c r="X131" s="1469"/>
      <c r="Y131" s="1469"/>
      <c r="Z131" s="1470"/>
      <c r="AA131" s="1471"/>
      <c r="AB131" s="1469"/>
      <c r="AC131" s="1469"/>
      <c r="AD131" s="1472"/>
      <c r="AE131" s="1469"/>
      <c r="AF131" s="1469"/>
      <c r="AG131" s="1469"/>
      <c r="AH131" s="1469"/>
      <c r="AI131" s="1469"/>
      <c r="AJ131" s="1469"/>
      <c r="AK131" s="1470"/>
      <c r="AL131" s="1471"/>
      <c r="AM131" s="1469"/>
      <c r="AN131" s="1469"/>
      <c r="AO131" s="1469"/>
      <c r="AP131" s="1472"/>
      <c r="AQ131" s="1469"/>
      <c r="AR131" s="1469"/>
      <c r="AS131" s="1473"/>
      <c r="AU131" s="1675"/>
      <c r="AV131" s="1673"/>
      <c r="AW131" s="1673"/>
      <c r="AX131" s="1673"/>
      <c r="AY131" s="1673"/>
      <c r="AZ131" s="1673"/>
      <c r="BA131" s="1673"/>
      <c r="BB131" s="1673"/>
      <c r="BC131" s="1673"/>
      <c r="BD131" s="1673"/>
      <c r="BE131" s="1673"/>
      <c r="BF131" s="1673"/>
      <c r="BG131" s="1673"/>
      <c r="BH131" s="1673"/>
      <c r="BI131" s="1673"/>
      <c r="BJ131" s="1673"/>
      <c r="BK131" s="1673"/>
      <c r="BL131" s="1673"/>
      <c r="BM131" s="1673"/>
      <c r="BN131" s="1673"/>
      <c r="BO131" s="1673"/>
      <c r="BP131" s="1673"/>
      <c r="BQ131" s="1673"/>
      <c r="BR131" s="1674"/>
    </row>
    <row r="132" spans="1:70" ht="18" customHeight="1">
      <c r="A132" s="481"/>
      <c r="B132" s="1528"/>
      <c r="C132" s="1529"/>
      <c r="D132" s="1529"/>
      <c r="E132" s="1529"/>
      <c r="F132" s="1529"/>
      <c r="G132" s="1313" t="s">
        <v>280</v>
      </c>
      <c r="H132" s="1313"/>
      <c r="I132" s="1313"/>
      <c r="J132" s="1313"/>
      <c r="K132" s="1313"/>
      <c r="L132" s="1313"/>
      <c r="M132" s="1313"/>
      <c r="N132" s="964" t="s">
        <v>281</v>
      </c>
      <c r="O132" s="964"/>
      <c r="P132" s="964"/>
      <c r="Q132" s="964"/>
      <c r="R132" s="964" t="s">
        <v>282</v>
      </c>
      <c r="S132" s="964"/>
      <c r="T132" s="964"/>
      <c r="U132" s="966"/>
      <c r="W132" s="1474"/>
      <c r="X132" s="1475"/>
      <c r="Y132" s="1475"/>
      <c r="Z132" s="1476"/>
      <c r="AA132" s="1475"/>
      <c r="AB132" s="1475"/>
      <c r="AC132" s="1475"/>
      <c r="AD132" s="1368"/>
      <c r="AE132" s="1475"/>
      <c r="AF132" s="1475"/>
      <c r="AG132" s="1475"/>
      <c r="AH132" s="1475"/>
      <c r="AI132" s="1475"/>
      <c r="AJ132" s="1475"/>
      <c r="AK132" s="1476"/>
      <c r="AL132" s="1475"/>
      <c r="AM132" s="1475"/>
      <c r="AN132" s="1475"/>
      <c r="AO132" s="1475"/>
      <c r="AP132" s="1368"/>
      <c r="AQ132" s="1475"/>
      <c r="AR132" s="1475"/>
      <c r="AS132" s="1477"/>
      <c r="AU132" s="1675"/>
      <c r="AV132" s="1673"/>
      <c r="AW132" s="1673"/>
      <c r="AX132" s="1673"/>
      <c r="AY132" s="1673"/>
      <c r="AZ132" s="1673"/>
      <c r="BA132" s="1673"/>
      <c r="BB132" s="1673"/>
      <c r="BC132" s="1673"/>
      <c r="BD132" s="1673"/>
      <c r="BE132" s="1673"/>
      <c r="BF132" s="1673"/>
      <c r="BG132" s="1673"/>
      <c r="BH132" s="1673"/>
      <c r="BI132" s="1673"/>
      <c r="BJ132" s="1673"/>
      <c r="BK132" s="1673"/>
      <c r="BL132" s="1673"/>
      <c r="BM132" s="1673"/>
      <c r="BN132" s="1673"/>
      <c r="BO132" s="1673"/>
      <c r="BP132" s="1673"/>
      <c r="BQ132" s="1673"/>
      <c r="BR132" s="1674"/>
    </row>
    <row r="133" spans="1:70" ht="18" customHeight="1">
      <c r="A133" s="481"/>
      <c r="B133" s="1528"/>
      <c r="C133" s="1529"/>
      <c r="D133" s="1529"/>
      <c r="E133" s="1529"/>
      <c r="F133" s="1529"/>
      <c r="G133" s="1313"/>
      <c r="H133" s="1313"/>
      <c r="I133" s="1313"/>
      <c r="J133" s="1313"/>
      <c r="K133" s="1313"/>
      <c r="L133" s="1313"/>
      <c r="M133" s="1313"/>
      <c r="N133" s="964"/>
      <c r="O133" s="964"/>
      <c r="P133" s="964"/>
      <c r="Q133" s="964"/>
      <c r="R133" s="964"/>
      <c r="S133" s="964"/>
      <c r="T133" s="964"/>
      <c r="U133" s="966"/>
      <c r="W133" s="1468"/>
      <c r="X133" s="1469"/>
      <c r="Y133" s="1469"/>
      <c r="Z133" s="1470"/>
      <c r="AA133" s="1471"/>
      <c r="AB133" s="1469"/>
      <c r="AC133" s="1469"/>
      <c r="AD133" s="1472"/>
      <c r="AE133" s="1469"/>
      <c r="AF133" s="1469"/>
      <c r="AG133" s="1469"/>
      <c r="AH133" s="1469"/>
      <c r="AI133" s="1469"/>
      <c r="AJ133" s="1469"/>
      <c r="AK133" s="1470"/>
      <c r="AL133" s="1471"/>
      <c r="AM133" s="1469"/>
      <c r="AN133" s="1469"/>
      <c r="AO133" s="1469"/>
      <c r="AP133" s="1472"/>
      <c r="AQ133" s="1469"/>
      <c r="AR133" s="1469"/>
      <c r="AS133" s="1473"/>
      <c r="AU133" s="1675"/>
      <c r="AV133" s="1673"/>
      <c r="AW133" s="1673"/>
      <c r="AX133" s="1673"/>
      <c r="AY133" s="1673"/>
      <c r="AZ133" s="1673"/>
      <c r="BA133" s="1673"/>
      <c r="BB133" s="1673"/>
      <c r="BC133" s="1673"/>
      <c r="BD133" s="1673"/>
      <c r="BE133" s="1673"/>
      <c r="BF133" s="1673"/>
      <c r="BG133" s="1673"/>
      <c r="BH133" s="1673"/>
      <c r="BI133" s="1673"/>
      <c r="BJ133" s="1673"/>
      <c r="BK133" s="1673"/>
      <c r="BL133" s="1673"/>
      <c r="BM133" s="1673"/>
      <c r="BN133" s="1673"/>
      <c r="BO133" s="1673"/>
      <c r="BP133" s="1673"/>
      <c r="BQ133" s="1673"/>
      <c r="BR133" s="1674"/>
    </row>
    <row r="134" spans="1:70" ht="18" customHeight="1">
      <c r="A134" s="481"/>
      <c r="B134" s="963" t="s">
        <v>283</v>
      </c>
      <c r="C134" s="964"/>
      <c r="D134" s="964"/>
      <c r="E134" s="964"/>
      <c r="F134" s="964"/>
      <c r="G134" s="1529" t="s">
        <v>284</v>
      </c>
      <c r="H134" s="1529"/>
      <c r="I134" s="1529"/>
      <c r="J134" s="1529"/>
      <c r="K134" s="1529"/>
      <c r="L134" s="1529"/>
      <c r="M134" s="1529"/>
      <c r="N134" s="1529" t="s">
        <v>285</v>
      </c>
      <c r="O134" s="1529"/>
      <c r="P134" s="1529"/>
      <c r="Q134" s="1529"/>
      <c r="R134" s="1529" t="s">
        <v>286</v>
      </c>
      <c r="S134" s="1529"/>
      <c r="T134" s="1529"/>
      <c r="U134" s="1683"/>
      <c r="W134" s="1474"/>
      <c r="X134" s="1475"/>
      <c r="Y134" s="1475"/>
      <c r="Z134" s="1476"/>
      <c r="AA134" s="1475"/>
      <c r="AB134" s="1475"/>
      <c r="AC134" s="1475"/>
      <c r="AD134" s="1368"/>
      <c r="AE134" s="1475"/>
      <c r="AF134" s="1475"/>
      <c r="AG134" s="1475"/>
      <c r="AH134" s="1475"/>
      <c r="AI134" s="1475"/>
      <c r="AJ134" s="1475"/>
      <c r="AK134" s="1476"/>
      <c r="AL134" s="1475"/>
      <c r="AM134" s="1475"/>
      <c r="AN134" s="1475"/>
      <c r="AO134" s="1475"/>
      <c r="AP134" s="1368"/>
      <c r="AQ134" s="1475"/>
      <c r="AR134" s="1475"/>
      <c r="AS134" s="1477"/>
      <c r="AU134" s="1675"/>
      <c r="AV134" s="1673"/>
      <c r="AW134" s="1673"/>
      <c r="AX134" s="1673"/>
      <c r="AY134" s="1673"/>
      <c r="AZ134" s="1673"/>
      <c r="BA134" s="1673"/>
      <c r="BB134" s="1673"/>
      <c r="BC134" s="1673"/>
      <c r="BD134" s="1673"/>
      <c r="BE134" s="1673"/>
      <c r="BF134" s="1673"/>
      <c r="BG134" s="1673"/>
      <c r="BH134" s="1673"/>
      <c r="BI134" s="1673"/>
      <c r="BJ134" s="1673"/>
      <c r="BK134" s="1673"/>
      <c r="BL134" s="1673"/>
      <c r="BM134" s="1673"/>
      <c r="BN134" s="1673"/>
      <c r="BO134" s="1673"/>
      <c r="BP134" s="1673"/>
      <c r="BQ134" s="1673"/>
      <c r="BR134" s="1674"/>
    </row>
    <row r="135" spans="1:70" ht="18" customHeight="1">
      <c r="A135" s="481"/>
      <c r="B135" s="963"/>
      <c r="C135" s="964"/>
      <c r="D135" s="964"/>
      <c r="E135" s="964"/>
      <c r="F135" s="964"/>
      <c r="G135" s="1529"/>
      <c r="H135" s="1529"/>
      <c r="I135" s="1529"/>
      <c r="J135" s="1529"/>
      <c r="K135" s="1529"/>
      <c r="L135" s="1529"/>
      <c r="M135" s="1529"/>
      <c r="N135" s="1529"/>
      <c r="O135" s="1529"/>
      <c r="P135" s="1529"/>
      <c r="Q135" s="1529"/>
      <c r="R135" s="1529"/>
      <c r="S135" s="1529"/>
      <c r="T135" s="1529"/>
      <c r="U135" s="1683"/>
      <c r="W135" s="1468"/>
      <c r="X135" s="1469"/>
      <c r="Y135" s="1469"/>
      <c r="Z135" s="1470"/>
      <c r="AA135" s="1471"/>
      <c r="AB135" s="1469"/>
      <c r="AC135" s="1469"/>
      <c r="AD135" s="1472"/>
      <c r="AE135" s="1469"/>
      <c r="AF135" s="1469"/>
      <c r="AG135" s="1469"/>
      <c r="AH135" s="1469"/>
      <c r="AI135" s="1469"/>
      <c r="AJ135" s="1469"/>
      <c r="AK135" s="1470"/>
      <c r="AL135" s="1471"/>
      <c r="AM135" s="1469"/>
      <c r="AN135" s="1469"/>
      <c r="AO135" s="1469"/>
      <c r="AP135" s="1472"/>
      <c r="AQ135" s="1469"/>
      <c r="AR135" s="1469"/>
      <c r="AS135" s="1473"/>
      <c r="AU135" s="1675"/>
      <c r="AV135" s="1673"/>
      <c r="AW135" s="1673"/>
      <c r="AX135" s="1673"/>
      <c r="AY135" s="1673"/>
      <c r="AZ135" s="1673"/>
      <c r="BA135" s="1673"/>
      <c r="BB135" s="1673"/>
      <c r="BC135" s="1673"/>
      <c r="BD135" s="1673"/>
      <c r="BE135" s="1673"/>
      <c r="BF135" s="1673"/>
      <c r="BG135" s="1673"/>
      <c r="BH135" s="1673"/>
      <c r="BI135" s="1673"/>
      <c r="BJ135" s="1673"/>
      <c r="BK135" s="1673"/>
      <c r="BL135" s="1673"/>
      <c r="BM135" s="1673"/>
      <c r="BN135" s="1673"/>
      <c r="BO135" s="1673"/>
      <c r="BP135" s="1673"/>
      <c r="BQ135" s="1673"/>
      <c r="BR135" s="1674"/>
    </row>
    <row r="136" spans="1:70" ht="18" customHeight="1">
      <c r="A136" s="481"/>
      <c r="B136" s="1478" t="s">
        <v>287</v>
      </c>
      <c r="C136" s="1180"/>
      <c r="D136" s="1180"/>
      <c r="E136" s="1180" t="s">
        <v>288</v>
      </c>
      <c r="F136" s="1180"/>
      <c r="G136" s="1180"/>
      <c r="H136" s="1180"/>
      <c r="I136" s="1180"/>
      <c r="J136" s="1180"/>
      <c r="K136" s="1180"/>
      <c r="L136" s="1180"/>
      <c r="M136" s="1180"/>
      <c r="N136" s="1180"/>
      <c r="O136" s="1180"/>
      <c r="P136" s="1180"/>
      <c r="Q136" s="1180"/>
      <c r="R136" s="1180"/>
      <c r="S136" s="1180"/>
      <c r="T136" s="1180"/>
      <c r="U136" s="1479"/>
      <c r="W136" s="1366"/>
      <c r="X136" s="1367"/>
      <c r="Y136" s="1367"/>
      <c r="Z136" s="1367"/>
      <c r="AA136" s="1476"/>
      <c r="AB136" s="1367"/>
      <c r="AC136" s="1368"/>
      <c r="AD136" s="1367"/>
      <c r="AE136" s="1367"/>
      <c r="AF136" s="1367"/>
      <c r="AG136" s="1367"/>
      <c r="AH136" s="1367"/>
      <c r="AI136" s="1367"/>
      <c r="AJ136" s="1367"/>
      <c r="AK136" s="1367"/>
      <c r="AL136" s="1476"/>
      <c r="AM136" s="1367"/>
      <c r="AN136" s="1367"/>
      <c r="AO136" s="1368"/>
      <c r="AP136" s="1367"/>
      <c r="AQ136" s="1367"/>
      <c r="AR136" s="1367"/>
      <c r="AS136" s="1369"/>
      <c r="AU136" s="1675"/>
      <c r="AV136" s="1673"/>
      <c r="AW136" s="1673"/>
      <c r="AX136" s="1673"/>
      <c r="AY136" s="1673"/>
      <c r="AZ136" s="1673"/>
      <c r="BA136" s="1673"/>
      <c r="BB136" s="1673"/>
      <c r="BC136" s="1673"/>
      <c r="BD136" s="1673"/>
      <c r="BE136" s="1673"/>
      <c r="BF136" s="1673"/>
      <c r="BG136" s="1673"/>
      <c r="BH136" s="1673"/>
      <c r="BI136" s="1673"/>
      <c r="BJ136" s="1673"/>
      <c r="BK136" s="1673"/>
      <c r="BL136" s="1673"/>
      <c r="BM136" s="1673"/>
      <c r="BN136" s="1673"/>
      <c r="BO136" s="1673"/>
      <c r="BP136" s="1673"/>
      <c r="BQ136" s="1673"/>
      <c r="BR136" s="1674"/>
    </row>
    <row r="137" spans="1:70" ht="18" customHeight="1">
      <c r="A137" s="481"/>
      <c r="B137" s="1478" t="s">
        <v>289</v>
      </c>
      <c r="C137" s="1180"/>
      <c r="D137" s="1180"/>
      <c r="E137" s="1180" t="s">
        <v>290</v>
      </c>
      <c r="F137" s="1180"/>
      <c r="G137" s="1180"/>
      <c r="H137" s="1180"/>
      <c r="I137" s="1180"/>
      <c r="J137" s="1180"/>
      <c r="K137" s="1180"/>
      <c r="L137" s="1180"/>
      <c r="M137" s="1180"/>
      <c r="N137" s="1180"/>
      <c r="O137" s="1180"/>
      <c r="P137" s="1180"/>
      <c r="Q137" s="1180"/>
      <c r="R137" s="1180"/>
      <c r="S137" s="1180"/>
      <c r="T137" s="1180"/>
      <c r="U137" s="1479"/>
      <c r="W137" s="1380"/>
      <c r="X137" s="1381"/>
      <c r="Y137" s="1381"/>
      <c r="Z137" s="1381"/>
      <c r="AA137" s="1480"/>
      <c r="AB137" s="1381"/>
      <c r="AC137" s="1382"/>
      <c r="AD137" s="1383"/>
      <c r="AE137" s="1381"/>
      <c r="AF137" s="1381"/>
      <c r="AG137" s="1381"/>
      <c r="AH137" s="1381"/>
      <c r="AI137" s="1381"/>
      <c r="AJ137" s="1381"/>
      <c r="AK137" s="1381"/>
      <c r="AL137" s="1480"/>
      <c r="AM137" s="1381"/>
      <c r="AN137" s="1381"/>
      <c r="AO137" s="1382"/>
      <c r="AP137" s="1383"/>
      <c r="AQ137" s="1381"/>
      <c r="AR137" s="1381"/>
      <c r="AS137" s="1384"/>
      <c r="AU137" s="1675"/>
      <c r="AV137" s="1673"/>
      <c r="AW137" s="1673"/>
      <c r="AX137" s="1673"/>
      <c r="AY137" s="1673"/>
      <c r="AZ137" s="1673"/>
      <c r="BA137" s="1673"/>
      <c r="BB137" s="1673"/>
      <c r="BC137" s="1673"/>
      <c r="BD137" s="1673"/>
      <c r="BE137" s="1673"/>
      <c r="BF137" s="1673"/>
      <c r="BG137" s="1673"/>
      <c r="BH137" s="1673"/>
      <c r="BI137" s="1673"/>
      <c r="BJ137" s="1673"/>
      <c r="BK137" s="1673"/>
      <c r="BL137" s="1673"/>
      <c r="BM137" s="1673"/>
      <c r="BN137" s="1673"/>
      <c r="BO137" s="1673"/>
      <c r="BP137" s="1673"/>
      <c r="BQ137" s="1673"/>
      <c r="BR137" s="1674"/>
    </row>
    <row r="138" spans="1:70" ht="18" customHeight="1">
      <c r="A138" s="481"/>
      <c r="B138" s="1478" t="s">
        <v>291</v>
      </c>
      <c r="C138" s="1180"/>
      <c r="D138" s="1180"/>
      <c r="E138" s="1180" t="s">
        <v>292</v>
      </c>
      <c r="F138" s="1180"/>
      <c r="G138" s="1180"/>
      <c r="H138" s="1180"/>
      <c r="I138" s="1180"/>
      <c r="J138" s="1180"/>
      <c r="K138" s="1180"/>
      <c r="L138" s="1180"/>
      <c r="M138" s="1180"/>
      <c r="N138" s="1180"/>
      <c r="O138" s="1180"/>
      <c r="P138" s="1180"/>
      <c r="Q138" s="1180"/>
      <c r="R138" s="1180"/>
      <c r="S138" s="1180"/>
      <c r="T138" s="1180"/>
      <c r="U138" s="1479"/>
      <c r="W138" s="1366"/>
      <c r="X138" s="1367"/>
      <c r="Y138" s="1367"/>
      <c r="Z138" s="1367"/>
      <c r="AA138" s="1476"/>
      <c r="AB138" s="1367"/>
      <c r="AC138" s="1368"/>
      <c r="AD138" s="1367"/>
      <c r="AE138" s="1367"/>
      <c r="AF138" s="1367"/>
      <c r="AG138" s="1367"/>
      <c r="AH138" s="1367"/>
      <c r="AI138" s="1367"/>
      <c r="AJ138" s="1367"/>
      <c r="AK138" s="1367"/>
      <c r="AL138" s="1476"/>
      <c r="AM138" s="1367"/>
      <c r="AN138" s="1367"/>
      <c r="AO138" s="1368"/>
      <c r="AP138" s="1367"/>
      <c r="AQ138" s="1367"/>
      <c r="AR138" s="1367"/>
      <c r="AS138" s="1369"/>
      <c r="AU138" s="1675"/>
      <c r="AV138" s="1673"/>
      <c r="AW138" s="1673"/>
      <c r="AX138" s="1673"/>
      <c r="AY138" s="1673"/>
      <c r="AZ138" s="1673"/>
      <c r="BA138" s="1673"/>
      <c r="BB138" s="1673"/>
      <c r="BC138" s="1673"/>
      <c r="BD138" s="1673"/>
      <c r="BE138" s="1673"/>
      <c r="BF138" s="1673"/>
      <c r="BG138" s="1673"/>
      <c r="BH138" s="1673"/>
      <c r="BI138" s="1673"/>
      <c r="BJ138" s="1673"/>
      <c r="BK138" s="1673"/>
      <c r="BL138" s="1673"/>
      <c r="BM138" s="1673"/>
      <c r="BN138" s="1673"/>
      <c r="BO138" s="1673"/>
      <c r="BP138" s="1673"/>
      <c r="BQ138" s="1673"/>
      <c r="BR138" s="1674"/>
    </row>
    <row r="139" spans="1:70" ht="18" customHeight="1">
      <c r="A139" s="481"/>
      <c r="B139" s="963" t="s">
        <v>293</v>
      </c>
      <c r="C139" s="964"/>
      <c r="D139" s="964"/>
      <c r="E139" s="964"/>
      <c r="F139" s="964"/>
      <c r="G139" s="964"/>
      <c r="H139" s="964" t="s">
        <v>289</v>
      </c>
      <c r="I139" s="964"/>
      <c r="J139" s="964"/>
      <c r="K139" s="964"/>
      <c r="L139" s="964"/>
      <c r="M139" s="964" t="s">
        <v>291</v>
      </c>
      <c r="N139" s="964"/>
      <c r="O139" s="964"/>
      <c r="P139" s="964"/>
      <c r="Q139" s="967" t="s">
        <v>294</v>
      </c>
      <c r="R139" s="1094"/>
      <c r="S139" s="1481">
        <v>1</v>
      </c>
      <c r="T139" s="1482"/>
      <c r="U139" s="1483"/>
      <c r="W139" s="1380"/>
      <c r="X139" s="1381"/>
      <c r="Y139" s="1381"/>
      <c r="Z139" s="1381"/>
      <c r="AA139" s="1480"/>
      <c r="AB139" s="1381"/>
      <c r="AC139" s="1382"/>
      <c r="AD139" s="1383"/>
      <c r="AE139" s="1381"/>
      <c r="AF139" s="1381"/>
      <c r="AG139" s="1381"/>
      <c r="AH139" s="1381"/>
      <c r="AI139" s="1381"/>
      <c r="AJ139" s="1381"/>
      <c r="AK139" s="1381"/>
      <c r="AL139" s="1480"/>
      <c r="AM139" s="1381"/>
      <c r="AN139" s="1381"/>
      <c r="AO139" s="1382"/>
      <c r="AP139" s="1383"/>
      <c r="AQ139" s="1381"/>
      <c r="AR139" s="1381"/>
      <c r="AS139" s="1384"/>
      <c r="AU139" s="1675"/>
      <c r="AV139" s="1673"/>
      <c r="AW139" s="1673"/>
      <c r="AX139" s="1673"/>
      <c r="AY139" s="1673"/>
      <c r="AZ139" s="1673"/>
      <c r="BA139" s="1673"/>
      <c r="BB139" s="1673"/>
      <c r="BC139" s="1673"/>
      <c r="BD139" s="1673"/>
      <c r="BE139" s="1673"/>
      <c r="BF139" s="1673"/>
      <c r="BG139" s="1673"/>
      <c r="BH139" s="1673"/>
      <c r="BI139" s="1673"/>
      <c r="BJ139" s="1673"/>
      <c r="BK139" s="1673"/>
      <c r="BL139" s="1673"/>
      <c r="BM139" s="1673"/>
      <c r="BN139" s="1673"/>
      <c r="BO139" s="1673"/>
      <c r="BP139" s="1673"/>
      <c r="BQ139" s="1673"/>
      <c r="BR139" s="1674"/>
    </row>
    <row r="140" spans="1:70" ht="18" customHeight="1">
      <c r="A140" s="481"/>
      <c r="B140" s="1682" t="s">
        <v>295</v>
      </c>
      <c r="C140" s="1677"/>
      <c r="D140" s="1677"/>
      <c r="E140" s="1677"/>
      <c r="F140" s="1677"/>
      <c r="G140" s="1677"/>
      <c r="H140" s="1677" t="s">
        <v>296</v>
      </c>
      <c r="I140" s="1677"/>
      <c r="J140" s="1677"/>
      <c r="K140" s="1677"/>
      <c r="L140" s="1677"/>
      <c r="M140" s="1677" t="s">
        <v>297</v>
      </c>
      <c r="N140" s="1677"/>
      <c r="O140" s="1677"/>
      <c r="P140" s="1677"/>
      <c r="Q140" s="1484" t="s">
        <v>298</v>
      </c>
      <c r="R140" s="1485"/>
      <c r="S140" s="1485"/>
      <c r="T140" s="1485"/>
      <c r="U140" s="1486"/>
      <c r="W140" s="1366"/>
      <c r="X140" s="1367"/>
      <c r="Y140" s="1367"/>
      <c r="Z140" s="1367"/>
      <c r="AA140" s="1476"/>
      <c r="AB140" s="1367"/>
      <c r="AC140" s="1368"/>
      <c r="AD140" s="1367"/>
      <c r="AE140" s="1367"/>
      <c r="AF140" s="1367"/>
      <c r="AG140" s="1367"/>
      <c r="AH140" s="1367"/>
      <c r="AI140" s="1367"/>
      <c r="AJ140" s="1367"/>
      <c r="AK140" s="1367"/>
      <c r="AL140" s="1476"/>
      <c r="AM140" s="1367"/>
      <c r="AN140" s="1367"/>
      <c r="AO140" s="1368"/>
      <c r="AP140" s="1367"/>
      <c r="AQ140" s="1367"/>
      <c r="AR140" s="1367"/>
      <c r="AS140" s="1369"/>
      <c r="AU140" s="1675"/>
      <c r="AV140" s="1673"/>
      <c r="AW140" s="1673"/>
      <c r="AX140" s="1673"/>
      <c r="AY140" s="1673"/>
      <c r="AZ140" s="1673"/>
      <c r="BA140" s="1673"/>
      <c r="BB140" s="1673"/>
      <c r="BC140" s="1673"/>
      <c r="BD140" s="1673"/>
      <c r="BE140" s="1673"/>
      <c r="BF140" s="1673"/>
      <c r="BG140" s="1673"/>
      <c r="BH140" s="1673"/>
      <c r="BI140" s="1673"/>
      <c r="BJ140" s="1673"/>
      <c r="BK140" s="1673"/>
      <c r="BL140" s="1673"/>
      <c r="BM140" s="1673"/>
      <c r="BN140" s="1673"/>
      <c r="BO140" s="1673"/>
      <c r="BP140" s="1673"/>
      <c r="BQ140" s="1673"/>
      <c r="BR140" s="1674"/>
    </row>
    <row r="141" spans="1:70" ht="18" customHeight="1">
      <c r="A141" s="481"/>
      <c r="B141" s="1682"/>
      <c r="C141" s="1677"/>
      <c r="D141" s="1677"/>
      <c r="E141" s="1677"/>
      <c r="F141" s="1677"/>
      <c r="G141" s="1677"/>
      <c r="H141" s="1677"/>
      <c r="I141" s="1677"/>
      <c r="J141" s="1677"/>
      <c r="K141" s="1677"/>
      <c r="L141" s="1677"/>
      <c r="M141" s="1677"/>
      <c r="N141" s="1677"/>
      <c r="O141" s="1677"/>
      <c r="P141" s="1677"/>
      <c r="Q141" s="1679" t="str">
        <f>IF(S139=1,"失忆",IF(S139=2,"假性残疾",IF(S139=3,"暴力倾向",IF(S139=4,"偏执",IF(S139=5,"人际依赖",IF(S139=6,"昏厥",IF(S139=7,"逃避行为",IF(S139=8,"歇斯底里",IF(S139=9,"恐惧",IF(S139=10,"躁狂",))))))))))</f>
        <v>失忆</v>
      </c>
      <c r="R141" s="1680"/>
      <c r="S141" s="1680"/>
      <c r="T141" s="1680"/>
      <c r="U141" s="1681"/>
      <c r="W141" s="1380"/>
      <c r="X141" s="1381"/>
      <c r="Y141" s="1381"/>
      <c r="Z141" s="1381"/>
      <c r="AA141" s="1480"/>
      <c r="AB141" s="1381"/>
      <c r="AC141" s="1382"/>
      <c r="AD141" s="1383"/>
      <c r="AE141" s="1381"/>
      <c r="AF141" s="1381"/>
      <c r="AG141" s="1381"/>
      <c r="AH141" s="1381"/>
      <c r="AI141" s="1381"/>
      <c r="AJ141" s="1381"/>
      <c r="AK141" s="1381"/>
      <c r="AL141" s="1480"/>
      <c r="AM141" s="1381"/>
      <c r="AN141" s="1381"/>
      <c r="AO141" s="1382"/>
      <c r="AP141" s="1383"/>
      <c r="AQ141" s="1381"/>
      <c r="AR141" s="1381"/>
      <c r="AS141" s="1384"/>
      <c r="AU141" s="1675"/>
      <c r="AV141" s="1673"/>
      <c r="AW141" s="1673"/>
      <c r="AX141" s="1673"/>
      <c r="AY141" s="1673"/>
      <c r="AZ141" s="1673"/>
      <c r="BA141" s="1673"/>
      <c r="BB141" s="1673"/>
      <c r="BC141" s="1673"/>
      <c r="BD141" s="1673"/>
      <c r="BE141" s="1673"/>
      <c r="BF141" s="1673"/>
      <c r="BG141" s="1673"/>
      <c r="BH141" s="1673"/>
      <c r="BI141" s="1673"/>
      <c r="BJ141" s="1673"/>
      <c r="BK141" s="1673"/>
      <c r="BL141" s="1673"/>
      <c r="BM141" s="1673"/>
      <c r="BN141" s="1673"/>
      <c r="BO141" s="1673"/>
      <c r="BP141" s="1673"/>
      <c r="BQ141" s="1673"/>
      <c r="BR141" s="1674"/>
    </row>
    <row r="142" spans="1:70" ht="18" customHeight="1">
      <c r="A142" s="481"/>
      <c r="B142" s="1682"/>
      <c r="C142" s="1677"/>
      <c r="D142" s="1677"/>
      <c r="E142" s="1677"/>
      <c r="F142" s="1677"/>
      <c r="G142" s="1677"/>
      <c r="H142" s="1677"/>
      <c r="I142" s="1677"/>
      <c r="J142" s="1677"/>
      <c r="K142" s="1677"/>
      <c r="L142" s="1677"/>
      <c r="M142" s="1677"/>
      <c r="N142" s="1677"/>
      <c r="O142" s="1677"/>
      <c r="P142" s="1677"/>
      <c r="Q142" s="1680"/>
      <c r="R142" s="1680"/>
      <c r="S142" s="1680"/>
      <c r="T142" s="1680"/>
      <c r="U142" s="1681"/>
      <c r="W142" s="1366"/>
      <c r="X142" s="1367"/>
      <c r="Y142" s="1367"/>
      <c r="Z142" s="1367"/>
      <c r="AA142" s="1476"/>
      <c r="AB142" s="1367"/>
      <c r="AC142" s="1368"/>
      <c r="AD142" s="1367"/>
      <c r="AE142" s="1367"/>
      <c r="AF142" s="1367"/>
      <c r="AG142" s="1367"/>
      <c r="AH142" s="1367"/>
      <c r="AI142" s="1367"/>
      <c r="AJ142" s="1367"/>
      <c r="AK142" s="1367"/>
      <c r="AL142" s="1476"/>
      <c r="AM142" s="1367"/>
      <c r="AN142" s="1367"/>
      <c r="AO142" s="1368"/>
      <c r="AP142" s="1367"/>
      <c r="AQ142" s="1367"/>
      <c r="AR142" s="1367"/>
      <c r="AS142" s="1369"/>
      <c r="AU142" s="1675"/>
      <c r="AV142" s="1673"/>
      <c r="AW142" s="1673"/>
      <c r="AX142" s="1673"/>
      <c r="AY142" s="1673"/>
      <c r="AZ142" s="1673"/>
      <c r="BA142" s="1673"/>
      <c r="BB142" s="1673"/>
      <c r="BC142" s="1673"/>
      <c r="BD142" s="1673"/>
      <c r="BE142" s="1673"/>
      <c r="BF142" s="1673"/>
      <c r="BG142" s="1673"/>
      <c r="BH142" s="1673"/>
      <c r="BI142" s="1673"/>
      <c r="BJ142" s="1673"/>
      <c r="BK142" s="1673"/>
      <c r="BL142" s="1673"/>
      <c r="BM142" s="1673"/>
      <c r="BN142" s="1673"/>
      <c r="BO142" s="1673"/>
      <c r="BP142" s="1673"/>
      <c r="BQ142" s="1673"/>
      <c r="BR142" s="1674"/>
    </row>
    <row r="143" spans="1:70" ht="18" customHeight="1">
      <c r="A143" s="481"/>
      <c r="B143" s="1682"/>
      <c r="C143" s="1677"/>
      <c r="D143" s="1677"/>
      <c r="E143" s="1677"/>
      <c r="F143" s="1677"/>
      <c r="G143" s="1677"/>
      <c r="H143" s="1677"/>
      <c r="I143" s="1677"/>
      <c r="J143" s="1677"/>
      <c r="K143" s="1677"/>
      <c r="L143" s="1677"/>
      <c r="M143" s="1677"/>
      <c r="N143" s="1677"/>
      <c r="O143" s="1677"/>
      <c r="P143" s="1677"/>
      <c r="Q143" s="1680"/>
      <c r="R143" s="1680"/>
      <c r="S143" s="1680"/>
      <c r="T143" s="1680"/>
      <c r="U143" s="1681"/>
      <c r="W143" s="1380"/>
      <c r="X143" s="1381"/>
      <c r="Y143" s="1381"/>
      <c r="Z143" s="1381"/>
      <c r="AA143" s="1480"/>
      <c r="AB143" s="1381"/>
      <c r="AC143" s="1382"/>
      <c r="AD143" s="1383"/>
      <c r="AE143" s="1381"/>
      <c r="AF143" s="1381"/>
      <c r="AG143" s="1381"/>
      <c r="AH143" s="1381"/>
      <c r="AI143" s="1381"/>
      <c r="AJ143" s="1381"/>
      <c r="AK143" s="1381"/>
      <c r="AL143" s="1480"/>
      <c r="AM143" s="1381"/>
      <c r="AN143" s="1381"/>
      <c r="AO143" s="1382"/>
      <c r="AP143" s="1383"/>
      <c r="AQ143" s="1381"/>
      <c r="AR143" s="1381"/>
      <c r="AS143" s="1384"/>
      <c r="AU143" s="1303" t="s">
        <v>299</v>
      </c>
      <c r="AV143" s="1017"/>
      <c r="AW143" s="1017"/>
      <c r="AX143" s="1017"/>
      <c r="AY143" s="1017"/>
      <c r="AZ143" s="1017"/>
      <c r="BA143" s="1017"/>
      <c r="BB143" s="1017"/>
      <c r="BC143" s="1016" t="s">
        <v>300</v>
      </c>
      <c r="BD143" s="1017"/>
      <c r="BE143" s="1017"/>
      <c r="BF143" s="1017"/>
      <c r="BG143" s="1017"/>
      <c r="BH143" s="1017"/>
      <c r="BI143" s="1017"/>
      <c r="BJ143" s="1017"/>
      <c r="BK143" s="1016" t="s">
        <v>301</v>
      </c>
      <c r="BL143" s="1017"/>
      <c r="BM143" s="1017"/>
      <c r="BN143" s="1017"/>
      <c r="BO143" s="1017"/>
      <c r="BP143" s="1017"/>
      <c r="BQ143" s="1017"/>
      <c r="BR143" s="1018"/>
    </row>
    <row r="144" spans="1:70" ht="18" customHeight="1">
      <c r="B144" s="1487" t="s">
        <v>302</v>
      </c>
      <c r="C144" s="995"/>
      <c r="D144" s="995"/>
      <c r="E144" s="995"/>
      <c r="F144" s="995"/>
      <c r="G144" s="995"/>
      <c r="H144" s="995"/>
      <c r="I144" s="995"/>
      <c r="J144" s="995"/>
      <c r="K144" s="995"/>
      <c r="L144" s="995"/>
      <c r="M144" s="995"/>
      <c r="N144" s="995"/>
      <c r="O144" s="995"/>
      <c r="P144" s="995"/>
      <c r="Q144" s="995"/>
      <c r="R144" s="995"/>
      <c r="S144" s="995"/>
      <c r="T144" s="995"/>
      <c r="U144" s="1488"/>
      <c r="W144" s="1489"/>
      <c r="X144" s="1490"/>
      <c r="Y144" s="1490"/>
      <c r="Z144" s="1490"/>
      <c r="AA144" s="1491"/>
      <c r="AB144" s="1490"/>
      <c r="AC144" s="1492"/>
      <c r="AD144" s="1490"/>
      <c r="AE144" s="1490"/>
      <c r="AF144" s="1490"/>
      <c r="AG144" s="1490"/>
      <c r="AH144" s="1490"/>
      <c r="AI144" s="1490"/>
      <c r="AJ144" s="1490"/>
      <c r="AK144" s="1490"/>
      <c r="AL144" s="1491"/>
      <c r="AM144" s="1490"/>
      <c r="AN144" s="1490"/>
      <c r="AO144" s="1492"/>
      <c r="AP144" s="1490"/>
      <c r="AQ144" s="1490"/>
      <c r="AR144" s="1490"/>
      <c r="AS144" s="1493"/>
      <c r="AU144" s="1494" t="s">
        <v>303</v>
      </c>
      <c r="AV144" s="1495"/>
      <c r="AW144" s="1495"/>
      <c r="AX144" s="1495"/>
      <c r="AY144" s="1495"/>
      <c r="AZ144" s="1495"/>
      <c r="BA144" s="1495"/>
      <c r="BB144" s="1495"/>
      <c r="BC144" s="1496" t="s">
        <v>303</v>
      </c>
      <c r="BD144" s="1495"/>
      <c r="BE144" s="1495"/>
      <c r="BF144" s="1495"/>
      <c r="BG144" s="1495"/>
      <c r="BH144" s="1495"/>
      <c r="BI144" s="1495"/>
      <c r="BJ144" s="1495"/>
      <c r="BK144" s="1496" t="s">
        <v>303</v>
      </c>
      <c r="BL144" s="1495"/>
      <c r="BM144" s="1495"/>
      <c r="BN144" s="1495"/>
      <c r="BO144" s="1495"/>
      <c r="BP144" s="1495"/>
      <c r="BQ144" s="1495"/>
      <c r="BR144" s="1497"/>
    </row>
    <row r="145" spans="2:70" ht="18" customHeight="1">
      <c r="B145" s="1498" t="s">
        <v>304</v>
      </c>
      <c r="C145" s="1498"/>
      <c r="D145" s="1498"/>
      <c r="E145" s="1498"/>
      <c r="F145" s="1498"/>
      <c r="G145" s="1498"/>
      <c r="H145" s="1498"/>
      <c r="I145" s="1498"/>
      <c r="J145" s="1498"/>
      <c r="K145" s="1498"/>
      <c r="L145" s="1499" t="s">
        <v>305</v>
      </c>
      <c r="M145" s="1499"/>
      <c r="N145" s="1499"/>
      <c r="O145" s="1499"/>
      <c r="P145" s="1499"/>
      <c r="Q145" s="1499"/>
      <c r="R145" s="1499"/>
      <c r="S145" s="1499"/>
      <c r="T145" s="1499"/>
      <c r="U145" s="1499"/>
      <c r="AI145" s="943"/>
      <c r="AJ145" s="943"/>
      <c r="AK145" s="943"/>
      <c r="AL145" s="943"/>
      <c r="AM145" s="943"/>
      <c r="AN145" s="943"/>
      <c r="AO145" s="943"/>
      <c r="AP145" s="943"/>
      <c r="AU145" s="1500" t="s">
        <v>306</v>
      </c>
      <c r="AV145" s="1500"/>
      <c r="AW145" s="1500"/>
      <c r="AX145" s="1500"/>
      <c r="AY145" s="1500"/>
      <c r="AZ145" s="1500"/>
      <c r="BA145" s="1500"/>
      <c r="BB145" s="1500"/>
      <c r="BC145" s="1500"/>
      <c r="BD145" s="1500"/>
      <c r="BE145" s="1500"/>
      <c r="BF145" s="1500"/>
      <c r="BG145" s="1500"/>
      <c r="BH145" s="1500"/>
      <c r="BI145" s="1500"/>
      <c r="BJ145" s="1500"/>
      <c r="BK145" s="1500"/>
      <c r="BL145" s="1500"/>
      <c r="BM145" s="1500"/>
      <c r="BN145" s="1500"/>
      <c r="BO145" s="1500"/>
      <c r="BP145" s="1500"/>
      <c r="BQ145" s="1500"/>
      <c r="BR145" s="1500"/>
    </row>
    <row r="146" spans="2:70" ht="18" customHeight="1">
      <c r="AN146" s="943"/>
      <c r="AO146" s="943"/>
      <c r="AP146" s="943"/>
    </row>
    <row r="147" spans="2:70" ht="18" customHeight="1">
      <c r="B147" s="1678" t="s">
        <v>307</v>
      </c>
      <c r="C147" s="1678"/>
      <c r="D147" s="1678"/>
      <c r="E147" s="1678"/>
      <c r="F147" s="1678"/>
      <c r="G147" s="1678"/>
      <c r="H147" s="1678"/>
      <c r="I147" s="1678"/>
      <c r="J147" s="1678"/>
      <c r="K147" s="1678"/>
      <c r="L147" s="1678"/>
      <c r="M147" s="1678"/>
      <c r="O147" s="1676" t="s">
        <v>308</v>
      </c>
      <c r="P147" s="1676"/>
      <c r="Q147" s="1676"/>
      <c r="R147" s="1676"/>
      <c r="S147" s="1676"/>
      <c r="T147" s="1676"/>
      <c r="U147" s="1676"/>
      <c r="V147" s="1676"/>
      <c r="W147" s="1676"/>
      <c r="X147" s="1676"/>
      <c r="Y147" s="1676"/>
      <c r="AB147" s="1671" t="s">
        <v>309</v>
      </c>
      <c r="AC147" s="1671"/>
      <c r="AD147" s="1671"/>
      <c r="AE147" s="1671"/>
      <c r="AF147" s="1671"/>
      <c r="AG147" s="1671"/>
      <c r="AH147" s="1671"/>
      <c r="AI147" s="1671"/>
      <c r="AJ147" s="1671"/>
      <c r="AK147" s="1671"/>
      <c r="AL147" s="1671"/>
      <c r="AP147" s="1671" t="s">
        <v>310</v>
      </c>
      <c r="AQ147" s="1671"/>
      <c r="AR147" s="1671"/>
      <c r="AS147" s="1671"/>
      <c r="AT147" s="1671"/>
      <c r="AU147" s="1671"/>
      <c r="AV147" s="1671"/>
      <c r="AW147" s="1671"/>
      <c r="AX147" s="1671"/>
      <c r="AY147" s="1671"/>
      <c r="AZ147" s="1671"/>
      <c r="BA147" s="1671"/>
      <c r="BB147" s="1671"/>
      <c r="BC147" s="1671"/>
      <c r="BD147" s="1671"/>
    </row>
    <row r="148" spans="2:70" ht="18" customHeight="1">
      <c r="B148" s="1678"/>
      <c r="C148" s="1678"/>
      <c r="D148" s="1678"/>
      <c r="E148" s="1678"/>
      <c r="F148" s="1678"/>
      <c r="G148" s="1678"/>
      <c r="H148" s="1678"/>
      <c r="I148" s="1678"/>
      <c r="J148" s="1678"/>
      <c r="K148" s="1678"/>
      <c r="L148" s="1678"/>
      <c r="M148" s="1678"/>
      <c r="O148" s="1676"/>
      <c r="P148" s="1676"/>
      <c r="Q148" s="1676"/>
      <c r="R148" s="1676"/>
      <c r="S148" s="1676"/>
      <c r="T148" s="1676"/>
      <c r="U148" s="1676"/>
      <c r="V148" s="1676"/>
      <c r="W148" s="1676"/>
      <c r="X148" s="1676"/>
      <c r="Y148" s="1676"/>
      <c r="AB148" s="1671"/>
      <c r="AC148" s="1671"/>
      <c r="AD148" s="1671"/>
      <c r="AE148" s="1671"/>
      <c r="AF148" s="1671"/>
      <c r="AG148" s="1671"/>
      <c r="AH148" s="1671"/>
      <c r="AI148" s="1671"/>
      <c r="AJ148" s="1671"/>
      <c r="AK148" s="1671"/>
      <c r="AL148" s="1671"/>
      <c r="AP148" s="1671"/>
      <c r="AQ148" s="1671"/>
      <c r="AR148" s="1671"/>
      <c r="AS148" s="1671"/>
      <c r="AT148" s="1671"/>
      <c r="AU148" s="1671"/>
      <c r="AV148" s="1671"/>
      <c r="AW148" s="1671"/>
      <c r="AX148" s="1671"/>
      <c r="AY148" s="1671"/>
      <c r="AZ148" s="1671"/>
      <c r="BA148" s="1671"/>
      <c r="BB148" s="1671"/>
      <c r="BC148" s="1671"/>
      <c r="BD148" s="1671"/>
    </row>
    <row r="149" spans="2:70" ht="18" customHeight="1">
      <c r="B149" s="941"/>
      <c r="C149" s="941"/>
      <c r="D149" s="941"/>
      <c r="E149" s="941"/>
      <c r="F149" s="941"/>
      <c r="G149" s="941"/>
      <c r="H149" s="941"/>
      <c r="I149" s="941"/>
      <c r="J149" s="941"/>
      <c r="K149" s="941"/>
      <c r="L149" s="941"/>
      <c r="M149" s="941"/>
    </row>
    <row r="150" spans="2:70" ht="18" customHeight="1">
      <c r="B150" s="941"/>
      <c r="C150" s="941"/>
      <c r="D150" s="941"/>
      <c r="E150" s="941"/>
      <c r="F150" s="941"/>
      <c r="G150" s="941"/>
      <c r="H150" s="941"/>
      <c r="I150" s="941"/>
      <c r="J150" s="941"/>
      <c r="K150" s="941"/>
      <c r="L150" s="941"/>
      <c r="M150" s="941"/>
      <c r="R150" s="481"/>
      <c r="S150" s="481"/>
      <c r="T150" s="481"/>
      <c r="U150" s="481"/>
      <c r="V150" s="481"/>
      <c r="W150" s="481"/>
      <c r="X150" s="481"/>
      <c r="Y150" s="481"/>
    </row>
    <row r="151" spans="2:70" ht="18" customHeight="1">
      <c r="AE151" s="940"/>
    </row>
    <row r="158" spans="2:70" ht="18" customHeight="1">
      <c r="E158" s="942"/>
      <c r="F158" s="942"/>
    </row>
    <row r="164" spans="34:51" ht="18" customHeight="1">
      <c r="AX164" s="481"/>
      <c r="AY164" s="481"/>
    </row>
    <row r="165" spans="34:51" ht="18" customHeight="1">
      <c r="AX165" s="481"/>
      <c r="AY165" s="481"/>
    </row>
    <row r="166" spans="34:51" ht="18" customHeight="1">
      <c r="AX166" s="481"/>
      <c r="AY166" s="481"/>
    </row>
    <row r="167" spans="34:51" ht="18" customHeight="1">
      <c r="AX167" s="481"/>
      <c r="AY167" s="481"/>
    </row>
    <row r="168" spans="34:51" ht="18" customHeight="1">
      <c r="AX168" s="481"/>
      <c r="AY168" s="481"/>
    </row>
    <row r="169" spans="34:51" ht="18" customHeight="1">
      <c r="AX169" s="481"/>
      <c r="AY169" s="481"/>
    </row>
    <row r="170" spans="34:51" ht="18" customHeight="1">
      <c r="AX170" s="481"/>
      <c r="AY170" s="481"/>
    </row>
    <row r="171" spans="34:51" ht="18" customHeight="1">
      <c r="AX171" s="481"/>
      <c r="AY171" s="481"/>
    </row>
    <row r="172" spans="34:51" s="340" customFormat="1" ht="18" customHeight="1">
      <c r="AH172" s="481"/>
      <c r="AI172" s="481"/>
      <c r="AJ172" s="481"/>
      <c r="AK172" s="481"/>
      <c r="AL172" s="481"/>
      <c r="AM172" s="481"/>
      <c r="AN172" s="481"/>
      <c r="AO172" s="481"/>
      <c r="AP172" s="481"/>
      <c r="AQ172" s="481"/>
      <c r="AR172" s="481"/>
      <c r="AS172" s="481"/>
      <c r="AT172" s="481"/>
      <c r="AV172" s="481"/>
      <c r="AW172" s="481"/>
      <c r="AX172" s="481"/>
      <c r="AY172" s="481"/>
    </row>
    <row r="173" spans="34:51" ht="18" customHeight="1">
      <c r="AH173" s="481"/>
      <c r="AI173" s="481"/>
      <c r="AJ173" s="481"/>
      <c r="AK173" s="481"/>
      <c r="AL173" s="481"/>
      <c r="AM173" s="481"/>
      <c r="AN173" s="481"/>
      <c r="AO173" s="481"/>
      <c r="AP173" s="481"/>
      <c r="AQ173" s="481"/>
      <c r="AR173" s="481"/>
      <c r="AS173" s="481"/>
      <c r="AT173" s="481"/>
      <c r="AV173" s="481"/>
      <c r="AW173" s="481"/>
      <c r="AX173" s="481"/>
      <c r="AY173" s="481"/>
    </row>
    <row r="174" spans="34:51" s="340" customFormat="1" ht="18" customHeight="1">
      <c r="AH174" s="481"/>
      <c r="AI174" s="481"/>
      <c r="AJ174" s="481"/>
      <c r="AK174" s="481"/>
      <c r="AL174" s="481"/>
      <c r="AM174" s="481"/>
      <c r="AN174" s="481"/>
      <c r="AO174" s="481"/>
      <c r="AP174" s="481"/>
      <c r="AQ174" s="481"/>
      <c r="AR174" s="481"/>
      <c r="AS174" s="481"/>
      <c r="AT174" s="481"/>
      <c r="AV174" s="481"/>
      <c r="AW174" s="481"/>
      <c r="AX174" s="481"/>
      <c r="AY174" s="481"/>
    </row>
    <row r="175" spans="34:51" ht="18" customHeight="1">
      <c r="AH175" s="481"/>
      <c r="AI175" s="481"/>
      <c r="AJ175" s="481"/>
      <c r="AK175" s="481"/>
      <c r="AL175" s="481"/>
      <c r="AM175" s="481"/>
      <c r="AN175" s="481"/>
      <c r="AO175" s="481"/>
      <c r="AP175" s="481"/>
      <c r="AQ175" s="481"/>
      <c r="AR175" s="481"/>
      <c r="AS175" s="481"/>
      <c r="AT175" s="481"/>
      <c r="AV175" s="481"/>
      <c r="AW175" s="481"/>
      <c r="AX175" s="481"/>
      <c r="AY175" s="481"/>
    </row>
    <row r="176" spans="34:51" s="340" customFormat="1" ht="18" customHeight="1">
      <c r="AH176" s="481"/>
      <c r="AI176" s="481"/>
      <c r="AJ176" s="481"/>
      <c r="AK176" s="481"/>
      <c r="AL176" s="481"/>
      <c r="AM176" s="481"/>
      <c r="AN176" s="481"/>
      <c r="AO176" s="481"/>
      <c r="AP176" s="481"/>
      <c r="AQ176" s="481"/>
      <c r="AR176" s="481"/>
      <c r="AS176" s="481"/>
      <c r="AT176" s="481"/>
      <c r="AV176" s="481"/>
      <c r="AW176" s="481"/>
      <c r="AX176" s="481"/>
      <c r="AY176" s="481"/>
    </row>
    <row r="177" spans="34:51" ht="18" customHeight="1">
      <c r="AH177" s="481"/>
      <c r="AI177" s="481"/>
      <c r="AJ177" s="481"/>
      <c r="AK177" s="481"/>
      <c r="AL177" s="481"/>
      <c r="AM177" s="481"/>
      <c r="AN177" s="481"/>
      <c r="AO177" s="481"/>
      <c r="AP177" s="481"/>
      <c r="AQ177" s="481"/>
      <c r="AR177" s="481"/>
      <c r="AS177" s="481"/>
      <c r="AT177" s="481"/>
      <c r="AV177" s="481"/>
      <c r="AW177" s="481"/>
      <c r="AX177" s="481"/>
      <c r="AY177" s="481"/>
    </row>
    <row r="178" spans="34:51" ht="18" customHeight="1">
      <c r="AH178" s="481"/>
      <c r="AI178" s="481"/>
      <c r="AJ178" s="481"/>
      <c r="AK178" s="481"/>
      <c r="AL178" s="481"/>
      <c r="AM178" s="481"/>
      <c r="AN178" s="481"/>
      <c r="AO178" s="481"/>
      <c r="AP178" s="481"/>
      <c r="AQ178" s="481"/>
      <c r="AR178" s="481"/>
      <c r="AS178" s="481"/>
      <c r="AT178" s="481"/>
    </row>
    <row r="179" spans="34:51" ht="18" customHeight="1">
      <c r="AH179" s="481"/>
      <c r="AI179" s="481"/>
      <c r="AJ179" s="481"/>
      <c r="AK179" s="481"/>
      <c r="AL179" s="481"/>
      <c r="AM179" s="481"/>
      <c r="AN179" s="481"/>
      <c r="AO179" s="481"/>
      <c r="AP179" s="481"/>
      <c r="AQ179" s="481"/>
      <c r="AR179" s="481"/>
      <c r="AS179" s="481"/>
      <c r="AT179" s="481"/>
    </row>
    <row r="180" spans="34:51" ht="18" customHeight="1">
      <c r="AH180" s="481"/>
      <c r="AI180" s="481"/>
      <c r="AJ180" s="481"/>
      <c r="AK180" s="481"/>
      <c r="AL180" s="481"/>
      <c r="AM180" s="481"/>
      <c r="AN180" s="481"/>
      <c r="AO180" s="481"/>
      <c r="AP180" s="481"/>
      <c r="AQ180" s="481"/>
      <c r="AR180" s="481"/>
      <c r="AS180" s="481"/>
      <c r="AT180" s="481"/>
    </row>
    <row r="181" spans="34:51" ht="18" customHeight="1">
      <c r="AH181" s="481"/>
      <c r="AI181" s="481"/>
      <c r="AJ181" s="481"/>
      <c r="AK181" s="481"/>
      <c r="AL181" s="481"/>
      <c r="AM181" s="481"/>
      <c r="AN181" s="481"/>
      <c r="AO181" s="481"/>
      <c r="AP181" s="481"/>
      <c r="AQ181" s="481"/>
      <c r="AR181" s="481"/>
      <c r="AS181" s="481"/>
      <c r="AT181" s="481"/>
    </row>
  </sheetData>
  <sheetProtection formatCells="0"/>
  <protectedRanges>
    <protectedRange sqref="L63 B70:U75" name="资产"/>
    <protectedRange sqref="AL2" name="肖像"/>
    <protectedRange sqref="B53:L58" name="武器表"/>
    <protectedRange sqref="B79:U93" name="随身物品"/>
    <protectedRange sqref="W98:AS110" name="神话相关"/>
    <protectedRange sqref="L16:Q26 L27 L28:Q49 AH16:AM49 AB48:AG49" name="技能表"/>
    <protectedRange sqref="W114:AS126" name="法术一览"/>
    <protectedRange sqref="E3 E4:I7 G8 M4:Q7 J8 L8 N8" name="调查员信息"/>
    <protectedRange sqref="B97:U116" name="调查员经历"/>
    <protectedRange sqref="W130:AS144" name="调查员伙伴"/>
    <protectedRange sqref="AA61:AQ76 AR63:AS76 W77" name="背景故事"/>
    <protectedRange sqref="BA18:BR22 AU32:BB32 AU34:BB34 AU37 AU26:BC26 AU28:BJ28 AU30:BC30 BK26:BR26 BK28:BR34 BK37:BR37" name="自定义"/>
  </protectedRanges>
  <mergeCells count="1452">
    <mergeCell ref="AP147:BD148"/>
    <mergeCell ref="AU130:BR142"/>
    <mergeCell ref="AR63:AS64"/>
    <mergeCell ref="O147:Y148"/>
    <mergeCell ref="H140:L143"/>
    <mergeCell ref="AB147:AL148"/>
    <mergeCell ref="B147:M148"/>
    <mergeCell ref="B134:F135"/>
    <mergeCell ref="G134:M135"/>
    <mergeCell ref="M140:P143"/>
    <mergeCell ref="Q141:U143"/>
    <mergeCell ref="B140:G143"/>
    <mergeCell ref="G132:M133"/>
    <mergeCell ref="N134:Q135"/>
    <mergeCell ref="R134:U135"/>
    <mergeCell ref="N132:Q133"/>
    <mergeCell ref="R132:U133"/>
    <mergeCell ref="B131:F133"/>
    <mergeCell ref="B127:C128"/>
    <mergeCell ref="D127:U128"/>
    <mergeCell ref="AU105:BR127"/>
    <mergeCell ref="L120:M121"/>
    <mergeCell ref="N120:O121"/>
    <mergeCell ref="P120:Q121"/>
    <mergeCell ref="R120:S121"/>
    <mergeCell ref="T120:U121"/>
    <mergeCell ref="F120:K121"/>
    <mergeCell ref="J113:U116"/>
    <mergeCell ref="B113:E116"/>
    <mergeCell ref="F113:I116"/>
    <mergeCell ref="AR67:AS68"/>
    <mergeCell ref="AA67:AQ68"/>
    <mergeCell ref="AU5:BB6"/>
    <mergeCell ref="BC5:BJ6"/>
    <mergeCell ref="BK5:BR6"/>
    <mergeCell ref="S3:T4"/>
    <mergeCell ref="U3:V4"/>
    <mergeCell ref="Y3:Z4"/>
    <mergeCell ref="AA3:AB4"/>
    <mergeCell ref="AE3:AF4"/>
    <mergeCell ref="AG3:AH4"/>
    <mergeCell ref="AK10:AM11"/>
    <mergeCell ref="AL2:AS8"/>
    <mergeCell ref="S7:T8"/>
    <mergeCell ref="U7:V8"/>
    <mergeCell ref="Y7:Z8"/>
    <mergeCell ref="AA7:AB8"/>
    <mergeCell ref="AE7:AF8"/>
    <mergeCell ref="AG7:AH8"/>
    <mergeCell ref="S5:T6"/>
    <mergeCell ref="U5:V6"/>
    <mergeCell ref="Y5:Z6"/>
    <mergeCell ref="AA5:AB6"/>
    <mergeCell ref="AE5:AF6"/>
    <mergeCell ref="AG5:AH6"/>
    <mergeCell ref="AN10:AQ11"/>
    <mergeCell ref="AU3:BB4"/>
    <mergeCell ref="BC3:BJ4"/>
    <mergeCell ref="BK3:BR4"/>
    <mergeCell ref="W10:X11"/>
    <mergeCell ref="Y10:Z11"/>
    <mergeCell ref="AR10:AS11"/>
    <mergeCell ref="T10:V11"/>
    <mergeCell ref="AC10:AE11"/>
    <mergeCell ref="BX9:BY10"/>
    <mergeCell ref="AU7:BB8"/>
    <mergeCell ref="BC7:BJ8"/>
    <mergeCell ref="BK7:BR8"/>
    <mergeCell ref="AU68:BR103"/>
    <mergeCell ref="W71:Z72"/>
    <mergeCell ref="W69:Z70"/>
    <mergeCell ref="AT10:AY11"/>
    <mergeCell ref="BC30:BJ37"/>
    <mergeCell ref="AV38:BR42"/>
    <mergeCell ref="AU44:BR61"/>
    <mergeCell ref="AP57:AQ58"/>
    <mergeCell ref="AU19:AZ22"/>
    <mergeCell ref="AA69:AQ70"/>
    <mergeCell ref="AR69:AS70"/>
    <mergeCell ref="AM55:AO56"/>
    <mergeCell ref="AM52:AO54"/>
    <mergeCell ref="BK28:BN34"/>
    <mergeCell ref="BO28:BR34"/>
    <mergeCell ref="AP55:AS56"/>
    <mergeCell ref="AP52:AS54"/>
    <mergeCell ref="AR71:AS72"/>
    <mergeCell ref="AR75:AS76"/>
    <mergeCell ref="W77:AS93"/>
    <mergeCell ref="W75:Z76"/>
    <mergeCell ref="AA71:AQ72"/>
    <mergeCell ref="AA75:AQ76"/>
    <mergeCell ref="AF10:AH11"/>
    <mergeCell ref="W61:Z62"/>
    <mergeCell ref="W63:Z64"/>
    <mergeCell ref="W65:Z66"/>
    <mergeCell ref="AM57:AO58"/>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AA73:AQ74"/>
    <mergeCell ref="B122:U123"/>
    <mergeCell ref="B119:E121"/>
    <mergeCell ref="B63:K67"/>
    <mergeCell ref="L63:U67"/>
    <mergeCell ref="AA65:AQ66"/>
    <mergeCell ref="AR73:AS74"/>
    <mergeCell ref="AR61:AS62"/>
    <mergeCell ref="AA61:AQ62"/>
    <mergeCell ref="W67:Z68"/>
    <mergeCell ref="B70:E74"/>
    <mergeCell ref="F70:I74"/>
    <mergeCell ref="J70:M74"/>
    <mergeCell ref="N70:Q74"/>
    <mergeCell ref="R70:U74"/>
    <mergeCell ref="AR65:AS66"/>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W73:Z74"/>
    <mergeCell ref="AU64:AY66"/>
    <mergeCell ref="AA63:AQ64"/>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AP45:AQ45"/>
    <mergeCell ref="AR45:AS45"/>
    <mergeCell ref="AL46:AM46"/>
    <mergeCell ref="AN46:AO46"/>
    <mergeCell ref="AP46:AQ46"/>
    <mergeCell ref="AR46:AS46"/>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V37:W37"/>
    <mergeCell ref="X37:Y37"/>
    <mergeCell ref="Z37:AA37"/>
    <mergeCell ref="AB37:AC37"/>
    <mergeCell ref="AD37:AE37"/>
    <mergeCell ref="AF37:AG37"/>
    <mergeCell ref="AH37:AI37"/>
    <mergeCell ref="AL39:AM39"/>
    <mergeCell ref="AN39:AO39"/>
    <mergeCell ref="AP39:AQ39"/>
    <mergeCell ref="AR39:AS39"/>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7:C37"/>
    <mergeCell ref="D37:E37"/>
    <mergeCell ref="F37:G37"/>
    <mergeCell ref="H37:I37"/>
    <mergeCell ref="J37:K37"/>
    <mergeCell ref="L37:M37"/>
    <mergeCell ref="N37:O37"/>
    <mergeCell ref="P37:Q37"/>
    <mergeCell ref="R37:S37"/>
    <mergeCell ref="T37:U37"/>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2:AM32"/>
    <mergeCell ref="AN32:AO32"/>
    <mergeCell ref="AP32:AQ32"/>
    <mergeCell ref="AR32:AS32"/>
    <mergeCell ref="R32:S32"/>
    <mergeCell ref="T32:U32"/>
    <mergeCell ref="V32:W32"/>
    <mergeCell ref="X32:Y32"/>
    <mergeCell ref="Z32:AA32"/>
    <mergeCell ref="AB32:AC32"/>
    <mergeCell ref="AD32:AE32"/>
    <mergeCell ref="AF32:AG32"/>
    <mergeCell ref="AH32:AI32"/>
    <mergeCell ref="AJ32:AK32"/>
    <mergeCell ref="AL34:AM34"/>
    <mergeCell ref="AN34:AO34"/>
    <mergeCell ref="AP34:AQ34"/>
    <mergeCell ref="AR34:AS34"/>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L28:AM28"/>
    <mergeCell ref="AN28:AO28"/>
    <mergeCell ref="AP28:AQ28"/>
    <mergeCell ref="AR28:AS28"/>
    <mergeCell ref="AU28:AZ28"/>
    <mergeCell ref="BA28:BB28"/>
    <mergeCell ref="BC28:BF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R21:S21"/>
    <mergeCell ref="T21:U21"/>
    <mergeCell ref="V21:W21"/>
    <mergeCell ref="X21:Y21"/>
    <mergeCell ref="Z21:AA21"/>
    <mergeCell ref="AB21:AE21"/>
    <mergeCell ref="AF21:AG21"/>
    <mergeCell ref="AH21:AI21"/>
    <mergeCell ref="AJ21:AK21"/>
    <mergeCell ref="AN23:AO23"/>
    <mergeCell ref="AP23:AQ23"/>
    <mergeCell ref="AR23:AS23"/>
    <mergeCell ref="AU23:BR23"/>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1:C21"/>
    <mergeCell ref="D21:E21"/>
    <mergeCell ref="F21:G21"/>
    <mergeCell ref="H21:I21"/>
    <mergeCell ref="J21:K21"/>
    <mergeCell ref="L21:M21"/>
    <mergeCell ref="N21:O21"/>
    <mergeCell ref="P21:Q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K12:AM12"/>
    <mergeCell ref="AN12:AY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I11:J11"/>
    <mergeCell ref="R11:S11"/>
    <mergeCell ref="AA11:AB11"/>
    <mergeCell ref="AI11:AJ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E10:F11"/>
    <mergeCell ref="G10:H11"/>
    <mergeCell ref="N10:O11"/>
    <mergeCell ref="P10:Q11"/>
    <mergeCell ref="B10:D11"/>
    <mergeCell ref="K10:M11"/>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s>
  <conditionalFormatting sqref="D16:E49">
    <cfRule type="cellIs" dxfId="11" priority="26" operator="equal">
      <formula>"×"</formula>
    </cfRule>
    <cfRule type="cellIs" dxfId="10" priority="27" operator="equal">
      <formula>"※"</formula>
    </cfRule>
    <cfRule type="cellIs" dxfId="9" priority="28" operator="equal">
      <formula>"⊙"</formula>
    </cfRule>
    <cfRule type="cellIs" dxfId="8" priority="29" operator="equal">
      <formula>"☆"</formula>
    </cfRule>
    <cfRule type="cellIs" dxfId="7" priority="30" operator="equal">
      <formula>"★"</formula>
    </cfRule>
  </conditionalFormatting>
  <conditionalFormatting sqref="Z16:Z49">
    <cfRule type="cellIs" dxfId="6" priority="11" operator="equal">
      <formula>"×"</formula>
    </cfRule>
    <cfRule type="cellIs" dxfId="5" priority="12" operator="equal">
      <formula>"※"</formula>
    </cfRule>
    <cfRule type="cellIs" dxfId="4" priority="13" operator="equal">
      <formula>"⊙"</formula>
    </cfRule>
    <cfRule type="cellIs" dxfId="3" priority="14" operator="equal">
      <formula>"☆"</formula>
    </cfRule>
    <cfRule type="cellIs" dxfId="2" priority="15" operator="equal">
      <formula>"★"</formula>
    </cfRule>
  </conditionalFormatting>
  <pageMargins left="0.75" right="0.75" top="1" bottom="1" header="0.51180555555555596" footer="0.51180555555555596"/>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0000000}">
          <x14:formula1>
            <xm:f>附表!$AF$222:$AG$222</xm:f>
          </x14:formula1>
          <xm:sqref>M4:Q4</xm:sqref>
        </x14:dataValidation>
        <x14:dataValidation type="list" allowBlank="1" showInputMessage="1" showErrorMessage="1" xr:uid="{00000000-0002-0000-0000-000001000000}">
          <x14:formula1>
            <xm:f>职业列表!$A$2:$A$232</xm:f>
          </x14:formula1>
          <xm:sqref>M5:Q5</xm:sqref>
        </x14:dataValidation>
        <x14:dataValidation type="list" allowBlank="1" showInputMessage="1" showErrorMessage="1" xr:uid="{00000000-0002-0000-0000-000002000000}">
          <x14:formula1>
            <xm:f>附表!$AE$33:$AE$163</xm:f>
          </x14:formula1>
          <xm:sqref>G8:I8</xm:sqref>
        </x14:dataValidation>
        <x14:dataValidation type="list" allowBlank="1" showInputMessage="1" showErrorMessage="1" xr:uid="{00000000-0002-0000-0000-000003000000}">
          <x14:formula1>
            <xm:f>附表!$Q$23:$Q$24</xm:f>
          </x14:formula1>
          <xm:sqref>B79:C93</xm:sqref>
        </x14:dataValidation>
        <x14:dataValidation type="list" allowBlank="1" showInputMessage="1" showErrorMessage="1" xr:uid="{00000000-0002-0000-0000-000004000000}">
          <x14:formula1>
            <xm:f>附表!$O$16:$O$58</xm:f>
          </x14:formula1>
          <xm:sqref>D79:E93</xm:sqref>
        </x14:dataValidation>
        <x14:dataValidation type="list" allowBlank="1" showInputMessage="1" showErrorMessage="1" xr:uid="{00000000-0002-0000-0000-000005000000}">
          <x14:formula1>
            <xm:f>'武器列表 战斗'!$B$2:$B$105</xm:f>
          </x14:formula1>
          <xm:sqref>G53:L56</xm:sqref>
        </x14:dataValidation>
        <x14:dataValidation type="list" allowBlank="1" showInputMessage="1" showErrorMessage="1" xr:uid="{00000000-0002-0000-0000-000006000000}">
          <x14:formula1>
            <xm:f>附表!$X$25:$X$92</xm:f>
          </x14:formula1>
          <xm:sqref>BA18:BR21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24"/>
  <sheetViews>
    <sheetView showGridLines="0" tabSelected="1" topLeftCell="A11" workbookViewId="0">
      <selection activeCell="B40" sqref="B40:Y43"/>
    </sheetView>
  </sheetViews>
  <sheetFormatPr baseColWidth="10" defaultColWidth="9" defaultRowHeight="17" customHeight="1"/>
  <cols>
    <col min="1" max="19" width="5.6640625" style="481" customWidth="1"/>
    <col min="20" max="20" width="59.83203125" style="481" customWidth="1"/>
    <col min="21" max="42" width="5.6640625" style="481" customWidth="1"/>
  </cols>
  <sheetData>
    <row r="1" spans="2:31" ht="7" customHeight="1"/>
    <row r="2" spans="2:31" ht="17" customHeight="1">
      <c r="B2" s="1712" t="str">
        <f>人物卡!E3&amp;"，"&amp;人物卡!M6&amp;"，"&amp;人物卡!E6&amp;"岁"&amp;"，"&amp;人物卡!E5&amp;"，"&amp;人物卡!M4&amp;"，"&amp;"现居："&amp;人物卡!E7&amp;"，"&amp;人物卡!M7&amp;"人"</f>
        <v>艾迪安·多雷，男，31岁，探险家，1920s，现居：法国 里昂，法国 格勒诺布尔人</v>
      </c>
      <c r="C2" s="1713"/>
      <c r="D2" s="1713"/>
      <c r="E2" s="1713"/>
      <c r="F2" s="1713"/>
      <c r="G2" s="1713"/>
      <c r="H2" s="1713"/>
      <c r="I2" s="1713"/>
      <c r="J2" s="1713"/>
      <c r="K2" s="1713"/>
      <c r="L2" s="1713"/>
      <c r="M2" s="1714"/>
      <c r="N2" s="1712" t="s">
        <v>311</v>
      </c>
      <c r="O2" s="1713"/>
      <c r="P2" s="1713"/>
      <c r="Q2" s="1713"/>
      <c r="R2" s="1713"/>
      <c r="S2" s="1713"/>
      <c r="T2" s="1713"/>
      <c r="U2" s="1713"/>
      <c r="V2" s="1713"/>
      <c r="W2" s="1713"/>
      <c r="X2" s="1713"/>
      <c r="Y2" s="1714"/>
      <c r="Z2" s="1715" t="s">
        <v>312</v>
      </c>
      <c r="AA2" s="1716"/>
      <c r="AB2" s="1716"/>
      <c r="AC2" s="1716"/>
      <c r="AD2" s="1716"/>
      <c r="AE2" s="1717"/>
    </row>
    <row r="3" spans="2:31" ht="17" customHeight="1">
      <c r="B3" s="1866" t="s">
        <v>313</v>
      </c>
      <c r="C3" s="1724">
        <f>附表!G14</f>
        <v>90</v>
      </c>
      <c r="D3" s="887">
        <f>INT(C3/2)</f>
        <v>45</v>
      </c>
      <c r="E3" s="1842" t="s">
        <v>314</v>
      </c>
      <c r="F3" s="1720">
        <f>附表!J14</f>
        <v>40</v>
      </c>
      <c r="G3" s="889">
        <f>INT(F3/2)</f>
        <v>20</v>
      </c>
      <c r="H3" s="1840" t="s">
        <v>315</v>
      </c>
      <c r="I3" s="1724">
        <f>附表!M14</f>
        <v>75</v>
      </c>
      <c r="J3" s="887">
        <f>INT(I3/2)</f>
        <v>37</v>
      </c>
      <c r="K3" s="1842" t="s">
        <v>316</v>
      </c>
      <c r="L3" s="1720">
        <f>附表!L14</f>
        <v>80</v>
      </c>
      <c r="M3" s="900">
        <f>INT(L3/2)</f>
        <v>40</v>
      </c>
      <c r="N3" s="1718" t="str">
        <f>IF(Q3=0,"",人物卡!F16)</f>
        <v/>
      </c>
      <c r="O3" s="1719"/>
      <c r="P3" s="1719"/>
      <c r="Q3" s="910">
        <f>IF(人物卡!R16-人物卡!J16=0,0,人物卡!R16)</f>
        <v>0</v>
      </c>
      <c r="R3" s="911">
        <f t="shared" ref="R3:R12" si="0">INT(Q3/2)</f>
        <v>0</v>
      </c>
      <c r="S3" s="912">
        <f t="shared" ref="S3:S12" si="1">INT(Q3/5)</f>
        <v>0</v>
      </c>
      <c r="T3" s="1720" t="str">
        <f>IF(W3=0,"",人物卡!AB16)</f>
        <v/>
      </c>
      <c r="U3" s="1721"/>
      <c r="V3" s="1721"/>
      <c r="W3" s="919">
        <f>IF(人物卡!AN16-人物卡!AF16=0,0,人物卡!AN16)</f>
        <v>0</v>
      </c>
      <c r="X3" s="920">
        <f t="shared" ref="X3:X36" si="2">INT(W3/2)</f>
        <v>0</v>
      </c>
      <c r="Y3" s="923">
        <f t="shared" ref="Y3:Y36" si="3">INT(W3/5)</f>
        <v>0</v>
      </c>
      <c r="Z3" s="1857">
        <f>人物卡!E8</f>
        <v>0</v>
      </c>
      <c r="AA3" s="1315">
        <f>人物卡!G8</f>
        <v>1980</v>
      </c>
      <c r="AB3" s="1315"/>
      <c r="AC3" s="926" t="str">
        <f>人物卡!J8</f>
        <v>1月</v>
      </c>
      <c r="AD3" s="1891" t="str">
        <f>人物卡!N8</f>
        <v>0：00</v>
      </c>
      <c r="AE3" s="1892"/>
    </row>
    <row r="4" spans="2:31" ht="17" customHeight="1">
      <c r="B4" s="1867"/>
      <c r="C4" s="1719"/>
      <c r="D4" s="888">
        <f>INT(C3/5)</f>
        <v>18</v>
      </c>
      <c r="E4" s="1877"/>
      <c r="F4" s="1721"/>
      <c r="G4" s="888">
        <f>INT(F3/5)</f>
        <v>8</v>
      </c>
      <c r="H4" s="1841"/>
      <c r="I4" s="1719"/>
      <c r="J4" s="888">
        <f>INT(I3/5)</f>
        <v>15</v>
      </c>
      <c r="K4" s="1877"/>
      <c r="L4" s="1721"/>
      <c r="M4" s="901">
        <f>INT(L3/5)</f>
        <v>16</v>
      </c>
      <c r="N4" s="1718" t="str">
        <f>IF(Q4=0,"",人物卡!F17)</f>
        <v/>
      </c>
      <c r="O4" s="1719"/>
      <c r="P4" s="1719"/>
      <c r="Q4" s="910">
        <f>IF(人物卡!R17-人物卡!J17=0,0,人物卡!R17)</f>
        <v>0</v>
      </c>
      <c r="R4" s="911">
        <f t="shared" si="0"/>
        <v>0</v>
      </c>
      <c r="S4" s="912">
        <f t="shared" si="1"/>
        <v>0</v>
      </c>
      <c r="T4" s="1720" t="str">
        <f>IF(W4=0,"",人物卡!AB17)</f>
        <v/>
      </c>
      <c r="U4" s="1721"/>
      <c r="V4" s="1721"/>
      <c r="W4" s="919">
        <f>IF(人物卡!AN17-人物卡!AF17=0,0,人物卡!AN17)</f>
        <v>0</v>
      </c>
      <c r="X4" s="920">
        <f t="shared" si="2"/>
        <v>0</v>
      </c>
      <c r="Y4" s="923">
        <f t="shared" si="3"/>
        <v>0</v>
      </c>
      <c r="Z4" s="1858"/>
      <c r="AA4" s="1351"/>
      <c r="AB4" s="1351"/>
      <c r="AC4" s="927" t="str">
        <f>人物卡!L8</f>
        <v>1日</v>
      </c>
      <c r="AD4" s="1893"/>
      <c r="AE4" s="1894"/>
    </row>
    <row r="5" spans="2:31" ht="17" customHeight="1">
      <c r="B5" s="1868" t="s">
        <v>317</v>
      </c>
      <c r="C5" s="1720">
        <f>附表!H14</f>
        <v>50</v>
      </c>
      <c r="D5" s="889">
        <f>INT(C5/2)</f>
        <v>25</v>
      </c>
      <c r="E5" s="1840" t="s">
        <v>318</v>
      </c>
      <c r="F5" s="1724">
        <f>附表!K14</f>
        <v>65</v>
      </c>
      <c r="G5" s="887">
        <f>INT(F5/2)</f>
        <v>32</v>
      </c>
      <c r="H5" s="1842" t="s">
        <v>319</v>
      </c>
      <c r="I5" s="1720">
        <f>附表!N14</f>
        <v>65</v>
      </c>
      <c r="J5" s="889">
        <f>INT(I5/2)</f>
        <v>32</v>
      </c>
      <c r="K5" s="1840" t="s">
        <v>320</v>
      </c>
      <c r="L5" s="1724">
        <f>附表!I14</f>
        <v>70</v>
      </c>
      <c r="M5" s="902">
        <f>INT(L5/2)</f>
        <v>35</v>
      </c>
      <c r="N5" s="1718" t="str">
        <f>IF(Q5=0,"",人物卡!F18)</f>
        <v/>
      </c>
      <c r="O5" s="1719"/>
      <c r="P5" s="1719"/>
      <c r="Q5" s="910">
        <f>IF(人物卡!R18-人物卡!J18=0,0,人物卡!R18)</f>
        <v>0</v>
      </c>
      <c r="R5" s="911">
        <f t="shared" si="0"/>
        <v>0</v>
      </c>
      <c r="S5" s="912">
        <f t="shared" si="1"/>
        <v>0</v>
      </c>
      <c r="T5" s="1720" t="str">
        <f>IF(W5=0,"",人物卡!AB18)</f>
        <v>聆听</v>
      </c>
      <c r="U5" s="1721"/>
      <c r="V5" s="1721"/>
      <c r="W5" s="919">
        <f>IF(人物卡!AN18-人物卡!AF18=0,0,人物卡!AN18)</f>
        <v>49</v>
      </c>
      <c r="X5" s="920">
        <f t="shared" si="2"/>
        <v>24</v>
      </c>
      <c r="Y5" s="923">
        <f t="shared" si="3"/>
        <v>9</v>
      </c>
      <c r="Z5" s="1354" t="s">
        <v>264</v>
      </c>
      <c r="AA5" s="1722"/>
      <c r="AB5" s="1722"/>
      <c r="AC5" s="1722"/>
      <c r="AD5" s="1722"/>
      <c r="AE5" s="1723"/>
    </row>
    <row r="6" spans="2:31" ht="17" customHeight="1">
      <c r="B6" s="1869"/>
      <c r="C6" s="1725"/>
      <c r="D6" s="890">
        <f>INT(C5/5)</f>
        <v>10</v>
      </c>
      <c r="E6" s="1856"/>
      <c r="F6" s="1770"/>
      <c r="G6" s="890">
        <f>INT(F5/5)</f>
        <v>13</v>
      </c>
      <c r="H6" s="1843"/>
      <c r="I6" s="1725"/>
      <c r="J6" s="890">
        <f>INT(I5/5)</f>
        <v>13</v>
      </c>
      <c r="K6" s="1856"/>
      <c r="L6" s="1770"/>
      <c r="M6" s="903">
        <f>INT(L5/5)</f>
        <v>14</v>
      </c>
      <c r="N6" s="1718" t="str">
        <f>IF(Q6=0,"",人物卡!F19)</f>
        <v/>
      </c>
      <c r="O6" s="1719"/>
      <c r="P6" s="1719"/>
      <c r="Q6" s="910">
        <f>IF(人物卡!R19-人物卡!J19=0,0,人物卡!R19)</f>
        <v>0</v>
      </c>
      <c r="R6" s="911">
        <f t="shared" si="0"/>
        <v>0</v>
      </c>
      <c r="S6" s="912">
        <f t="shared" si="1"/>
        <v>0</v>
      </c>
      <c r="T6" s="1720" t="str">
        <f>IF(W6=0,"",人物卡!AB19)</f>
        <v/>
      </c>
      <c r="U6" s="1721"/>
      <c r="V6" s="1721"/>
      <c r="W6" s="919">
        <f>IF(人物卡!AN19-人物卡!AF19=0,0,人物卡!AN19)</f>
        <v>0</v>
      </c>
      <c r="X6" s="920">
        <f t="shared" si="2"/>
        <v>0</v>
      </c>
      <c r="Y6" s="923">
        <f t="shared" si="3"/>
        <v>0</v>
      </c>
      <c r="Z6" s="1726" t="s">
        <v>6</v>
      </c>
      <c r="AA6" s="1727"/>
      <c r="AB6" s="1728" t="s">
        <v>268</v>
      </c>
      <c r="AC6" s="1727"/>
      <c r="AD6" s="1727"/>
      <c r="AE6" s="1729"/>
    </row>
    <row r="7" spans="2:31" ht="17" customHeight="1">
      <c r="B7" s="1870" t="s">
        <v>321</v>
      </c>
      <c r="C7" s="1873">
        <f>人物卡!E10</f>
        <v>12</v>
      </c>
      <c r="D7" s="1875">
        <f>人物卡!G10</f>
        <v>12</v>
      </c>
      <c r="E7" s="1878" t="s">
        <v>322</v>
      </c>
      <c r="F7" s="1879">
        <f>人物卡!N10</f>
        <v>75</v>
      </c>
      <c r="G7" s="1838">
        <f>人物卡!P10</f>
        <v>99</v>
      </c>
      <c r="H7" s="1844" t="s">
        <v>323</v>
      </c>
      <c r="I7" s="1873">
        <f>人物卡!W10</f>
        <v>15</v>
      </c>
      <c r="J7" s="1875">
        <f>INT(人物卡!AG3/5)</f>
        <v>15</v>
      </c>
      <c r="K7" s="1855" t="s">
        <v>324</v>
      </c>
      <c r="L7" s="1878">
        <f>人物卡!AN10</f>
        <v>0</v>
      </c>
      <c r="M7" s="1889"/>
      <c r="N7" s="904">
        <f t="shared" ref="N7:N9" si="4">IF(Q7=0,0,"技艺：")</f>
        <v>0</v>
      </c>
      <c r="O7" s="1724" t="str">
        <f>IF(N7=0,"",人物卡!H20)</f>
        <v/>
      </c>
      <c r="P7" s="1719"/>
      <c r="Q7" s="910">
        <f>IF(人物卡!R20-人物卡!J20=0,0,人物卡!R20)</f>
        <v>0</v>
      </c>
      <c r="R7" s="911">
        <f t="shared" si="0"/>
        <v>0</v>
      </c>
      <c r="S7" s="912">
        <f t="shared" si="1"/>
        <v>0</v>
      </c>
      <c r="T7" s="1720" t="str">
        <f>IF(W7=0,"",人物卡!AB20)</f>
        <v/>
      </c>
      <c r="U7" s="1721"/>
      <c r="V7" s="1721"/>
      <c r="W7" s="919">
        <f>IF(人物卡!AN20-人物卡!AF20=0,0,人物卡!AN20)</f>
        <v>0</v>
      </c>
      <c r="X7" s="920">
        <f t="shared" si="2"/>
        <v>0</v>
      </c>
      <c r="Y7" s="923">
        <f t="shared" si="3"/>
        <v>0</v>
      </c>
      <c r="Z7" s="1730" t="str">
        <f>人物卡!W130</f>
        <v>例：丛雨</v>
      </c>
      <c r="AA7" s="1731"/>
      <c r="AB7" s="1732" t="str">
        <f>人物卡!AD130</f>
        <v>一起出生入死的医生小姐</v>
      </c>
      <c r="AC7" s="1731"/>
      <c r="AD7" s="1731"/>
      <c r="AE7" s="1733"/>
    </row>
    <row r="8" spans="2:31" ht="17" customHeight="1">
      <c r="B8" s="1871"/>
      <c r="C8" s="1874"/>
      <c r="D8" s="1876"/>
      <c r="E8" s="1841"/>
      <c r="F8" s="1880"/>
      <c r="G8" s="1839"/>
      <c r="H8" s="1845"/>
      <c r="I8" s="1874"/>
      <c r="J8" s="1876"/>
      <c r="K8" s="1742"/>
      <c r="L8" s="1841"/>
      <c r="M8" s="1890"/>
      <c r="N8" s="904">
        <f t="shared" si="4"/>
        <v>0</v>
      </c>
      <c r="O8" s="1724" t="str">
        <f>IF(N8=0,"",人物卡!H21)</f>
        <v/>
      </c>
      <c r="P8" s="1719"/>
      <c r="Q8" s="910">
        <f>IF(人物卡!R21-人物卡!J21=0,0,人物卡!R21)</f>
        <v>0</v>
      </c>
      <c r="R8" s="911">
        <f t="shared" si="0"/>
        <v>0</v>
      </c>
      <c r="S8" s="912">
        <f t="shared" si="1"/>
        <v>0</v>
      </c>
      <c r="T8" s="1720" t="str">
        <f>IF(W8=0,"",人物卡!AB21)</f>
        <v/>
      </c>
      <c r="U8" s="1721"/>
      <c r="V8" s="1721"/>
      <c r="W8" s="919">
        <f>IF(人物卡!AN21-人物卡!AF21=0,0,人物卡!AN21)</f>
        <v>0</v>
      </c>
      <c r="X8" s="920">
        <f t="shared" si="2"/>
        <v>0</v>
      </c>
      <c r="Y8" s="923">
        <f t="shared" si="3"/>
        <v>0</v>
      </c>
      <c r="Z8" s="1730">
        <f>人物卡!W131</f>
        <v>0</v>
      </c>
      <c r="AA8" s="1731"/>
      <c r="AB8" s="1732">
        <f>人物卡!AD131</f>
        <v>0</v>
      </c>
      <c r="AC8" s="1731"/>
      <c r="AD8" s="1731"/>
      <c r="AE8" s="1733"/>
    </row>
    <row r="9" spans="2:31" ht="17" customHeight="1">
      <c r="B9" s="1871" t="s">
        <v>325</v>
      </c>
      <c r="C9" s="1845" t="str">
        <f>人物卡!AP52</f>
        <v>+1D4</v>
      </c>
      <c r="D9" s="1845"/>
      <c r="E9" s="1840" t="s">
        <v>326</v>
      </c>
      <c r="F9" s="1840" t="str">
        <f>人物卡!AP55</f>
        <v>1</v>
      </c>
      <c r="G9" s="1841"/>
      <c r="H9" s="1845" t="s">
        <v>327</v>
      </c>
      <c r="I9" s="1845">
        <f>附表!O14</f>
        <v>70</v>
      </c>
      <c r="J9" s="1845"/>
      <c r="K9" s="1840" t="s">
        <v>328</v>
      </c>
      <c r="L9" s="1840">
        <f>人物卡!AF10</f>
        <v>8</v>
      </c>
      <c r="M9" s="1890"/>
      <c r="N9" s="904">
        <f t="shared" si="4"/>
        <v>0</v>
      </c>
      <c r="O9" s="1724" t="str">
        <f>IF(N9=0,"",人物卡!H22)</f>
        <v/>
      </c>
      <c r="P9" s="1719"/>
      <c r="Q9" s="910">
        <f>IF(人物卡!R22-人物卡!J22=0,0,人物卡!R22)</f>
        <v>0</v>
      </c>
      <c r="R9" s="911">
        <f t="shared" si="0"/>
        <v>0</v>
      </c>
      <c r="S9" s="912">
        <f t="shared" si="1"/>
        <v>0</v>
      </c>
      <c r="T9" s="1720" t="str">
        <f>IF(W9=0,"",人物卡!AB22)</f>
        <v>博物学</v>
      </c>
      <c r="U9" s="1721"/>
      <c r="V9" s="1721"/>
      <c r="W9" s="919">
        <f>IF(人物卡!AN22-人物卡!AF22=0,0,人物卡!AN22)</f>
        <v>50</v>
      </c>
      <c r="X9" s="920">
        <f t="shared" si="2"/>
        <v>25</v>
      </c>
      <c r="Y9" s="923">
        <f t="shared" si="3"/>
        <v>10</v>
      </c>
      <c r="Z9" s="1730">
        <f>人物卡!W132</f>
        <v>0</v>
      </c>
      <c r="AA9" s="1731"/>
      <c r="AB9" s="1732">
        <f>人物卡!AD132</f>
        <v>0</v>
      </c>
      <c r="AC9" s="1731"/>
      <c r="AD9" s="1731"/>
      <c r="AE9" s="1733"/>
    </row>
    <row r="10" spans="2:31" ht="17" customHeight="1">
      <c r="B10" s="1872"/>
      <c r="C10" s="1846"/>
      <c r="D10" s="1846"/>
      <c r="E10" s="1856"/>
      <c r="F10" s="1856"/>
      <c r="G10" s="1856"/>
      <c r="H10" s="1846"/>
      <c r="I10" s="1846"/>
      <c r="J10" s="1846"/>
      <c r="K10" s="1856"/>
      <c r="L10" s="1856"/>
      <c r="M10" s="1899"/>
      <c r="N10" s="1718" t="str">
        <f>IF(Q10=0,"",人物卡!F23)</f>
        <v>取悦</v>
      </c>
      <c r="O10" s="1719"/>
      <c r="P10" s="1719"/>
      <c r="Q10" s="910">
        <f>IF(人物卡!R23-人物卡!J23=0,0,人物卡!R23)</f>
        <v>49</v>
      </c>
      <c r="R10" s="911">
        <f t="shared" si="0"/>
        <v>24</v>
      </c>
      <c r="S10" s="912">
        <f t="shared" si="1"/>
        <v>9</v>
      </c>
      <c r="T10" s="1720" t="str">
        <f>IF(W10=0,"",人物卡!AB23)</f>
        <v/>
      </c>
      <c r="U10" s="1721"/>
      <c r="V10" s="1721"/>
      <c r="W10" s="919">
        <f>IF(人物卡!AN23-人物卡!AF23=0,0,人物卡!AN23)</f>
        <v>0</v>
      </c>
      <c r="X10" s="920">
        <f t="shared" si="2"/>
        <v>0</v>
      </c>
      <c r="Y10" s="923">
        <f t="shared" si="3"/>
        <v>0</v>
      </c>
      <c r="Z10" s="1730">
        <f>人物卡!W133</f>
        <v>0</v>
      </c>
      <c r="AA10" s="1731"/>
      <c r="AB10" s="1732">
        <f>人物卡!AD133</f>
        <v>0</v>
      </c>
      <c r="AC10" s="1731"/>
      <c r="AD10" s="1731"/>
      <c r="AE10" s="1733"/>
    </row>
    <row r="11" spans="2:31" ht="17" customHeight="1">
      <c r="B11" s="1712" t="s">
        <v>158</v>
      </c>
      <c r="C11" s="1713"/>
      <c r="D11" s="1713"/>
      <c r="E11" s="1713"/>
      <c r="F11" s="1713"/>
      <c r="G11" s="1713"/>
      <c r="H11" s="1713"/>
      <c r="I11" s="1713"/>
      <c r="J11" s="1713"/>
      <c r="K11" s="1713"/>
      <c r="L11" s="1713"/>
      <c r="M11" s="1714"/>
      <c r="N11" s="1718" t="str">
        <f>IF(Q11=0,"",人物卡!F24)</f>
        <v/>
      </c>
      <c r="O11" s="1719"/>
      <c r="P11" s="1719"/>
      <c r="Q11" s="910">
        <f>IF(人物卡!R24-人物卡!J24=0,0,人物卡!R24)</f>
        <v>0</v>
      </c>
      <c r="R11" s="911">
        <f t="shared" si="0"/>
        <v>0</v>
      </c>
      <c r="S11" s="912">
        <f t="shared" si="1"/>
        <v>0</v>
      </c>
      <c r="T11" s="1720" t="str">
        <f>IF(W11=0,"",人物卡!AB24)</f>
        <v/>
      </c>
      <c r="U11" s="1721"/>
      <c r="V11" s="1721"/>
      <c r="W11" s="919">
        <f>IF(人物卡!AN24-人物卡!AF24=0,0,人物卡!AN24)</f>
        <v>0</v>
      </c>
      <c r="X11" s="920">
        <f t="shared" si="2"/>
        <v>0</v>
      </c>
      <c r="Y11" s="923">
        <f t="shared" si="3"/>
        <v>0</v>
      </c>
      <c r="Z11" s="1730">
        <f>人物卡!W134</f>
        <v>0</v>
      </c>
      <c r="AA11" s="1731"/>
      <c r="AB11" s="1732">
        <f>人物卡!AD134</f>
        <v>0</v>
      </c>
      <c r="AC11" s="1731"/>
      <c r="AD11" s="1731"/>
      <c r="AE11" s="1733"/>
    </row>
    <row r="12" spans="2:31" ht="17" customHeight="1">
      <c r="B12" s="891">
        <f>人物卡!B53</f>
        <v>0</v>
      </c>
      <c r="C12" s="892">
        <f>人物卡!G53</f>
        <v>0</v>
      </c>
      <c r="D12" s="892">
        <f>人物卡!M53</f>
        <v>0</v>
      </c>
      <c r="E12" s="892">
        <f>人物卡!Q53</f>
        <v>0</v>
      </c>
      <c r="F12" s="892">
        <f>人物卡!S53</f>
        <v>0</v>
      </c>
      <c r="G12" s="892">
        <f>人物卡!U53</f>
        <v>0</v>
      </c>
      <c r="H12" s="892">
        <f>人物卡!W53</f>
        <v>0</v>
      </c>
      <c r="I12" s="892">
        <f>人物卡!AA53</f>
        <v>0</v>
      </c>
      <c r="J12" s="892">
        <f>人物卡!AC53</f>
        <v>0</v>
      </c>
      <c r="K12" s="892">
        <f>人物卡!AE53</f>
        <v>0</v>
      </c>
      <c r="L12" s="892">
        <f>人物卡!AG53</f>
        <v>0</v>
      </c>
      <c r="M12" s="905">
        <f>人物卡!AJ53</f>
        <v>0</v>
      </c>
      <c r="N12" s="1718" t="str">
        <f>IF(Q12=0,"",人物卡!F25)</f>
        <v/>
      </c>
      <c r="O12" s="1719"/>
      <c r="P12" s="1719"/>
      <c r="Q12" s="910">
        <f>IF(人物卡!R25-人物卡!J25=0,0,人物卡!R25)</f>
        <v>0</v>
      </c>
      <c r="R12" s="911">
        <f t="shared" si="0"/>
        <v>0</v>
      </c>
      <c r="S12" s="912">
        <f t="shared" si="1"/>
        <v>0</v>
      </c>
      <c r="T12" s="1720" t="str">
        <f>IF(W12=0,"",人物卡!AB25)</f>
        <v/>
      </c>
      <c r="U12" s="1721"/>
      <c r="V12" s="1721"/>
      <c r="W12" s="919">
        <f>IF(人物卡!AN25-人物卡!AF25=0,0,人物卡!AN25)</f>
        <v>0</v>
      </c>
      <c r="X12" s="920">
        <f t="shared" si="2"/>
        <v>0</v>
      </c>
      <c r="Y12" s="923">
        <f t="shared" si="3"/>
        <v>0</v>
      </c>
      <c r="Z12" s="1730">
        <f>人物卡!W135</f>
        <v>0</v>
      </c>
      <c r="AA12" s="1731"/>
      <c r="AB12" s="1732">
        <f>人物卡!AD135</f>
        <v>0</v>
      </c>
      <c r="AC12" s="1731"/>
      <c r="AD12" s="1731"/>
      <c r="AE12" s="1733"/>
    </row>
    <row r="13" spans="2:31" ht="17" customHeight="1">
      <c r="B13" s="893">
        <f>人物卡!B54</f>
        <v>0</v>
      </c>
      <c r="C13" s="894">
        <f>人物卡!G54</f>
        <v>0</v>
      </c>
      <c r="D13" s="894">
        <f>IF(人物卡!M54="请选择类型","",人物卡!M54)</f>
        <v>0</v>
      </c>
      <c r="E13" s="894">
        <f>人物卡!Q54</f>
        <v>0</v>
      </c>
      <c r="F13" s="894">
        <f>人物卡!S54</f>
        <v>0</v>
      </c>
      <c r="G13" s="894">
        <f>人物卡!U54</f>
        <v>0</v>
      </c>
      <c r="H13" s="894">
        <f>人物卡!W54</f>
        <v>0</v>
      </c>
      <c r="I13" s="894">
        <f>人物卡!AA54</f>
        <v>0</v>
      </c>
      <c r="J13" s="894">
        <f>人物卡!AC54</f>
        <v>0</v>
      </c>
      <c r="K13" s="894">
        <f>人物卡!AE54</f>
        <v>0</v>
      </c>
      <c r="L13" s="894">
        <f>人物卡!AG54</f>
        <v>0</v>
      </c>
      <c r="M13" s="906">
        <f>人物卡!AJ54</f>
        <v>0</v>
      </c>
      <c r="N13" s="1718" t="str">
        <f>人物卡!F26</f>
        <v>信用评级</v>
      </c>
      <c r="O13" s="1719"/>
      <c r="P13" s="1719"/>
      <c r="Q13" s="681">
        <f>人物卡!R26</f>
        <v>50</v>
      </c>
      <c r="R13" s="913">
        <f>IF(Q13=0,32767,INT(Q13/2))</f>
        <v>25</v>
      </c>
      <c r="S13" s="914">
        <f>IF(Q13=0,32767,INT(Q13/5))</f>
        <v>10</v>
      </c>
      <c r="T13" s="1720" t="str">
        <f>IF(W13=0,"",人物卡!AB26)</f>
        <v>说服</v>
      </c>
      <c r="U13" s="1721"/>
      <c r="V13" s="1721"/>
      <c r="W13" s="919">
        <f>IF(人物卡!AN26-人物卡!AF26=0,0,人物卡!AN26)</f>
        <v>49</v>
      </c>
      <c r="X13" s="920">
        <f t="shared" si="2"/>
        <v>24</v>
      </c>
      <c r="Y13" s="923">
        <f t="shared" si="3"/>
        <v>9</v>
      </c>
      <c r="Z13" s="1730">
        <f>人物卡!W136</f>
        <v>0</v>
      </c>
      <c r="AA13" s="1731"/>
      <c r="AB13" s="1732">
        <f>人物卡!AD136</f>
        <v>0</v>
      </c>
      <c r="AC13" s="1731"/>
      <c r="AD13" s="1731"/>
      <c r="AE13" s="1733"/>
    </row>
    <row r="14" spans="2:31" ht="17" customHeight="1">
      <c r="B14" s="895" t="str">
        <f>人物卡!B55</f>
        <v>好用的刀</v>
      </c>
      <c r="C14" s="896" t="str">
        <f>人物卡!G55</f>
        <v>小型刀具(弹簧折叠刀等)</v>
      </c>
      <c r="D14" s="896" t="str">
        <f>IF(人物卡!M55="请选择类型","",人物卡!M55)</f>
        <v>斗殴</v>
      </c>
      <c r="E14" s="896">
        <f>人物卡!Q55</f>
        <v>65</v>
      </c>
      <c r="F14" s="896">
        <f>人物卡!S55</f>
        <v>32</v>
      </c>
      <c r="G14" s="896">
        <f>人物卡!U55</f>
        <v>13</v>
      </c>
      <c r="H14" s="896" t="str">
        <f>人物卡!W55</f>
        <v>1D4+DB</v>
      </c>
      <c r="I14" s="896" t="str">
        <f>人物卡!AA55</f>
        <v>接触</v>
      </c>
      <c r="J14" s="896" t="str">
        <f>人物卡!AC55</f>
        <v>√</v>
      </c>
      <c r="K14" s="896" t="str">
        <f>人物卡!AE55</f>
        <v>1</v>
      </c>
      <c r="L14" s="896" t="str">
        <f>人物卡!AG55</f>
        <v>——</v>
      </c>
      <c r="M14" s="907" t="str">
        <f>人物卡!AJ55</f>
        <v>——</v>
      </c>
      <c r="N14" s="1718" t="str">
        <f>IF(Q14=0,"",人物卡!F27)</f>
        <v/>
      </c>
      <c r="O14" s="1719"/>
      <c r="P14" s="1719"/>
      <c r="Q14" s="910">
        <f>IF(人物卡!R27-人物卡!J27=0,0,人物卡!R27)</f>
        <v>0</v>
      </c>
      <c r="R14" s="911">
        <f t="shared" ref="R14:R35" si="5">INT(Q14/2)</f>
        <v>0</v>
      </c>
      <c r="S14" s="912">
        <f t="shared" ref="S14:S35" si="6">INT(Q14/5)</f>
        <v>0</v>
      </c>
      <c r="T14" s="915">
        <f>IF(W14=0,0,人物卡!AB27)</f>
        <v>0</v>
      </c>
      <c r="U14" s="1720" t="str">
        <f>IF(T14=0,"",人物卡!AD27)</f>
        <v/>
      </c>
      <c r="V14" s="1721"/>
      <c r="W14" s="919">
        <f>IF(人物卡!AN27-人物卡!AF27=0,0,人物卡!AN27)</f>
        <v>0</v>
      </c>
      <c r="X14" s="920">
        <f t="shared" si="2"/>
        <v>0</v>
      </c>
      <c r="Y14" s="923">
        <f t="shared" si="3"/>
        <v>0</v>
      </c>
      <c r="Z14" s="1730">
        <f>人物卡!W137</f>
        <v>0</v>
      </c>
      <c r="AA14" s="1731"/>
      <c r="AB14" s="1732">
        <f>人物卡!AD137</f>
        <v>0</v>
      </c>
      <c r="AC14" s="1731"/>
      <c r="AD14" s="1731"/>
      <c r="AE14" s="1733"/>
    </row>
    <row r="15" spans="2:31" ht="17" customHeight="1">
      <c r="B15" s="893" t="str">
        <f>人物卡!B56</f>
        <v>好用的枪</v>
      </c>
      <c r="C15" s="894" t="str">
        <f>人物卡!G56</f>
        <v>.357 马格南左轮</v>
      </c>
      <c r="D15" s="894" t="str">
        <f>IF(人物卡!M56="请选择类型","",人物卡!M56)</f>
        <v>手枪</v>
      </c>
      <c r="E15" s="894">
        <f>人物卡!Q56</f>
        <v>70</v>
      </c>
      <c r="F15" s="894">
        <f>人物卡!S56</f>
        <v>35</v>
      </c>
      <c r="G15" s="894">
        <f>人物卡!U56</f>
        <v>14</v>
      </c>
      <c r="H15" s="894" t="str">
        <f>人物卡!W56</f>
        <v>1D8+1D4</v>
      </c>
      <c r="I15" s="894" t="str">
        <f>人物卡!AA56</f>
        <v>15</v>
      </c>
      <c r="J15" s="894" t="str">
        <f>人物卡!AC56</f>
        <v>√</v>
      </c>
      <c r="K15" s="894" t="str">
        <f>人物卡!AE56</f>
        <v>1(3)</v>
      </c>
      <c r="L15" s="894" t="str">
        <f>人物卡!AG56</f>
        <v>6</v>
      </c>
      <c r="M15" s="906" t="str">
        <f>人物卡!AJ56</f>
        <v>100</v>
      </c>
      <c r="N15" s="1718" t="str">
        <f>IF(Q15=0,"",人物卡!F28)</f>
        <v/>
      </c>
      <c r="O15" s="1719"/>
      <c r="P15" s="1719"/>
      <c r="Q15" s="910">
        <f>IF(人物卡!R28-人物卡!J28=0,0,人物卡!R28)</f>
        <v>0</v>
      </c>
      <c r="R15" s="911">
        <f t="shared" si="5"/>
        <v>0</v>
      </c>
      <c r="S15" s="912">
        <f t="shared" si="6"/>
        <v>0</v>
      </c>
      <c r="T15" s="1720" t="str">
        <f>IF(W15=0,"",人物卡!AB28)</f>
        <v/>
      </c>
      <c r="U15" s="1721"/>
      <c r="V15" s="1721"/>
      <c r="W15" s="919">
        <f>IF(人物卡!AN28-人物卡!AF28=0,0,人物卡!AN28)</f>
        <v>0</v>
      </c>
      <c r="X15" s="920">
        <f t="shared" si="2"/>
        <v>0</v>
      </c>
      <c r="Y15" s="923">
        <f t="shared" si="3"/>
        <v>0</v>
      </c>
      <c r="Z15" s="1730">
        <f>人物卡!W138</f>
        <v>0</v>
      </c>
      <c r="AA15" s="1731"/>
      <c r="AB15" s="1732">
        <f>人物卡!AD138</f>
        <v>0</v>
      </c>
      <c r="AC15" s="1731"/>
      <c r="AD15" s="1731"/>
      <c r="AE15" s="1733"/>
    </row>
    <row r="16" spans="2:31" ht="17" customHeight="1">
      <c r="B16" s="895">
        <f>人物卡!B57</f>
        <v>0</v>
      </c>
      <c r="C16" s="896">
        <f>人物卡!G57</f>
        <v>0</v>
      </c>
      <c r="D16" s="896">
        <f>IF(人物卡!M57="请选择类型","",人物卡!M57)</f>
        <v>0</v>
      </c>
      <c r="E16" s="896">
        <f>人物卡!Q57</f>
        <v>0</v>
      </c>
      <c r="F16" s="896">
        <f>人物卡!S57</f>
        <v>0</v>
      </c>
      <c r="G16" s="896">
        <f>人物卡!U57</f>
        <v>0</v>
      </c>
      <c r="H16" s="896">
        <f>人物卡!W57</f>
        <v>0</v>
      </c>
      <c r="I16" s="896">
        <f>人物卡!AA57</f>
        <v>0</v>
      </c>
      <c r="J16" s="896">
        <f>人物卡!AC57</f>
        <v>0</v>
      </c>
      <c r="K16" s="896">
        <f>人物卡!AE57</f>
        <v>0</v>
      </c>
      <c r="L16" s="896">
        <f>人物卡!AG57</f>
        <v>0</v>
      </c>
      <c r="M16" s="907">
        <f>人物卡!AJ57</f>
        <v>0</v>
      </c>
      <c r="N16" s="1718" t="str">
        <f>人物卡!F29</f>
        <v>闪避</v>
      </c>
      <c r="O16" s="1719"/>
      <c r="P16" s="1719"/>
      <c r="Q16" s="681">
        <f>人物卡!R29</f>
        <v>44</v>
      </c>
      <c r="R16" s="913">
        <f>IF(Q16=0,32767,INT(Q16/2))</f>
        <v>22</v>
      </c>
      <c r="S16" s="914">
        <f>IF(Q16=0,32767,INT(Q16/5))</f>
        <v>8</v>
      </c>
      <c r="T16" s="1720" t="str">
        <f>IF(W16=0,"",人物卡!AB29)</f>
        <v>心理学</v>
      </c>
      <c r="U16" s="1721"/>
      <c r="V16" s="1721"/>
      <c r="W16" s="919">
        <f>IF(人物卡!AN29-人物卡!AF29=0,0,人物卡!AN29)</f>
        <v>49</v>
      </c>
      <c r="X16" s="920">
        <f t="shared" si="2"/>
        <v>24</v>
      </c>
      <c r="Y16" s="923">
        <f t="shared" si="3"/>
        <v>9</v>
      </c>
      <c r="Z16" s="1730">
        <f>人物卡!W139</f>
        <v>0</v>
      </c>
      <c r="AA16" s="1731"/>
      <c r="AB16" s="1732">
        <f>人物卡!AD139</f>
        <v>0</v>
      </c>
      <c r="AC16" s="1731"/>
      <c r="AD16" s="1731"/>
      <c r="AE16" s="1733"/>
    </row>
    <row r="17" spans="2:31" ht="17" customHeight="1">
      <c r="B17" s="1712" t="s">
        <v>173</v>
      </c>
      <c r="C17" s="1713"/>
      <c r="D17" s="1713"/>
      <c r="E17" s="1713"/>
      <c r="F17" s="1713"/>
      <c r="G17" s="1713"/>
      <c r="H17" s="1713"/>
      <c r="I17" s="1713"/>
      <c r="J17" s="1713"/>
      <c r="K17" s="1713"/>
      <c r="L17" s="1713"/>
      <c r="M17" s="1714"/>
      <c r="N17" s="1718" t="str">
        <f>IF(Q17=0,"",人物卡!F30)</f>
        <v/>
      </c>
      <c r="O17" s="1719"/>
      <c r="P17" s="1719"/>
      <c r="Q17" s="910">
        <f>IF(人物卡!R30-人物卡!J30=0,0,人物卡!R30)</f>
        <v>0</v>
      </c>
      <c r="R17" s="911">
        <f t="shared" si="5"/>
        <v>0</v>
      </c>
      <c r="S17" s="912">
        <f t="shared" si="6"/>
        <v>0</v>
      </c>
      <c r="T17" s="1720" t="str">
        <f>IF(W17=0,"",人物卡!AB30)</f>
        <v/>
      </c>
      <c r="U17" s="1721"/>
      <c r="V17" s="1721"/>
      <c r="W17" s="919">
        <f>IF(人物卡!AN30-人物卡!AF30=0,0,人物卡!AN30)</f>
        <v>0</v>
      </c>
      <c r="X17" s="920">
        <f t="shared" si="2"/>
        <v>0</v>
      </c>
      <c r="Y17" s="923">
        <f t="shared" si="3"/>
        <v>0</v>
      </c>
      <c r="Z17" s="1734">
        <f>人物卡!W140</f>
        <v>0</v>
      </c>
      <c r="AA17" s="1735"/>
      <c r="AB17" s="1736">
        <f>人物卡!AD140</f>
        <v>0</v>
      </c>
      <c r="AC17" s="1735"/>
      <c r="AD17" s="1735"/>
      <c r="AE17" s="1737"/>
    </row>
    <row r="18" spans="2:31" ht="17" customHeight="1">
      <c r="B18" s="1738" t="s">
        <v>94</v>
      </c>
      <c r="C18" s="1739"/>
      <c r="D18" s="1739"/>
      <c r="E18" s="1740" t="s">
        <v>175</v>
      </c>
      <c r="F18" s="1739"/>
      <c r="G18" s="1740" t="s">
        <v>176</v>
      </c>
      <c r="H18" s="1739"/>
      <c r="I18" s="1740" t="s">
        <v>177</v>
      </c>
      <c r="J18" s="1739"/>
      <c r="K18" s="1740" t="s">
        <v>178</v>
      </c>
      <c r="L18" s="1739"/>
      <c r="M18" s="908" t="s">
        <v>179</v>
      </c>
      <c r="N18" s="1718" t="str">
        <f>IF(Q18=0,"",人物卡!F31)</f>
        <v/>
      </c>
      <c r="O18" s="1719"/>
      <c r="P18" s="1719"/>
      <c r="Q18" s="910">
        <f>IF(人物卡!R31-人物卡!J31=0,0,人物卡!R31)</f>
        <v>0</v>
      </c>
      <c r="R18" s="911">
        <f t="shared" si="5"/>
        <v>0</v>
      </c>
      <c r="S18" s="912">
        <f t="shared" si="6"/>
        <v>0</v>
      </c>
      <c r="T18" s="915">
        <f t="shared" ref="T18:T20" si="7">IF(W18=0,0,"科学：")</f>
        <v>0</v>
      </c>
      <c r="U18" s="1720" t="str">
        <f>IF(T18=0,"",人物卡!AD31)</f>
        <v/>
      </c>
      <c r="V18" s="1721"/>
      <c r="W18" s="919">
        <f>IF(人物卡!AN31-人物卡!AF31=0,0,人物卡!AN31)</f>
        <v>0</v>
      </c>
      <c r="X18" s="920">
        <f t="shared" si="2"/>
        <v>0</v>
      </c>
      <c r="Y18" s="923">
        <f t="shared" si="3"/>
        <v>0</v>
      </c>
      <c r="Z18" s="1857"/>
      <c r="AA18" s="1315"/>
      <c r="AB18" s="1315"/>
      <c r="AC18" s="1315"/>
      <c r="AD18" s="1315"/>
      <c r="AE18" s="1344"/>
    </row>
    <row r="19" spans="2:31" ht="17" customHeight="1">
      <c r="B19" s="1741" t="str">
        <f>人物卡!B62</f>
        <v>50%/25%/10%</v>
      </c>
      <c r="C19" s="1742"/>
      <c r="D19" s="1742"/>
      <c r="E19" s="1743" t="str">
        <f>人物卡!F62</f>
        <v>小康</v>
      </c>
      <c r="F19" s="1742"/>
      <c r="G19" s="1743" t="str">
        <f>人物卡!I62</f>
        <v>50</v>
      </c>
      <c r="H19" s="1742"/>
      <c r="I19" s="1743" t="str">
        <f>人物卡!L62</f>
        <v>2.5万</v>
      </c>
      <c r="J19" s="1742"/>
      <c r="K19" s="1743">
        <f>人物卡!O62</f>
        <v>250</v>
      </c>
      <c r="L19" s="1742"/>
      <c r="M19" s="352" t="str">
        <f>人物卡!S62</f>
        <v>美元</v>
      </c>
      <c r="N19" s="1718" t="str">
        <f>IF(Q19=0,"",人物卡!F32)</f>
        <v/>
      </c>
      <c r="O19" s="1719"/>
      <c r="P19" s="1719"/>
      <c r="Q19" s="910">
        <f>IF(人物卡!R32-人物卡!J32=0,0,人物卡!R32)</f>
        <v>0</v>
      </c>
      <c r="R19" s="911">
        <f t="shared" si="5"/>
        <v>0</v>
      </c>
      <c r="S19" s="912">
        <f t="shared" si="6"/>
        <v>0</v>
      </c>
      <c r="T19" s="915">
        <f t="shared" si="7"/>
        <v>0</v>
      </c>
      <c r="U19" s="1720" t="str">
        <f>IF(T19=0,"",人物卡!AD32)</f>
        <v/>
      </c>
      <c r="V19" s="1721"/>
      <c r="W19" s="919">
        <f>IF(人物卡!AN32-人物卡!AF32=0,0,人物卡!AN32)</f>
        <v>0</v>
      </c>
      <c r="X19" s="920">
        <f t="shared" si="2"/>
        <v>0</v>
      </c>
      <c r="Y19" s="923">
        <f t="shared" si="3"/>
        <v>0</v>
      </c>
      <c r="Z19" s="1857"/>
      <c r="AA19" s="1315"/>
      <c r="AB19" s="1315"/>
      <c r="AC19" s="1315"/>
      <c r="AD19" s="1315"/>
      <c r="AE19" s="1344"/>
    </row>
    <row r="20" spans="2:31" ht="17" customHeight="1">
      <c r="B20" s="1744">
        <f>人物卡!L63</f>
        <v>0</v>
      </c>
      <c r="C20" s="1745"/>
      <c r="D20" s="1745"/>
      <c r="E20" s="1745"/>
      <c r="F20" s="1745"/>
      <c r="G20" s="1745"/>
      <c r="H20" s="1745"/>
      <c r="I20" s="1745"/>
      <c r="J20" s="1745"/>
      <c r="K20" s="1745"/>
      <c r="L20" s="1745"/>
      <c r="M20" s="1746"/>
      <c r="N20" s="1718" t="str">
        <f>IF(Q20=0,"",人物卡!F33)</f>
        <v/>
      </c>
      <c r="O20" s="1719"/>
      <c r="P20" s="1719"/>
      <c r="Q20" s="910">
        <f>IF(人物卡!R33-人物卡!J33=0,0,人物卡!R33)</f>
        <v>0</v>
      </c>
      <c r="R20" s="911">
        <f t="shared" si="5"/>
        <v>0</v>
      </c>
      <c r="S20" s="912">
        <f t="shared" si="6"/>
        <v>0</v>
      </c>
      <c r="T20" s="915">
        <f t="shared" si="7"/>
        <v>0</v>
      </c>
      <c r="U20" s="1720" t="str">
        <f>IF(T20=0,"",人物卡!AD33)</f>
        <v/>
      </c>
      <c r="V20" s="1721"/>
      <c r="W20" s="919">
        <f>IF(人物卡!AN33-人物卡!AF33=0,0,人物卡!AN33)</f>
        <v>0</v>
      </c>
      <c r="X20" s="920">
        <f t="shared" si="2"/>
        <v>0</v>
      </c>
      <c r="Y20" s="923">
        <f t="shared" si="3"/>
        <v>0</v>
      </c>
      <c r="Z20" s="1858"/>
      <c r="AA20" s="1351"/>
      <c r="AB20" s="1351"/>
      <c r="AC20" s="1351"/>
      <c r="AD20" s="1351"/>
      <c r="AE20" s="1353"/>
    </row>
    <row r="21" spans="2:31" ht="17" customHeight="1">
      <c r="B21" s="1712" t="s">
        <v>329</v>
      </c>
      <c r="C21" s="1713"/>
      <c r="D21" s="1713"/>
      <c r="E21" s="1713"/>
      <c r="F21" s="1713"/>
      <c r="G21" s="1713"/>
      <c r="H21" s="1713"/>
      <c r="I21" s="1713"/>
      <c r="J21" s="1713"/>
      <c r="K21" s="1713"/>
      <c r="L21" s="1713"/>
      <c r="M21" s="1714"/>
      <c r="N21" s="904" t="str">
        <f t="shared" ref="N21:N24" si="8">IF(Q21=0,0,"格斗：")</f>
        <v>格斗：</v>
      </c>
      <c r="O21" s="1724" t="str">
        <f>IF(N21=0,"",人物卡!H34)</f>
        <v>斗殴</v>
      </c>
      <c r="P21" s="1719"/>
      <c r="Q21" s="910">
        <f>IF(人物卡!R34-人物卡!J34=0,0,人物卡!R34)</f>
        <v>65</v>
      </c>
      <c r="R21" s="911">
        <f t="shared" si="5"/>
        <v>32</v>
      </c>
      <c r="S21" s="912">
        <f t="shared" si="6"/>
        <v>13</v>
      </c>
      <c r="T21" s="1720" t="str">
        <f>IF(W21=0,"",人物卡!AB34)</f>
        <v/>
      </c>
      <c r="U21" s="1721"/>
      <c r="V21" s="1721"/>
      <c r="W21" s="919">
        <f>IF(人物卡!AN34-人物卡!AF34=0,0,人物卡!AN34)</f>
        <v>0</v>
      </c>
      <c r="X21" s="920">
        <f t="shared" si="2"/>
        <v>0</v>
      </c>
      <c r="Y21" s="923">
        <f t="shared" si="3"/>
        <v>0</v>
      </c>
      <c r="Z21" s="1354" t="s">
        <v>214</v>
      </c>
      <c r="AA21" s="1722"/>
      <c r="AB21" s="1722"/>
      <c r="AC21" s="1722"/>
      <c r="AD21" s="1722"/>
      <c r="AE21" s="1723"/>
    </row>
    <row r="22" spans="2:31" ht="17" customHeight="1">
      <c r="B22" s="1747" t="str">
        <f>人物卡!F79</f>
        <v>大衣</v>
      </c>
      <c r="C22" s="1748"/>
      <c r="D22" s="1748"/>
      <c r="E22" s="1748" t="str">
        <f>人物卡!F80</f>
        <v>银质项链</v>
      </c>
      <c r="F22" s="1748"/>
      <c r="G22" s="1748"/>
      <c r="H22" s="1748" t="str">
        <f>人物卡!F81</f>
        <v>护照、钱包</v>
      </c>
      <c r="I22" s="1748"/>
      <c r="J22" s="1748"/>
      <c r="K22" s="1748" t="str">
        <f>人物卡!F82</f>
        <v>公路地图</v>
      </c>
      <c r="L22" s="1748"/>
      <c r="M22" s="1749"/>
      <c r="N22" s="904">
        <f t="shared" si="8"/>
        <v>0</v>
      </c>
      <c r="O22" s="1724" t="str">
        <f>IF(N22=0,"",人物卡!H35)</f>
        <v/>
      </c>
      <c r="P22" s="1719"/>
      <c r="Q22" s="910">
        <f>IF(人物卡!R35-人物卡!J35=0,0,人物卡!R35)</f>
        <v>0</v>
      </c>
      <c r="R22" s="911">
        <f t="shared" si="5"/>
        <v>0</v>
      </c>
      <c r="S22" s="912">
        <f t="shared" si="6"/>
        <v>0</v>
      </c>
      <c r="T22" s="1720" t="str">
        <f>IF(W22=0,"",人物卡!AB35)</f>
        <v>侦查</v>
      </c>
      <c r="U22" s="1721"/>
      <c r="V22" s="1721"/>
      <c r="W22" s="919">
        <f>IF(人物卡!AN35-人物卡!AF35=0,0,人物卡!AN35)</f>
        <v>70</v>
      </c>
      <c r="X22" s="920">
        <f t="shared" si="2"/>
        <v>35</v>
      </c>
      <c r="Y22" s="923">
        <f t="shared" si="3"/>
        <v>14</v>
      </c>
      <c r="Z22" s="1750" t="s">
        <v>220</v>
      </c>
      <c r="AA22" s="1339"/>
      <c r="AB22" s="1339"/>
      <c r="AC22" s="1339"/>
      <c r="AD22" s="1751" t="s">
        <v>330</v>
      </c>
      <c r="AE22" s="1752"/>
    </row>
    <row r="23" spans="2:31" ht="17" customHeight="1">
      <c r="B23" s="1753" t="str">
        <f>人物卡!F83</f>
        <v>打火机</v>
      </c>
      <c r="C23" s="1754"/>
      <c r="D23" s="1754"/>
      <c r="E23" s="1755" t="str">
        <f>人物卡!F84</f>
        <v>车钥匙</v>
      </c>
      <c r="F23" s="1754"/>
      <c r="G23" s="1754"/>
      <c r="H23" s="1755" t="str">
        <f>人物卡!F85</f>
        <v>烟盒</v>
      </c>
      <c r="I23" s="1754"/>
      <c r="J23" s="1754"/>
      <c r="K23" s="1755" t="str">
        <f>人物卡!F90</f>
        <v>手枪</v>
      </c>
      <c r="L23" s="1754"/>
      <c r="M23" s="1756"/>
      <c r="N23" s="904">
        <f t="shared" si="8"/>
        <v>0</v>
      </c>
      <c r="O23" s="1724" t="str">
        <f>IF(N23=0,"",人物卡!H36)</f>
        <v/>
      </c>
      <c r="P23" s="1719"/>
      <c r="Q23" s="910">
        <f>IF(人物卡!R36-人物卡!J36=0,0,人物卡!R36)</f>
        <v>0</v>
      </c>
      <c r="R23" s="911">
        <f t="shared" si="5"/>
        <v>0</v>
      </c>
      <c r="S23" s="912">
        <f t="shared" si="6"/>
        <v>0</v>
      </c>
      <c r="T23" s="1720" t="str">
        <f>IF(W23=0,"",人物卡!AB36)</f>
        <v>潜行</v>
      </c>
      <c r="U23" s="1721"/>
      <c r="V23" s="1721"/>
      <c r="W23" s="919">
        <f>IF(人物卡!AN36-人物卡!AF36=0,0,人物卡!AN36)</f>
        <v>60</v>
      </c>
      <c r="X23" s="920">
        <f t="shared" si="2"/>
        <v>30</v>
      </c>
      <c r="Y23" s="923">
        <f t="shared" si="3"/>
        <v>12</v>
      </c>
      <c r="Z23" s="1753" t="str">
        <f>人物卡!W98</f>
        <v>例：米-戈</v>
      </c>
      <c r="AA23" s="1754"/>
      <c r="AB23" s="1754"/>
      <c r="AC23" s="1754"/>
      <c r="AD23" s="1755">
        <f>人物卡!AR98</f>
        <v>6</v>
      </c>
      <c r="AE23" s="1756"/>
    </row>
    <row r="24" spans="2:31" ht="17" customHeight="1">
      <c r="B24" s="1747" t="str">
        <f>人物卡!F91</f>
        <v>指南针</v>
      </c>
      <c r="C24" s="1748"/>
      <c r="D24" s="1748"/>
      <c r="E24" s="1748">
        <f>人物卡!F92</f>
        <v>0</v>
      </c>
      <c r="F24" s="1748"/>
      <c r="G24" s="1748"/>
      <c r="H24" s="1748">
        <f>人物卡!N79</f>
        <v>0</v>
      </c>
      <c r="I24" s="1748"/>
      <c r="J24" s="1748"/>
      <c r="K24" s="1748">
        <f>人物卡!N80</f>
        <v>0</v>
      </c>
      <c r="L24" s="1748"/>
      <c r="M24" s="1749"/>
      <c r="N24" s="904">
        <f t="shared" si="8"/>
        <v>0</v>
      </c>
      <c r="O24" s="1724" t="str">
        <f>IF(N24=0,"",人物卡!H37)</f>
        <v/>
      </c>
      <c r="P24" s="1719"/>
      <c r="Q24" s="910">
        <f>IF(人物卡!R37-人物卡!J37=0,0,人物卡!R37)</f>
        <v>0</v>
      </c>
      <c r="R24" s="911">
        <f t="shared" si="5"/>
        <v>0</v>
      </c>
      <c r="S24" s="912">
        <f t="shared" si="6"/>
        <v>0</v>
      </c>
      <c r="T24" s="915">
        <f>IF(W24=0,0,人物卡!AB37)</f>
        <v>0</v>
      </c>
      <c r="U24" s="1720" t="str">
        <f>IF(T24=0,"",人物卡!AD37)</f>
        <v/>
      </c>
      <c r="V24" s="1721"/>
      <c r="W24" s="919">
        <f>IF(人物卡!AN37-人物卡!AF37=0,0,人物卡!AN37)</f>
        <v>0</v>
      </c>
      <c r="X24" s="920">
        <f t="shared" si="2"/>
        <v>0</v>
      </c>
      <c r="Y24" s="923">
        <f t="shared" si="3"/>
        <v>0</v>
      </c>
      <c r="Z24" s="1753" t="str">
        <f>人物卡!W99</f>
        <v>例：修格斯</v>
      </c>
      <c r="AA24" s="1754"/>
      <c r="AB24" s="1754"/>
      <c r="AC24" s="1754"/>
      <c r="AD24" s="1755">
        <f>人物卡!AR99</f>
        <v>5</v>
      </c>
      <c r="AE24" s="1756"/>
    </row>
    <row r="25" spans="2:31" ht="17" customHeight="1">
      <c r="B25" s="1753">
        <f>人物卡!N81</f>
        <v>0</v>
      </c>
      <c r="C25" s="1754"/>
      <c r="D25" s="1754"/>
      <c r="E25" s="1755">
        <f>人物卡!N82</f>
        <v>0</v>
      </c>
      <c r="F25" s="1754"/>
      <c r="G25" s="1754"/>
      <c r="H25" s="1755">
        <f>人物卡!N83</f>
        <v>0</v>
      </c>
      <c r="I25" s="1754"/>
      <c r="J25" s="1754"/>
      <c r="K25" s="1755">
        <f>人物卡!N84</f>
        <v>0</v>
      </c>
      <c r="L25" s="1754"/>
      <c r="M25" s="1756"/>
      <c r="N25" s="904" t="str">
        <f t="shared" ref="N25:N28" si="9">IF(Q25=0,0,"射击：")</f>
        <v>射击：</v>
      </c>
      <c r="O25" s="1724" t="str">
        <f>IF(N25=0,"",人物卡!H38)</f>
        <v>手枪</v>
      </c>
      <c r="P25" s="1719"/>
      <c r="Q25" s="910">
        <f>IF(人物卡!R38-人物卡!J38=0,0,人物卡!R38)</f>
        <v>70</v>
      </c>
      <c r="R25" s="911">
        <f t="shared" si="5"/>
        <v>35</v>
      </c>
      <c r="S25" s="912">
        <f t="shared" si="6"/>
        <v>14</v>
      </c>
      <c r="T25" s="1720" t="str">
        <f>IF(W25=0,"",人物卡!AB38)</f>
        <v/>
      </c>
      <c r="U25" s="1721"/>
      <c r="V25" s="1721"/>
      <c r="W25" s="919">
        <f>IF(人物卡!AN38-人物卡!AF38=0,0,人物卡!AN38)</f>
        <v>0</v>
      </c>
      <c r="X25" s="920">
        <f t="shared" si="2"/>
        <v>0</v>
      </c>
      <c r="Y25" s="923">
        <f t="shared" si="3"/>
        <v>0</v>
      </c>
      <c r="Z25" s="1753">
        <f>人物卡!W100</f>
        <v>0</v>
      </c>
      <c r="AA25" s="1754"/>
      <c r="AB25" s="1754"/>
      <c r="AC25" s="1754"/>
      <c r="AD25" s="1755">
        <f>人物卡!AR100</f>
        <v>0</v>
      </c>
      <c r="AE25" s="1756"/>
    </row>
    <row r="26" spans="2:31" ht="17" customHeight="1">
      <c r="B26" s="1757">
        <f>人物卡!N85</f>
        <v>0</v>
      </c>
      <c r="C26" s="1758"/>
      <c r="D26" s="1758"/>
      <c r="E26" s="1758">
        <f>人物卡!N90</f>
        <v>0</v>
      </c>
      <c r="F26" s="1758"/>
      <c r="G26" s="1758"/>
      <c r="H26" s="1758">
        <f>人物卡!N91</f>
        <v>0</v>
      </c>
      <c r="I26" s="1758"/>
      <c r="J26" s="1758"/>
      <c r="K26" s="1758">
        <f>人物卡!N92</f>
        <v>0</v>
      </c>
      <c r="L26" s="1758"/>
      <c r="M26" s="1759"/>
      <c r="N26" s="904">
        <f t="shared" si="9"/>
        <v>0</v>
      </c>
      <c r="O26" s="1724" t="str">
        <f>IF(N26=0,"",人物卡!H39)</f>
        <v/>
      </c>
      <c r="P26" s="1719"/>
      <c r="Q26" s="910">
        <f>IF(人物卡!R39-人物卡!J39=0,0,人物卡!R39)</f>
        <v>0</v>
      </c>
      <c r="R26" s="911">
        <f t="shared" si="5"/>
        <v>0</v>
      </c>
      <c r="S26" s="912">
        <f t="shared" si="6"/>
        <v>0</v>
      </c>
      <c r="T26" s="1720" t="str">
        <f>IF(W26=0,"",人物卡!AB39)</f>
        <v/>
      </c>
      <c r="U26" s="1721"/>
      <c r="V26" s="1721"/>
      <c r="W26" s="919">
        <f>IF(人物卡!AN39-人物卡!AF39=0,0,人物卡!AN39)</f>
        <v>0</v>
      </c>
      <c r="X26" s="920">
        <f t="shared" si="2"/>
        <v>0</v>
      </c>
      <c r="Y26" s="923">
        <f t="shared" si="3"/>
        <v>0</v>
      </c>
      <c r="Z26" s="1753">
        <f>人物卡!W101</f>
        <v>0</v>
      </c>
      <c r="AA26" s="1754"/>
      <c r="AB26" s="1754"/>
      <c r="AC26" s="1754"/>
      <c r="AD26" s="1755">
        <f>人物卡!AR101</f>
        <v>0</v>
      </c>
      <c r="AE26" s="1756"/>
    </row>
    <row r="27" spans="2:31" ht="17" customHeight="1">
      <c r="B27" s="1760" t="s">
        <v>174</v>
      </c>
      <c r="C27" s="1761"/>
      <c r="D27" s="1761"/>
      <c r="E27" s="1761"/>
      <c r="F27" s="1761"/>
      <c r="G27" s="1761"/>
      <c r="H27" s="1761"/>
      <c r="I27" s="1761"/>
      <c r="J27" s="1761"/>
      <c r="K27" s="1761"/>
      <c r="L27" s="1761"/>
      <c r="M27" s="1762"/>
      <c r="N27" s="904">
        <f t="shared" si="9"/>
        <v>0</v>
      </c>
      <c r="O27" s="1724" t="str">
        <f>IF(N27=0,"",人物卡!H40)</f>
        <v/>
      </c>
      <c r="P27" s="1719"/>
      <c r="Q27" s="910">
        <f>IF(人物卡!R40-人物卡!J40=0,0,人物卡!R40)</f>
        <v>0</v>
      </c>
      <c r="R27" s="911">
        <f t="shared" si="5"/>
        <v>0</v>
      </c>
      <c r="S27" s="912">
        <f t="shared" si="6"/>
        <v>0</v>
      </c>
      <c r="T27" s="1720" t="str">
        <f>IF(W27=0,"",人物卡!AB40)</f>
        <v>追踪</v>
      </c>
      <c r="U27" s="1721"/>
      <c r="V27" s="1721"/>
      <c r="W27" s="919">
        <f>IF(人物卡!AN40-人物卡!AF40=0,0,人物卡!AN40)</f>
        <v>50</v>
      </c>
      <c r="X27" s="920">
        <f t="shared" si="2"/>
        <v>25</v>
      </c>
      <c r="Y27" s="923">
        <f t="shared" si="3"/>
        <v>10</v>
      </c>
      <c r="Z27" s="1753">
        <f>人物卡!W102</f>
        <v>0</v>
      </c>
      <c r="AA27" s="1754"/>
      <c r="AB27" s="1754"/>
      <c r="AC27" s="1754"/>
      <c r="AD27" s="1755">
        <f>人物卡!AR102</f>
        <v>0</v>
      </c>
      <c r="AE27" s="1756"/>
    </row>
    <row r="28" spans="2:31" ht="17" customHeight="1">
      <c r="B28" s="341" t="s">
        <v>331</v>
      </c>
      <c r="C28" s="1763" t="str">
        <f>人物卡!AA61</f>
        <v>肩背宽阔的青年，体格健壮，深棕色头发，灰绿色眼睛，以相貌而言，乍一看，人们会认为他应当是流连于酒场的生意人，碰巧有些运动爱好。然而，他的手积满了厚茧</v>
      </c>
      <c r="D28" s="1754"/>
      <c r="E28" s="1754"/>
      <c r="F28" s="1754"/>
      <c r="G28" s="898" t="s">
        <v>332</v>
      </c>
      <c r="H28" s="1895" t="str">
        <f>人物卡!W77</f>
        <v xml:space="preserve">十四岁那年，艾迪安与朋友在韦科尔山徒步时失足滚下山崖。幸运的是，他最后只摔断了一根肋骨，外加满身擦伤。  
获救后，父亲问他当时是不是吓坏了。艾迪安想了一会儿，发现自己并没怎么害怕。坠落时，他甚至还有心思判断该用哪里着地，停下来后的第一件事也是检查自己还能不能动。第二件事——噢，他那时候在想：这里的云真好看。  
这让十四岁的艾迪安第一次意识到，自己似乎没什么恐惧心。后来，他开始主动寻找那些别人避之不及的地方：废弃矿洞、地下河、无人山区，以及地图上只有一片空白的角落。  
成年后，艾迪安成为了一名探险家。家里对此颇有微词，他则认为这比坐办公室适合自己。  
如今，他的探索版图从欧洲一路扩展到了另一块大陆。美国的阿巴拉契亚山脉是个不错的开始。  </v>
      </c>
      <c r="I28" s="1895"/>
      <c r="J28" s="1895"/>
      <c r="K28" s="1895"/>
      <c r="L28" s="1895"/>
      <c r="M28" s="1896"/>
      <c r="N28" s="904">
        <f t="shared" si="9"/>
        <v>0</v>
      </c>
      <c r="O28" s="1724" t="str">
        <f>IF(N28=0,"",人物卡!H41)</f>
        <v/>
      </c>
      <c r="P28" s="1719"/>
      <c r="Q28" s="910">
        <f>IF(人物卡!R41-人物卡!J41=0,0,人物卡!R41)</f>
        <v>0</v>
      </c>
      <c r="R28" s="911">
        <f t="shared" si="5"/>
        <v>0</v>
      </c>
      <c r="S28" s="912">
        <f t="shared" si="6"/>
        <v>0</v>
      </c>
      <c r="T28" s="1720" t="str">
        <f>IF(W28=0,"",人物卡!AB41)</f>
        <v/>
      </c>
      <c r="U28" s="1721"/>
      <c r="V28" s="1721"/>
      <c r="W28" s="919">
        <f>IF(人物卡!AN41-人物卡!AF41=0,0,人物卡!AN41)</f>
        <v>0</v>
      </c>
      <c r="X28" s="920">
        <f t="shared" si="2"/>
        <v>0</v>
      </c>
      <c r="Y28" s="923">
        <f t="shared" si="3"/>
        <v>0</v>
      </c>
      <c r="Z28" s="1753">
        <f>人物卡!W103</f>
        <v>0</v>
      </c>
      <c r="AA28" s="1754"/>
      <c r="AB28" s="1754"/>
      <c r="AC28" s="1754"/>
      <c r="AD28" s="1755">
        <f>人物卡!AR103</f>
        <v>0</v>
      </c>
      <c r="AE28" s="1756"/>
    </row>
    <row r="29" spans="2:31" ht="17" customHeight="1">
      <c r="B29" s="339" t="s">
        <v>333</v>
      </c>
      <c r="C29" s="1764" t="str">
        <f>人物卡!AA63</f>
        <v>未知并不可怖——无知才是。</v>
      </c>
      <c r="D29" s="1748"/>
      <c r="E29" s="1748"/>
      <c r="F29" s="1748"/>
      <c r="G29" s="899" t="str">
        <f>人物卡!AR63</f>
        <v>☐</v>
      </c>
      <c r="H29" s="1895"/>
      <c r="I29" s="1895"/>
      <c r="J29" s="1895"/>
      <c r="K29" s="1895"/>
      <c r="L29" s="1895"/>
      <c r="M29" s="1896"/>
      <c r="N29" s="1718" t="str">
        <f>IF(Q29=0,"",人物卡!F42)</f>
        <v/>
      </c>
      <c r="O29" s="1719"/>
      <c r="P29" s="1719"/>
      <c r="Q29" s="910">
        <f>IF(人物卡!R42-人物卡!J42=0,0,人物卡!R42)</f>
        <v>0</v>
      </c>
      <c r="R29" s="911">
        <f t="shared" si="5"/>
        <v>0</v>
      </c>
      <c r="S29" s="912">
        <f t="shared" si="6"/>
        <v>0</v>
      </c>
      <c r="T29" s="1720" t="str">
        <f>IF(W29=0,"",人物卡!AB47)</f>
        <v/>
      </c>
      <c r="U29" s="1721"/>
      <c r="V29" s="1721"/>
      <c r="W29" s="919">
        <f>IF(人物卡!AN42-人物卡!AF42=0,0,人物卡!AN42)</f>
        <v>0</v>
      </c>
      <c r="X29" s="920">
        <f t="shared" si="2"/>
        <v>0</v>
      </c>
      <c r="Y29" s="923">
        <f t="shared" si="3"/>
        <v>0</v>
      </c>
      <c r="Z29" s="1753">
        <f>人物卡!W104</f>
        <v>0</v>
      </c>
      <c r="AA29" s="1754"/>
      <c r="AB29" s="1754"/>
      <c r="AC29" s="1754"/>
      <c r="AD29" s="1755">
        <f>人物卡!AR104</f>
        <v>0</v>
      </c>
      <c r="AE29" s="1756"/>
    </row>
    <row r="30" spans="2:31" ht="17" customHeight="1">
      <c r="B30" s="341" t="s">
        <v>334</v>
      </c>
      <c r="C30" s="1763" t="str">
        <f>人物卡!AA65</f>
        <v>父母。一对体面的中产家庭夫妇，对儿子常年探险这件事既骄傲又头疼。尽管他们支持他的旅行，仍然一直希望他“能找份真正的工作”。</v>
      </c>
      <c r="D30" s="1754"/>
      <c r="E30" s="1754"/>
      <c r="F30" s="1754"/>
      <c r="G30" s="898" t="str">
        <f>人物卡!AR65</f>
        <v>☐</v>
      </c>
      <c r="H30" s="1895"/>
      <c r="I30" s="1895"/>
      <c r="J30" s="1895"/>
      <c r="K30" s="1895"/>
      <c r="L30" s="1895"/>
      <c r="M30" s="1896"/>
      <c r="N30" s="1718" t="str">
        <f>IF(Q30=0,"",人物卡!F43)</f>
        <v/>
      </c>
      <c r="O30" s="1719"/>
      <c r="P30" s="1719"/>
      <c r="Q30" s="910">
        <f>IF(人物卡!R43-人物卡!J43=0,0,人物卡!R43)</f>
        <v>0</v>
      </c>
      <c r="R30" s="911">
        <f t="shared" si="5"/>
        <v>0</v>
      </c>
      <c r="S30" s="912">
        <f t="shared" si="6"/>
        <v>0</v>
      </c>
      <c r="T30" s="1720" t="str">
        <f>IF(W30=0,"",人物卡!AB43)</f>
        <v/>
      </c>
      <c r="U30" s="1721"/>
      <c r="V30" s="1721"/>
      <c r="W30" s="919">
        <f>IF(人物卡!AN43-人物卡!AF43=0,0,人物卡!AN43)</f>
        <v>0</v>
      </c>
      <c r="X30" s="920">
        <f t="shared" si="2"/>
        <v>0</v>
      </c>
      <c r="Y30" s="923">
        <f t="shared" si="3"/>
        <v>0</v>
      </c>
      <c r="Z30" s="1753">
        <f>人物卡!W105</f>
        <v>0</v>
      </c>
      <c r="AA30" s="1754"/>
      <c r="AB30" s="1754"/>
      <c r="AC30" s="1754"/>
      <c r="AD30" s="1755">
        <f>人物卡!AR105</f>
        <v>0</v>
      </c>
      <c r="AE30" s="1756"/>
    </row>
    <row r="31" spans="2:31" ht="17" customHeight="1">
      <c r="B31" s="339" t="s">
        <v>335</v>
      </c>
      <c r="C31" s="1764" t="str">
        <f>人物卡!AA67</f>
        <v>韦科尔山地，少年时代第一次独自探险的地方</v>
      </c>
      <c r="D31" s="1748"/>
      <c r="E31" s="1748"/>
      <c r="F31" s="1748"/>
      <c r="G31" s="899" t="str">
        <f>人物卡!AR67</f>
        <v>☐</v>
      </c>
      <c r="H31" s="1895"/>
      <c r="I31" s="1895"/>
      <c r="J31" s="1895"/>
      <c r="K31" s="1895"/>
      <c r="L31" s="1895"/>
      <c r="M31" s="1896"/>
      <c r="N31" s="1718" t="str">
        <f>IF(Q31=0,"",人物卡!F44)</f>
        <v/>
      </c>
      <c r="O31" s="1719"/>
      <c r="P31" s="1719"/>
      <c r="Q31" s="910">
        <f>IF(人物卡!R44-人物卡!J44=0,0,人物卡!R44)</f>
        <v>0</v>
      </c>
      <c r="R31" s="911">
        <f t="shared" si="5"/>
        <v>0</v>
      </c>
      <c r="S31" s="912">
        <f t="shared" si="6"/>
        <v>0</v>
      </c>
      <c r="T31" s="1720" t="str">
        <f>IF(W31=0,"",人物卡!AB44)</f>
        <v/>
      </c>
      <c r="U31" s="1721"/>
      <c r="V31" s="1721"/>
      <c r="W31" s="919">
        <f>IF(人物卡!AN44-人物卡!AF44=0,0,人物卡!AN44)</f>
        <v>0</v>
      </c>
      <c r="X31" s="920">
        <f t="shared" si="2"/>
        <v>0</v>
      </c>
      <c r="Y31" s="923">
        <f t="shared" si="3"/>
        <v>0</v>
      </c>
      <c r="Z31" s="1753">
        <f>人物卡!W106</f>
        <v>0</v>
      </c>
      <c r="AA31" s="1754"/>
      <c r="AB31" s="1754"/>
      <c r="AC31" s="1754"/>
      <c r="AD31" s="1755">
        <f>人物卡!AR106</f>
        <v>0</v>
      </c>
      <c r="AE31" s="1756"/>
    </row>
    <row r="32" spans="2:31" ht="17" customHeight="1">
      <c r="B32" s="341" t="s">
        <v>336</v>
      </c>
      <c r="C32" s="1763" t="str">
        <f>人物卡!AA69</f>
        <v>一枚老式机械腕表，父母的礼物，从不跑慢</v>
      </c>
      <c r="D32" s="1754"/>
      <c r="E32" s="1754"/>
      <c r="F32" s="1754"/>
      <c r="G32" s="898" t="str">
        <f>人物卡!AR69</f>
        <v>☐</v>
      </c>
      <c r="H32" s="1895"/>
      <c r="I32" s="1895"/>
      <c r="J32" s="1895"/>
      <c r="K32" s="1895"/>
      <c r="L32" s="1895"/>
      <c r="M32" s="1896"/>
      <c r="N32" s="1718" t="str">
        <f>IF(Q32=0,"",人物卡!F45)</f>
        <v/>
      </c>
      <c r="O32" s="1719"/>
      <c r="P32" s="1719"/>
      <c r="Q32" s="910">
        <f>IF(人物卡!R45-人物卡!J45=0,0,人物卡!R45)</f>
        <v>0</v>
      </c>
      <c r="R32" s="911">
        <f t="shared" si="5"/>
        <v>0</v>
      </c>
      <c r="S32" s="912">
        <f t="shared" si="6"/>
        <v>0</v>
      </c>
      <c r="T32" s="1720" t="str">
        <f>IF(W32=0,"",人物卡!AB45)</f>
        <v/>
      </c>
      <c r="U32" s="1721"/>
      <c r="V32" s="1721"/>
      <c r="W32" s="919">
        <f>IF(人物卡!AN45-人物卡!AF45=0,0,人物卡!AN45)</f>
        <v>0</v>
      </c>
      <c r="X32" s="920">
        <f t="shared" si="2"/>
        <v>0</v>
      </c>
      <c r="Y32" s="923">
        <f t="shared" si="3"/>
        <v>0</v>
      </c>
      <c r="Z32" s="1753">
        <f>人物卡!W107</f>
        <v>0</v>
      </c>
      <c r="AA32" s="1754"/>
      <c r="AB32" s="1754"/>
      <c r="AC32" s="1754"/>
      <c r="AD32" s="1755">
        <f>人物卡!AR107</f>
        <v>0</v>
      </c>
      <c r="AE32" s="1756"/>
    </row>
    <row r="33" spans="2:41" ht="17" customHeight="1">
      <c r="B33" s="339" t="s">
        <v>197</v>
      </c>
      <c r="C33" s="1764" t="str">
        <f>人物卡!AA71</f>
        <v>好奇心胜过了自保意识</v>
      </c>
      <c r="D33" s="1748"/>
      <c r="E33" s="1748"/>
      <c r="F33" s="1748"/>
      <c r="G33" s="899" t="str">
        <f>人物卡!AR71</f>
        <v>☐</v>
      </c>
      <c r="H33" s="1895"/>
      <c r="I33" s="1895"/>
      <c r="J33" s="1895"/>
      <c r="K33" s="1895"/>
      <c r="L33" s="1895"/>
      <c r="M33" s="1896"/>
      <c r="N33" s="904">
        <f t="shared" ref="N33:N35" si="10">IF(Q33=0,0,"外语：")</f>
        <v>0</v>
      </c>
      <c r="O33" s="1724" t="str">
        <f>IF(N33=0,"",人物卡!H46)</f>
        <v/>
      </c>
      <c r="P33" s="1719"/>
      <c r="Q33" s="910">
        <f>IF(人物卡!R46-人物卡!J46=0,0,人物卡!R46)</f>
        <v>0</v>
      </c>
      <c r="R33" s="911">
        <f t="shared" si="5"/>
        <v>0</v>
      </c>
      <c r="S33" s="912">
        <f t="shared" si="6"/>
        <v>0</v>
      </c>
      <c r="T33" s="1720" t="str">
        <f>IF(W33=0,"",人物卡!AB46)</f>
        <v/>
      </c>
      <c r="U33" s="1721"/>
      <c r="V33" s="1721"/>
      <c r="W33" s="919">
        <f>IF(人物卡!AN46-人物卡!AF46=0,0,人物卡!AN46)</f>
        <v>0</v>
      </c>
      <c r="X33" s="920">
        <f t="shared" si="2"/>
        <v>0</v>
      </c>
      <c r="Y33" s="923">
        <f t="shared" si="3"/>
        <v>0</v>
      </c>
      <c r="Z33" s="1765">
        <f>人物卡!W108</f>
        <v>0</v>
      </c>
      <c r="AA33" s="1766"/>
      <c r="AB33" s="1766"/>
      <c r="AC33" s="1766"/>
      <c r="AD33" s="1767">
        <f>人物卡!AR108</f>
        <v>0</v>
      </c>
      <c r="AE33" s="1768"/>
    </row>
    <row r="34" spans="2:41" ht="17" customHeight="1">
      <c r="B34" s="341" t="s">
        <v>337</v>
      </c>
      <c r="C34" s="1763" t="str">
        <f>人物卡!AA73</f>
        <v>左侧肋骨附近有一道不规则旧疤，一次攀岩事故留下的</v>
      </c>
      <c r="D34" s="1754"/>
      <c r="E34" s="1754"/>
      <c r="F34" s="1754"/>
      <c r="G34" s="898" t="str">
        <f>人物卡!AR73</f>
        <v>☐</v>
      </c>
      <c r="H34" s="1895"/>
      <c r="I34" s="1895"/>
      <c r="J34" s="1895"/>
      <c r="K34" s="1895"/>
      <c r="L34" s="1895"/>
      <c r="M34" s="1896"/>
      <c r="N34" s="904">
        <f t="shared" si="10"/>
        <v>0</v>
      </c>
      <c r="O34" s="1724" t="str">
        <f>IF(N34=0,"",人物卡!H47)</f>
        <v/>
      </c>
      <c r="P34" s="1719"/>
      <c r="Q34" s="910">
        <f>IF(人物卡!R47-人物卡!J47=0,0,人物卡!R47)</f>
        <v>0</v>
      </c>
      <c r="R34" s="911">
        <f t="shared" si="5"/>
        <v>0</v>
      </c>
      <c r="S34" s="912">
        <f t="shared" si="6"/>
        <v>0</v>
      </c>
      <c r="T34" s="1720" t="str">
        <f>IF(W34=0,"",#REF!)</f>
        <v/>
      </c>
      <c r="U34" s="1721"/>
      <c r="V34" s="1721"/>
      <c r="W34" s="919">
        <f>IF(人物卡!AN47-人物卡!AF47=0,0,人物卡!AN47)</f>
        <v>0</v>
      </c>
      <c r="X34" s="920">
        <f t="shared" si="2"/>
        <v>0</v>
      </c>
      <c r="Y34" s="923">
        <f t="shared" si="3"/>
        <v>0</v>
      </c>
      <c r="Z34" s="1857"/>
      <c r="AA34" s="1315"/>
      <c r="AB34" s="1315"/>
      <c r="AC34" s="1315"/>
      <c r="AD34" s="1315"/>
      <c r="AE34" s="1344"/>
    </row>
    <row r="35" spans="2:41" ht="17" customHeight="1">
      <c r="B35" s="339" t="s">
        <v>338</v>
      </c>
      <c r="C35" s="1764" t="str">
        <f>人物卡!AA75</f>
        <v>极其不喜欢被困在无法自主离开的地方，却没有发展成幽闭恐惧。他可以进入极狭窄的洞穴，因为他确信自己知道出口在哪里。</v>
      </c>
      <c r="D35" s="1748"/>
      <c r="E35" s="1748"/>
      <c r="F35" s="1748"/>
      <c r="G35" s="899" t="str">
        <f>人物卡!AR75</f>
        <v>☐</v>
      </c>
      <c r="H35" s="1895"/>
      <c r="I35" s="1895"/>
      <c r="J35" s="1895"/>
      <c r="K35" s="1895"/>
      <c r="L35" s="1895"/>
      <c r="M35" s="1896"/>
      <c r="N35" s="904">
        <f t="shared" si="10"/>
        <v>0</v>
      </c>
      <c r="O35" s="1724" t="str">
        <f>IF(N35=0,"",人物卡!H48)</f>
        <v/>
      </c>
      <c r="P35" s="1719"/>
      <c r="Q35" s="910">
        <f>IF(人物卡!R48-人物卡!J48=0,0,人物卡!R48)</f>
        <v>0</v>
      </c>
      <c r="R35" s="911">
        <f t="shared" si="5"/>
        <v>0</v>
      </c>
      <c r="S35" s="912">
        <f t="shared" si="6"/>
        <v>0</v>
      </c>
      <c r="T35" s="1720" t="str">
        <f>IF(W35=0,"",人物卡!AB48)</f>
        <v/>
      </c>
      <c r="U35" s="1721"/>
      <c r="V35" s="1721"/>
      <c r="W35" s="919">
        <f>IF(人物卡!AN48-人物卡!AF48=0,0,人物卡!AN48)</f>
        <v>0</v>
      </c>
      <c r="X35" s="920">
        <f t="shared" si="2"/>
        <v>0</v>
      </c>
      <c r="Y35" s="923">
        <f t="shared" si="3"/>
        <v>0</v>
      </c>
      <c r="Z35" s="1857"/>
      <c r="AA35" s="1315"/>
      <c r="AB35" s="1315"/>
      <c r="AC35" s="1315"/>
      <c r="AD35" s="1315"/>
      <c r="AE35" s="1344"/>
    </row>
    <row r="36" spans="2:41" ht="17" customHeight="1">
      <c r="B36" s="897" t="s">
        <v>339</v>
      </c>
      <c r="C36" s="1852">
        <f>人物卡!AA77</f>
        <v>0</v>
      </c>
      <c r="D36" s="1853"/>
      <c r="E36" s="1853"/>
      <c r="F36" s="1853"/>
      <c r="G36" s="1854"/>
      <c r="H36" s="1897"/>
      <c r="I36" s="1897"/>
      <c r="J36" s="1897"/>
      <c r="K36" s="1897"/>
      <c r="L36" s="1897"/>
      <c r="M36" s="1898"/>
      <c r="N36" s="909" t="s">
        <v>340</v>
      </c>
      <c r="O36" s="1769">
        <f>人物卡!H49</f>
        <v>0</v>
      </c>
      <c r="P36" s="1770"/>
      <c r="Q36" s="916">
        <f>人物卡!R49</f>
        <v>65</v>
      </c>
      <c r="R36" s="917">
        <f>IF(Q36=0,32767,INT(Q36/2))</f>
        <v>32</v>
      </c>
      <c r="S36" s="918">
        <f>IF(Q36=0,32767,INT(Q36/5))</f>
        <v>13</v>
      </c>
      <c r="T36" s="1771" t="str">
        <f>IF(W36=0,"",人物卡!AB49)</f>
        <v/>
      </c>
      <c r="U36" s="1725"/>
      <c r="V36" s="1725"/>
      <c r="W36" s="921">
        <f>IF(人物卡!AN49-人物卡!AF49=0,0,人物卡!AN49)</f>
        <v>0</v>
      </c>
      <c r="X36" s="922">
        <f t="shared" si="2"/>
        <v>0</v>
      </c>
      <c r="Y36" s="924">
        <f t="shared" si="3"/>
        <v>0</v>
      </c>
      <c r="Z36" s="1858"/>
      <c r="AA36" s="1351"/>
      <c r="AB36" s="1351"/>
      <c r="AC36" s="1351"/>
      <c r="AD36" s="1351"/>
      <c r="AE36" s="1353"/>
      <c r="AF36" s="1772" t="s">
        <v>341</v>
      </c>
      <c r="AG36" s="1772"/>
      <c r="AH36" s="1772"/>
      <c r="AI36" s="1772"/>
      <c r="AJ36" s="1772"/>
      <c r="AK36" s="1772"/>
      <c r="AL36" s="1772"/>
      <c r="AM36" s="1772"/>
      <c r="AN36" s="1772"/>
      <c r="AO36" s="1772"/>
    </row>
    <row r="37" spans="2:41" ht="17" customHeight="1">
      <c r="B37" s="1772" t="s">
        <v>342</v>
      </c>
      <c r="C37" s="1772"/>
      <c r="D37" s="1772"/>
      <c r="E37" s="1772"/>
      <c r="F37" s="1772"/>
      <c r="G37" s="1772"/>
      <c r="H37" s="1772"/>
      <c r="I37" s="1772"/>
      <c r="J37" s="1772"/>
      <c r="K37" s="1772"/>
      <c r="L37" s="1772"/>
      <c r="M37" s="1772"/>
      <c r="N37" s="1772"/>
      <c r="O37" s="1772"/>
      <c r="P37" s="1773" t="s">
        <v>343</v>
      </c>
      <c r="Q37" s="1773"/>
      <c r="R37" s="1773"/>
      <c r="S37" s="1773"/>
      <c r="T37" s="1773"/>
      <c r="U37" s="1773"/>
      <c r="V37" s="1773"/>
      <c r="W37" s="1773"/>
      <c r="X37" s="1773"/>
      <c r="Y37" s="1773"/>
      <c r="AF37" s="1781" t="s">
        <v>344</v>
      </c>
      <c r="AG37" s="1781"/>
      <c r="AH37" s="1781"/>
      <c r="AI37" s="1781"/>
      <c r="AJ37" s="1781"/>
      <c r="AK37" s="1781"/>
      <c r="AL37" s="1781"/>
    </row>
    <row r="38" spans="2:41" ht="17" customHeight="1">
      <c r="B38" s="1354" t="s">
        <v>345</v>
      </c>
      <c r="C38" s="1774"/>
      <c r="D38" s="1774"/>
      <c r="E38" s="1774"/>
      <c r="F38" s="1774"/>
      <c r="G38" s="1774"/>
      <c r="H38" s="1774"/>
      <c r="I38" s="1774"/>
      <c r="J38" s="1774"/>
      <c r="K38" s="1774"/>
      <c r="L38" s="1774"/>
      <c r="M38" s="1774"/>
      <c r="N38" s="1774"/>
      <c r="O38" s="1774"/>
      <c r="P38" s="1774"/>
      <c r="Q38" s="1774"/>
      <c r="R38" s="1774"/>
      <c r="S38" s="1774"/>
      <c r="T38" s="1774"/>
      <c r="U38" s="1774"/>
      <c r="V38" s="1774"/>
      <c r="W38" s="1774"/>
      <c r="X38" s="1774"/>
      <c r="Y38" s="1775"/>
      <c r="Z38" s="328"/>
      <c r="AA38" s="925"/>
      <c r="AB38" s="925"/>
      <c r="AC38" s="925"/>
      <c r="AD38" s="925"/>
      <c r="AE38" s="925"/>
      <c r="AF38" s="1781"/>
      <c r="AG38" s="1781"/>
      <c r="AH38" s="1781"/>
      <c r="AI38" s="1781"/>
      <c r="AJ38" s="1781"/>
      <c r="AK38" s="1781"/>
      <c r="AL38" s="1781"/>
    </row>
    <row r="39" spans="2:41" ht="17" customHeight="1">
      <c r="B39" s="1776" t="s">
        <v>346</v>
      </c>
      <c r="C39" s="1777"/>
      <c r="D39" s="1777"/>
      <c r="E39" s="1777"/>
      <c r="F39" s="1777"/>
      <c r="G39" s="1777"/>
      <c r="H39" s="1777"/>
      <c r="I39" s="1777"/>
      <c r="J39" s="1777"/>
      <c r="K39" s="1777"/>
      <c r="L39" s="1777"/>
      <c r="M39" s="1777"/>
      <c r="N39" s="1777"/>
      <c r="O39" s="1777"/>
      <c r="P39" s="1777"/>
      <c r="Q39" s="1777"/>
      <c r="R39" s="1777"/>
      <c r="S39" s="1777"/>
      <c r="T39" s="1777"/>
      <c r="U39" s="1777"/>
      <c r="V39" s="1777"/>
      <c r="W39" s="1777"/>
      <c r="X39" s="1777"/>
      <c r="Y39" s="1778"/>
      <c r="Z39" s="328" t="s">
        <v>347</v>
      </c>
      <c r="AA39" s="1886" t="s">
        <v>348</v>
      </c>
      <c r="AB39" s="1886"/>
      <c r="AC39" s="1886"/>
      <c r="AD39" s="1886"/>
      <c r="AE39" s="1886"/>
      <c r="AF39" s="1779" t="s">
        <v>349</v>
      </c>
      <c r="AG39" s="1780"/>
      <c r="AH39" s="1780"/>
      <c r="AI39" s="1780"/>
      <c r="AJ39" s="1780"/>
      <c r="AK39" s="1780"/>
      <c r="AL39" s="1780"/>
      <c r="AM39" s="1780"/>
      <c r="AN39" s="1780"/>
    </row>
    <row r="40" spans="2:41" ht="17" customHeight="1">
      <c r="B40" s="1888" t="str">
        <f>附表!S24</f>
        <v>.st 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v>
      </c>
      <c r="C40" s="1888"/>
      <c r="D40" s="1888"/>
      <c r="E40" s="1888"/>
      <c r="F40" s="1888"/>
      <c r="G40" s="1888"/>
      <c r="H40" s="1888"/>
      <c r="I40" s="1888"/>
      <c r="J40" s="1888"/>
      <c r="K40" s="1888"/>
      <c r="L40" s="1888"/>
      <c r="M40" s="1888"/>
      <c r="N40" s="1888"/>
      <c r="O40" s="1888"/>
      <c r="P40" s="1888"/>
      <c r="Q40" s="1888"/>
      <c r="R40" s="1888"/>
      <c r="S40" s="1888"/>
      <c r="T40" s="1888"/>
      <c r="U40" s="1888"/>
      <c r="V40" s="1888"/>
      <c r="W40" s="1888"/>
      <c r="X40" s="1888"/>
      <c r="Y40" s="1888"/>
      <c r="Z40" s="328"/>
      <c r="AA40" s="1886"/>
      <c r="AB40" s="1886"/>
      <c r="AC40" s="1886"/>
      <c r="AD40" s="1886"/>
      <c r="AE40" s="1886"/>
      <c r="AF40" s="328"/>
      <c r="AG40" s="328"/>
    </row>
    <row r="41" spans="2:41" customFormat="1" ht="14">
      <c r="B41" s="1888"/>
      <c r="C41" s="1888"/>
      <c r="D41" s="1888"/>
      <c r="E41" s="1888"/>
      <c r="F41" s="1888"/>
      <c r="G41" s="1888"/>
      <c r="H41" s="1888"/>
      <c r="I41" s="1888"/>
      <c r="J41" s="1888"/>
      <c r="K41" s="1888"/>
      <c r="L41" s="1888"/>
      <c r="M41" s="1888"/>
      <c r="N41" s="1888"/>
      <c r="O41" s="1888"/>
      <c r="P41" s="1888"/>
      <c r="Q41" s="1888"/>
      <c r="R41" s="1888"/>
      <c r="S41" s="1888"/>
      <c r="T41" s="1888"/>
      <c r="U41" s="1888"/>
      <c r="V41" s="1888"/>
      <c r="W41" s="1888"/>
      <c r="X41" s="1888"/>
      <c r="Y41" s="1888"/>
      <c r="Z41" s="328"/>
      <c r="AA41" s="1886"/>
      <c r="AB41" s="1886"/>
      <c r="AC41" s="1886"/>
      <c r="AD41" s="1886"/>
      <c r="AE41" s="1886"/>
      <c r="AF41" s="328"/>
      <c r="AG41" s="328"/>
    </row>
    <row r="42" spans="2:41" customFormat="1" ht="14">
      <c r="B42" s="1888"/>
      <c r="C42" s="1888"/>
      <c r="D42" s="1888"/>
      <c r="E42" s="1888"/>
      <c r="F42" s="1888"/>
      <c r="G42" s="1888"/>
      <c r="H42" s="1888"/>
      <c r="I42" s="1888"/>
      <c r="J42" s="1888"/>
      <c r="K42" s="1888"/>
      <c r="L42" s="1888"/>
      <c r="M42" s="1888"/>
      <c r="N42" s="1888"/>
      <c r="O42" s="1888"/>
      <c r="P42" s="1888"/>
      <c r="Q42" s="1888"/>
      <c r="R42" s="1888"/>
      <c r="S42" s="1888"/>
      <c r="T42" s="1888"/>
      <c r="U42" s="1888"/>
      <c r="V42" s="1888"/>
      <c r="W42" s="1888"/>
      <c r="X42" s="1888"/>
      <c r="Y42" s="1888"/>
      <c r="Z42" s="328"/>
      <c r="AA42" s="1886"/>
      <c r="AB42" s="1886"/>
      <c r="AC42" s="1886"/>
      <c r="AD42" s="1886"/>
      <c r="AE42" s="1886"/>
      <c r="AF42" s="328"/>
      <c r="AG42" s="328"/>
    </row>
    <row r="43" spans="2:41" customFormat="1" ht="14">
      <c r="B43" s="1888"/>
      <c r="C43" s="1888"/>
      <c r="D43" s="1888"/>
      <c r="E43" s="1888"/>
      <c r="F43" s="1888"/>
      <c r="G43" s="1888"/>
      <c r="H43" s="1888"/>
      <c r="I43" s="1888"/>
      <c r="J43" s="1888"/>
      <c r="K43" s="1888"/>
      <c r="L43" s="1888"/>
      <c r="M43" s="1888"/>
      <c r="N43" s="1888"/>
      <c r="O43" s="1888"/>
      <c r="P43" s="1888"/>
      <c r="Q43" s="1888"/>
      <c r="R43" s="1888"/>
      <c r="S43" s="1888"/>
      <c r="T43" s="1888"/>
      <c r="U43" s="1888"/>
      <c r="V43" s="1888"/>
      <c r="W43" s="1888"/>
      <c r="X43" s="1888"/>
      <c r="Y43" s="1888"/>
      <c r="Z43" s="328"/>
      <c r="AA43" s="1886"/>
      <c r="AB43" s="1886"/>
      <c r="AC43" s="1886"/>
      <c r="AD43" s="1886"/>
      <c r="AE43" s="1886"/>
      <c r="AF43" s="328"/>
      <c r="AG43" s="328"/>
    </row>
    <row r="44" spans="2:41" customFormat="1" ht="16">
      <c r="B44" s="1782" t="s">
        <v>350</v>
      </c>
      <c r="C44" s="1783"/>
      <c r="D44" s="1783"/>
      <c r="E44" s="1783"/>
      <c r="F44" s="1783"/>
      <c r="G44" s="1783"/>
      <c r="H44" s="1783"/>
      <c r="I44" s="1783"/>
      <c r="J44" s="1783"/>
      <c r="K44" s="1783"/>
      <c r="L44" s="1783"/>
      <c r="M44" s="1783"/>
      <c r="N44" s="1783"/>
      <c r="O44" s="1783"/>
      <c r="P44" s="1783"/>
      <c r="Q44" s="1783"/>
      <c r="R44" s="1783"/>
      <c r="S44" s="1783"/>
      <c r="T44" s="1783"/>
      <c r="U44" s="1783"/>
      <c r="V44" s="1783"/>
      <c r="W44" s="1783"/>
      <c r="X44" s="1783"/>
      <c r="Y44" s="1784"/>
      <c r="Z44" s="328"/>
      <c r="AA44" s="328"/>
      <c r="AB44" s="328"/>
      <c r="AC44" s="328"/>
      <c r="AD44" s="328"/>
      <c r="AE44" s="328"/>
      <c r="AF44" s="328"/>
      <c r="AG44" s="328"/>
    </row>
    <row r="45" spans="2:41" customFormat="1" ht="16">
      <c r="B45" s="1776" t="s">
        <v>346</v>
      </c>
      <c r="C45" s="1777"/>
      <c r="D45" s="1777"/>
      <c r="E45" s="1777"/>
      <c r="F45" s="1777"/>
      <c r="G45" s="1777"/>
      <c r="H45" s="1777"/>
      <c r="I45" s="1777"/>
      <c r="J45" s="1777"/>
      <c r="K45" s="1777"/>
      <c r="L45" s="1777"/>
      <c r="M45" s="1777"/>
      <c r="N45" s="1777"/>
      <c r="O45" s="1777"/>
      <c r="P45" s="1777"/>
      <c r="Q45" s="1777"/>
      <c r="R45" s="1777"/>
      <c r="S45" s="1777"/>
      <c r="T45" s="1777"/>
      <c r="U45" s="1777"/>
      <c r="V45" s="1777"/>
      <c r="W45" s="1777"/>
      <c r="X45" s="1777"/>
      <c r="Y45" s="1778"/>
      <c r="Z45" s="328" t="s">
        <v>347</v>
      </c>
      <c r="AA45" s="1886" t="s">
        <v>351</v>
      </c>
      <c r="AB45" s="1887"/>
      <c r="AC45" s="1887"/>
      <c r="AD45" s="1887"/>
      <c r="AE45" s="1887"/>
      <c r="AF45" s="328"/>
      <c r="AG45" s="328"/>
    </row>
    <row r="46" spans="2:41" customFormat="1" ht="14">
      <c r="B46" s="1888" t="str">
        <f>附表!S63</f>
        <v>.st 艾迪安·多雷-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v>
      </c>
      <c r="C46" s="1888"/>
      <c r="D46" s="1888"/>
      <c r="E46" s="1888"/>
      <c r="F46" s="1888"/>
      <c r="G46" s="1888"/>
      <c r="H46" s="1888"/>
      <c r="I46" s="1888"/>
      <c r="J46" s="1888"/>
      <c r="K46" s="1888"/>
      <c r="L46" s="1888"/>
      <c r="M46" s="1888"/>
      <c r="N46" s="1888"/>
      <c r="O46" s="1888"/>
      <c r="P46" s="1888"/>
      <c r="Q46" s="1888"/>
      <c r="R46" s="1888"/>
      <c r="S46" s="1888"/>
      <c r="T46" s="1888"/>
      <c r="U46" s="1888"/>
      <c r="V46" s="1888"/>
      <c r="W46" s="1888"/>
      <c r="X46" s="1888"/>
      <c r="Y46" s="1888"/>
      <c r="Z46" s="328"/>
      <c r="AA46" s="1887"/>
      <c r="AB46" s="1887"/>
      <c r="AC46" s="1887"/>
      <c r="AD46" s="1887"/>
      <c r="AE46" s="1887"/>
      <c r="AF46" s="328"/>
      <c r="AG46" s="328"/>
    </row>
    <row r="47" spans="2:41" customFormat="1" ht="14">
      <c r="B47" s="1888"/>
      <c r="C47" s="1888"/>
      <c r="D47" s="1888"/>
      <c r="E47" s="1888"/>
      <c r="F47" s="1888"/>
      <c r="G47" s="1888"/>
      <c r="H47" s="1888"/>
      <c r="I47" s="1888"/>
      <c r="J47" s="1888"/>
      <c r="K47" s="1888"/>
      <c r="L47" s="1888"/>
      <c r="M47" s="1888"/>
      <c r="N47" s="1888"/>
      <c r="O47" s="1888"/>
      <c r="P47" s="1888"/>
      <c r="Q47" s="1888"/>
      <c r="R47" s="1888"/>
      <c r="S47" s="1888"/>
      <c r="T47" s="1888"/>
      <c r="U47" s="1888"/>
      <c r="V47" s="1888"/>
      <c r="W47" s="1888"/>
      <c r="X47" s="1888"/>
      <c r="Y47" s="1888"/>
      <c r="Z47" s="328"/>
      <c r="AA47" s="1887"/>
      <c r="AB47" s="1887"/>
      <c r="AC47" s="1887"/>
      <c r="AD47" s="1887"/>
      <c r="AE47" s="1887"/>
      <c r="AF47" s="328"/>
      <c r="AG47" s="328"/>
    </row>
    <row r="48" spans="2:41" customFormat="1" ht="14">
      <c r="B48" s="1888"/>
      <c r="C48" s="1888"/>
      <c r="D48" s="1888"/>
      <c r="E48" s="1888"/>
      <c r="F48" s="1888"/>
      <c r="G48" s="1888"/>
      <c r="H48" s="1888"/>
      <c r="I48" s="1888"/>
      <c r="J48" s="1888"/>
      <c r="K48" s="1888"/>
      <c r="L48" s="1888"/>
      <c r="M48" s="1888"/>
      <c r="N48" s="1888"/>
      <c r="O48" s="1888"/>
      <c r="P48" s="1888"/>
      <c r="Q48" s="1888"/>
      <c r="R48" s="1888"/>
      <c r="S48" s="1888"/>
      <c r="T48" s="1888"/>
      <c r="U48" s="1888"/>
      <c r="V48" s="1888"/>
      <c r="W48" s="1888"/>
      <c r="X48" s="1888"/>
      <c r="Y48" s="1888"/>
      <c r="Z48" s="328"/>
      <c r="AA48" s="1887"/>
      <c r="AB48" s="1887"/>
      <c r="AC48" s="1887"/>
      <c r="AD48" s="1887"/>
      <c r="AE48" s="1887"/>
      <c r="AF48" s="328"/>
      <c r="AG48" s="328"/>
    </row>
    <row r="49" spans="2:33" customFormat="1" ht="14">
      <c r="B49" s="1888"/>
      <c r="C49" s="1888"/>
      <c r="D49" s="1888"/>
      <c r="E49" s="1888"/>
      <c r="F49" s="1888"/>
      <c r="G49" s="1888"/>
      <c r="H49" s="1888"/>
      <c r="I49" s="1888"/>
      <c r="J49" s="1888"/>
      <c r="K49" s="1888"/>
      <c r="L49" s="1888"/>
      <c r="M49" s="1888"/>
      <c r="N49" s="1888"/>
      <c r="O49" s="1888"/>
      <c r="P49" s="1888"/>
      <c r="Q49" s="1888"/>
      <c r="R49" s="1888"/>
      <c r="S49" s="1888"/>
      <c r="T49" s="1888"/>
      <c r="U49" s="1888"/>
      <c r="V49" s="1888"/>
      <c r="W49" s="1888"/>
      <c r="X49" s="1888"/>
      <c r="Y49" s="1888"/>
      <c r="Z49" s="328"/>
      <c r="AA49" s="1887"/>
      <c r="AB49" s="1887"/>
      <c r="AC49" s="1887"/>
      <c r="AD49" s="1887"/>
      <c r="AE49" s="1887"/>
      <c r="AF49" s="328"/>
      <c r="AG49" s="328"/>
    </row>
    <row r="50" spans="2:33" ht="17" customHeight="1">
      <c r="B50" s="1354" t="s">
        <v>352</v>
      </c>
      <c r="C50" s="1774"/>
      <c r="D50" s="1774"/>
      <c r="E50" s="1774"/>
      <c r="F50" s="1774"/>
      <c r="G50" s="1774"/>
      <c r="H50" s="1774"/>
      <c r="I50" s="1774"/>
      <c r="J50" s="1774"/>
      <c r="K50" s="1774"/>
      <c r="L50" s="1774"/>
      <c r="M50" s="1774"/>
      <c r="N50" s="1774"/>
      <c r="O50" s="1774"/>
      <c r="P50" s="1774"/>
      <c r="Q50" s="1774"/>
      <c r="R50" s="1774"/>
      <c r="S50" s="1774"/>
      <c r="T50" s="1774"/>
      <c r="U50" s="1774"/>
      <c r="V50" s="1774"/>
      <c r="W50" s="1774"/>
      <c r="X50" s="1774"/>
      <c r="Y50" s="1775"/>
      <c r="AF50" s="328"/>
      <c r="AG50" s="328"/>
    </row>
    <row r="51" spans="2:33" ht="17" customHeight="1">
      <c r="B51" s="1776" t="s">
        <v>346</v>
      </c>
      <c r="C51" s="1777"/>
      <c r="D51" s="1777"/>
      <c r="E51" s="1777"/>
      <c r="F51" s="1777"/>
      <c r="G51" s="1777"/>
      <c r="H51" s="1777"/>
      <c r="I51" s="1777"/>
      <c r="J51" s="1777"/>
      <c r="K51" s="1777"/>
      <c r="L51" s="1777"/>
      <c r="M51" s="1777"/>
      <c r="N51" s="1777"/>
      <c r="O51" s="1777"/>
      <c r="P51" s="1777"/>
      <c r="Q51" s="1777"/>
      <c r="R51" s="1777"/>
      <c r="S51" s="1777"/>
      <c r="T51" s="1777"/>
      <c r="U51" s="1777"/>
      <c r="V51" s="1777"/>
      <c r="W51" s="1777"/>
      <c r="X51" s="1777"/>
      <c r="Y51" s="1778"/>
      <c r="Z51" s="481" t="s">
        <v>347</v>
      </c>
      <c r="AA51" s="1884" t="s">
        <v>353</v>
      </c>
      <c r="AB51" s="1885"/>
      <c r="AC51" s="1885"/>
      <c r="AD51" s="1885"/>
      <c r="AE51" s="1885"/>
      <c r="AF51" s="328"/>
      <c r="AG51" s="328"/>
    </row>
    <row r="52" spans="2:33" ht="17" customHeight="1">
      <c r="B52" s="1888" t="str">
        <f>附表!S46</f>
        <v>.st 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时代:1920s	职业:探险家	年龄31 性别:男	住地:法国 里昂	出身:法国 格勒诺布尔	 身体状态:健康	 精神状态:清醒	&amp;DB=+1D4 体格:1 护甲:0 &amp;好用的刀=1D4+[DB] &amp;好用的枪=1D8+1D4</v>
      </c>
      <c r="C52" s="1888"/>
      <c r="D52" s="1888"/>
      <c r="E52" s="1888"/>
      <c r="F52" s="1888"/>
      <c r="G52" s="1888"/>
      <c r="H52" s="1888"/>
      <c r="I52" s="1888"/>
      <c r="J52" s="1888"/>
      <c r="K52" s="1888"/>
      <c r="L52" s="1888"/>
      <c r="M52" s="1888"/>
      <c r="N52" s="1888"/>
      <c r="O52" s="1888"/>
      <c r="P52" s="1888"/>
      <c r="Q52" s="1888"/>
      <c r="R52" s="1888"/>
      <c r="S52" s="1888"/>
      <c r="T52" s="1888"/>
      <c r="U52" s="1888"/>
      <c r="V52" s="1888"/>
      <c r="W52" s="1888"/>
      <c r="X52" s="1888"/>
      <c r="Y52" s="1888"/>
      <c r="AA52" s="1885"/>
      <c r="AB52" s="1885"/>
      <c r="AC52" s="1885"/>
      <c r="AD52" s="1885"/>
      <c r="AE52" s="1885"/>
      <c r="AF52" s="328"/>
      <c r="AG52" s="328"/>
    </row>
    <row r="53" spans="2:33" ht="17" customHeight="1">
      <c r="B53" s="1888"/>
      <c r="C53" s="1888"/>
      <c r="D53" s="1888"/>
      <c r="E53" s="1888"/>
      <c r="F53" s="1888"/>
      <c r="G53" s="1888"/>
      <c r="H53" s="1888"/>
      <c r="I53" s="1888"/>
      <c r="J53" s="1888"/>
      <c r="K53" s="1888"/>
      <c r="L53" s="1888"/>
      <c r="M53" s="1888"/>
      <c r="N53" s="1888"/>
      <c r="O53" s="1888"/>
      <c r="P53" s="1888"/>
      <c r="Q53" s="1888"/>
      <c r="R53" s="1888"/>
      <c r="S53" s="1888"/>
      <c r="T53" s="1888"/>
      <c r="U53" s="1888"/>
      <c r="V53" s="1888"/>
      <c r="W53" s="1888"/>
      <c r="X53" s="1888"/>
      <c r="Y53" s="1888"/>
      <c r="AA53" s="1885"/>
      <c r="AB53" s="1885"/>
      <c r="AC53" s="1885"/>
      <c r="AD53" s="1885"/>
      <c r="AE53" s="1885"/>
      <c r="AF53" s="328"/>
      <c r="AG53" s="328"/>
    </row>
    <row r="54" spans="2:33" ht="17" customHeight="1">
      <c r="B54" s="1888"/>
      <c r="C54" s="1888"/>
      <c r="D54" s="1888"/>
      <c r="E54" s="1888"/>
      <c r="F54" s="1888"/>
      <c r="G54" s="1888"/>
      <c r="H54" s="1888"/>
      <c r="I54" s="1888"/>
      <c r="J54" s="1888"/>
      <c r="K54" s="1888"/>
      <c r="L54" s="1888"/>
      <c r="M54" s="1888"/>
      <c r="N54" s="1888"/>
      <c r="O54" s="1888"/>
      <c r="P54" s="1888"/>
      <c r="Q54" s="1888"/>
      <c r="R54" s="1888"/>
      <c r="S54" s="1888"/>
      <c r="T54" s="1888"/>
      <c r="U54" s="1888"/>
      <c r="V54" s="1888"/>
      <c r="W54" s="1888"/>
      <c r="X54" s="1888"/>
      <c r="Y54" s="1888"/>
      <c r="AA54" s="1885"/>
      <c r="AB54" s="1885"/>
      <c r="AC54" s="1885"/>
      <c r="AD54" s="1885"/>
      <c r="AE54" s="1885"/>
      <c r="AF54" s="328"/>
      <c r="AG54" s="328"/>
    </row>
    <row r="55" spans="2:33" ht="17" customHeight="1">
      <c r="B55" s="1888"/>
      <c r="C55" s="1888"/>
      <c r="D55" s="1888"/>
      <c r="E55" s="1888"/>
      <c r="F55" s="1888"/>
      <c r="G55" s="1888"/>
      <c r="H55" s="1888"/>
      <c r="I55" s="1888"/>
      <c r="J55" s="1888"/>
      <c r="K55" s="1888"/>
      <c r="L55" s="1888"/>
      <c r="M55" s="1888"/>
      <c r="N55" s="1888"/>
      <c r="O55" s="1888"/>
      <c r="P55" s="1888"/>
      <c r="Q55" s="1888"/>
      <c r="R55" s="1888"/>
      <c r="S55" s="1888"/>
      <c r="T55" s="1888"/>
      <c r="U55" s="1888"/>
      <c r="V55" s="1888"/>
      <c r="W55" s="1888"/>
      <c r="X55" s="1888"/>
      <c r="Y55" s="1888"/>
      <c r="AA55" s="1885"/>
      <c r="AB55" s="1885"/>
      <c r="AC55" s="1885"/>
      <c r="AD55" s="1885"/>
      <c r="AE55" s="1885"/>
      <c r="AF55" s="328"/>
      <c r="AG55" s="328"/>
    </row>
    <row r="56" spans="2:33" ht="17" customHeight="1">
      <c r="B56" s="1888"/>
      <c r="C56" s="1888"/>
      <c r="D56" s="1888"/>
      <c r="E56" s="1888"/>
      <c r="F56" s="1888"/>
      <c r="G56" s="1888"/>
      <c r="H56" s="1888"/>
      <c r="I56" s="1888"/>
      <c r="J56" s="1888"/>
      <c r="K56" s="1888"/>
      <c r="L56" s="1888"/>
      <c r="M56" s="1888"/>
      <c r="N56" s="1888"/>
      <c r="O56" s="1888"/>
      <c r="P56" s="1888"/>
      <c r="Q56" s="1888"/>
      <c r="R56" s="1888"/>
      <c r="S56" s="1888"/>
      <c r="T56" s="1888"/>
      <c r="U56" s="1888"/>
      <c r="V56" s="1888"/>
      <c r="W56" s="1888"/>
      <c r="X56" s="1888"/>
      <c r="Y56" s="1888"/>
      <c r="AA56" s="1772" t="s">
        <v>354</v>
      </c>
      <c r="AB56" s="1772"/>
      <c r="AC56" s="1772"/>
      <c r="AD56" s="1772"/>
      <c r="AE56" s="1772"/>
      <c r="AF56" s="328"/>
      <c r="AG56" s="328"/>
    </row>
    <row r="57" spans="2:33" ht="17" customHeight="1">
      <c r="B57" s="1782" t="s">
        <v>355</v>
      </c>
      <c r="C57" s="1783"/>
      <c r="D57" s="1783"/>
      <c r="E57" s="1783"/>
      <c r="F57" s="1783"/>
      <c r="G57" s="1783"/>
      <c r="H57" s="1783"/>
      <c r="I57" s="1783"/>
      <c r="J57" s="1783"/>
      <c r="K57" s="1783"/>
      <c r="L57" s="1783"/>
      <c r="M57" s="1783"/>
      <c r="N57" s="1783"/>
      <c r="O57" s="1783"/>
      <c r="P57" s="1783"/>
      <c r="Q57" s="1783"/>
      <c r="R57" s="1783"/>
      <c r="S57" s="1783"/>
      <c r="T57" s="1783"/>
      <c r="U57" s="1783"/>
      <c r="V57" s="1783"/>
      <c r="W57" s="1783"/>
      <c r="X57" s="1783"/>
      <c r="Y57" s="1784"/>
      <c r="AF57" s="328"/>
      <c r="AG57" s="328"/>
    </row>
    <row r="58" spans="2:33" ht="17" customHeight="1">
      <c r="B58" s="1776" t="s">
        <v>346</v>
      </c>
      <c r="C58" s="1777"/>
      <c r="D58" s="1777"/>
      <c r="E58" s="1777"/>
      <c r="F58" s="1777"/>
      <c r="G58" s="1777"/>
      <c r="H58" s="1777"/>
      <c r="I58" s="1777"/>
      <c r="J58" s="1777"/>
      <c r="K58" s="1777"/>
      <c r="L58" s="1777"/>
      <c r="M58" s="1777"/>
      <c r="N58" s="1777"/>
      <c r="O58" s="1777"/>
      <c r="P58" s="1777"/>
      <c r="Q58" s="1777"/>
      <c r="R58" s="1777"/>
      <c r="S58" s="1777"/>
      <c r="T58" s="1777"/>
      <c r="U58" s="1777"/>
      <c r="V58" s="1777"/>
      <c r="W58" s="1777"/>
      <c r="X58" s="1777"/>
      <c r="Y58" s="1778"/>
      <c r="Z58" s="481" t="s">
        <v>347</v>
      </c>
      <c r="AA58" s="1886" t="s">
        <v>356</v>
      </c>
      <c r="AB58" s="1887"/>
      <c r="AC58" s="1887"/>
      <c r="AD58" s="1887"/>
      <c r="AE58" s="1887"/>
      <c r="AF58" s="328"/>
      <c r="AG58" s="328"/>
    </row>
    <row r="59" spans="2:33" ht="17" customHeight="1">
      <c r="B59" s="1888" t="str">
        <f>附表!S76</f>
        <v>.st 艾迪安·多雷？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v>
      </c>
      <c r="C59" s="1888"/>
      <c r="D59" s="1888"/>
      <c r="E59" s="1888"/>
      <c r="F59" s="1888"/>
      <c r="G59" s="1888"/>
      <c r="H59" s="1888"/>
      <c r="I59" s="1888"/>
      <c r="J59" s="1888"/>
      <c r="K59" s="1888"/>
      <c r="L59" s="1888"/>
      <c r="M59" s="1888"/>
      <c r="N59" s="1888"/>
      <c r="O59" s="1888"/>
      <c r="P59" s="1888"/>
      <c r="Q59" s="1888"/>
      <c r="R59" s="1888"/>
      <c r="S59" s="1888"/>
      <c r="T59" s="1888"/>
      <c r="U59" s="1888"/>
      <c r="V59" s="1888"/>
      <c r="W59" s="1888"/>
      <c r="X59" s="1888"/>
      <c r="Y59" s="1888"/>
      <c r="AA59" s="1887"/>
      <c r="AB59" s="1887"/>
      <c r="AC59" s="1887"/>
      <c r="AD59" s="1887"/>
      <c r="AE59" s="1887"/>
      <c r="AF59" s="328"/>
      <c r="AG59" s="328"/>
    </row>
    <row r="60" spans="2:33" ht="17" customHeight="1">
      <c r="B60" s="1888"/>
      <c r="C60" s="1888"/>
      <c r="D60" s="1888"/>
      <c r="E60" s="1888"/>
      <c r="F60" s="1888"/>
      <c r="G60" s="1888"/>
      <c r="H60" s="1888"/>
      <c r="I60" s="1888"/>
      <c r="J60" s="1888"/>
      <c r="K60" s="1888"/>
      <c r="L60" s="1888"/>
      <c r="M60" s="1888"/>
      <c r="N60" s="1888"/>
      <c r="O60" s="1888"/>
      <c r="P60" s="1888"/>
      <c r="Q60" s="1888"/>
      <c r="R60" s="1888"/>
      <c r="S60" s="1888"/>
      <c r="T60" s="1888"/>
      <c r="U60" s="1888"/>
      <c r="V60" s="1888"/>
      <c r="W60" s="1888"/>
      <c r="X60" s="1888"/>
      <c r="Y60" s="1888"/>
      <c r="AA60" s="1887"/>
      <c r="AB60" s="1887"/>
      <c r="AC60" s="1887"/>
      <c r="AD60" s="1887"/>
      <c r="AE60" s="1887"/>
      <c r="AF60" s="328"/>
      <c r="AG60" s="328"/>
    </row>
    <row r="61" spans="2:33" ht="17" customHeight="1">
      <c r="B61" s="1888"/>
      <c r="C61" s="1888"/>
      <c r="D61" s="1888"/>
      <c r="E61" s="1888"/>
      <c r="F61" s="1888"/>
      <c r="G61" s="1888"/>
      <c r="H61" s="1888"/>
      <c r="I61" s="1888"/>
      <c r="J61" s="1888"/>
      <c r="K61" s="1888"/>
      <c r="L61" s="1888"/>
      <c r="M61" s="1888"/>
      <c r="N61" s="1888"/>
      <c r="O61" s="1888"/>
      <c r="P61" s="1888"/>
      <c r="Q61" s="1888"/>
      <c r="R61" s="1888"/>
      <c r="S61" s="1888"/>
      <c r="T61" s="1888"/>
      <c r="U61" s="1888"/>
      <c r="V61" s="1888"/>
      <c r="W61" s="1888"/>
      <c r="X61" s="1888"/>
      <c r="Y61" s="1888"/>
      <c r="AA61" s="1887"/>
      <c r="AB61" s="1887"/>
      <c r="AC61" s="1887"/>
      <c r="AD61" s="1887"/>
      <c r="AE61" s="1887"/>
      <c r="AF61" s="328"/>
      <c r="AG61" s="328"/>
    </row>
    <row r="62" spans="2:33" ht="17" customHeight="1">
      <c r="B62" s="1888"/>
      <c r="C62" s="1888"/>
      <c r="D62" s="1888"/>
      <c r="E62" s="1888"/>
      <c r="F62" s="1888"/>
      <c r="G62" s="1888"/>
      <c r="H62" s="1888"/>
      <c r="I62" s="1888"/>
      <c r="J62" s="1888"/>
      <c r="K62" s="1888"/>
      <c r="L62" s="1888"/>
      <c r="M62" s="1888"/>
      <c r="N62" s="1888"/>
      <c r="O62" s="1888"/>
      <c r="P62" s="1888"/>
      <c r="Q62" s="1888"/>
      <c r="R62" s="1888"/>
      <c r="S62" s="1888"/>
      <c r="T62" s="1888"/>
      <c r="U62" s="1888"/>
      <c r="V62" s="1888"/>
      <c r="W62" s="1888"/>
      <c r="X62" s="1888"/>
      <c r="Y62" s="1888"/>
      <c r="AA62" s="1887"/>
      <c r="AB62" s="1887"/>
      <c r="AC62" s="1887"/>
      <c r="AD62" s="1887"/>
      <c r="AE62" s="1887"/>
    </row>
    <row r="64" spans="2:33" ht="17" customHeight="1">
      <c r="B64" s="1785" t="s">
        <v>357</v>
      </c>
      <c r="C64" s="1786"/>
      <c r="D64" s="1786"/>
      <c r="E64" s="1786"/>
      <c r="F64" s="1786"/>
      <c r="G64" s="1786"/>
      <c r="H64" s="1786"/>
      <c r="I64" s="1786"/>
      <c r="J64" s="1786"/>
      <c r="K64" s="1786"/>
      <c r="L64" s="1786"/>
      <c r="M64" s="1786"/>
      <c r="N64" s="1786"/>
      <c r="O64" s="1786"/>
      <c r="P64" s="1786"/>
      <c r="Q64" s="1786"/>
      <c r="R64" s="1786"/>
      <c r="S64" s="1786"/>
      <c r="T64" s="1786"/>
      <c r="U64" s="1786"/>
      <c r="V64" s="1786"/>
      <c r="W64" s="1786"/>
      <c r="X64" s="1786"/>
      <c r="Y64" s="1787"/>
      <c r="Z64" s="328"/>
      <c r="AA64" s="328"/>
      <c r="AB64" s="328"/>
      <c r="AC64" s="328"/>
      <c r="AD64" s="328"/>
      <c r="AE64" s="328"/>
    </row>
    <row r="65" spans="2:34" ht="17" customHeight="1">
      <c r="B65" s="1788" t="s">
        <v>358</v>
      </c>
      <c r="C65" s="1789"/>
      <c r="D65" s="1790" t="s">
        <v>359</v>
      </c>
      <c r="E65" s="1791"/>
      <c r="F65" s="1790" t="s">
        <v>360</v>
      </c>
      <c r="G65" s="1791"/>
      <c r="H65" s="1791"/>
      <c r="I65" s="1791"/>
      <c r="J65" s="1792" t="s">
        <v>358</v>
      </c>
      <c r="K65" s="1789"/>
      <c r="L65" s="1790" t="s">
        <v>359</v>
      </c>
      <c r="M65" s="1791"/>
      <c r="N65" s="1790" t="s">
        <v>360</v>
      </c>
      <c r="O65" s="1791"/>
      <c r="P65" s="1791"/>
      <c r="Q65" s="1791"/>
      <c r="R65" s="1792" t="s">
        <v>358</v>
      </c>
      <c r="S65" s="1789"/>
      <c r="T65" s="1790" t="s">
        <v>359</v>
      </c>
      <c r="U65" s="1791"/>
      <c r="V65" s="1790" t="s">
        <v>360</v>
      </c>
      <c r="W65" s="1791"/>
      <c r="X65" s="1791"/>
      <c r="Y65" s="1793"/>
      <c r="Z65" s="328"/>
      <c r="AA65" s="328"/>
      <c r="AB65" s="328"/>
      <c r="AC65" s="328"/>
      <c r="AD65" s="328"/>
      <c r="AE65" s="328"/>
      <c r="AF65" s="930"/>
      <c r="AG65" s="930"/>
      <c r="AH65" s="930"/>
    </row>
    <row r="66" spans="2:34" ht="17" customHeight="1">
      <c r="B66" s="1814" t="s">
        <v>361</v>
      </c>
      <c r="C66" s="1315"/>
      <c r="D66" s="1315" t="s">
        <v>313</v>
      </c>
      <c r="E66" s="1315"/>
      <c r="F66" s="1815"/>
      <c r="G66" s="1815"/>
      <c r="H66" s="1815"/>
      <c r="I66" s="1816"/>
      <c r="J66" s="1315" t="s">
        <v>362</v>
      </c>
      <c r="K66" s="1315"/>
      <c r="L66" s="1315" t="s">
        <v>363</v>
      </c>
      <c r="M66" s="1315"/>
      <c r="N66" s="1314"/>
      <c r="O66" s="1314"/>
      <c r="P66" s="1314"/>
      <c r="Q66" s="1794"/>
      <c r="R66" s="1795" t="s">
        <v>109</v>
      </c>
      <c r="S66" s="1795"/>
      <c r="T66" s="1795" t="s">
        <v>364</v>
      </c>
      <c r="U66" s="1795"/>
      <c r="V66" s="1796" t="s">
        <v>365</v>
      </c>
      <c r="W66" s="1796"/>
      <c r="X66" s="1796"/>
      <c r="Y66" s="1797"/>
      <c r="Z66" s="328"/>
      <c r="AA66" s="328"/>
      <c r="AB66" s="328"/>
      <c r="AC66" s="328"/>
      <c r="AD66" s="328"/>
      <c r="AE66" s="328"/>
      <c r="AF66" s="930"/>
      <c r="AG66" s="930"/>
      <c r="AH66" s="930"/>
    </row>
    <row r="67" spans="2:34" ht="17" customHeight="1">
      <c r="B67" s="1799" t="s">
        <v>366</v>
      </c>
      <c r="C67" s="1742"/>
      <c r="D67" s="1743" t="s">
        <v>314</v>
      </c>
      <c r="E67" s="1742"/>
      <c r="F67" s="1800"/>
      <c r="G67" s="1801"/>
      <c r="H67" s="1801"/>
      <c r="I67" s="1802"/>
      <c r="J67" s="1743" t="s">
        <v>367</v>
      </c>
      <c r="K67" s="1742"/>
      <c r="L67" s="1743" t="s">
        <v>368</v>
      </c>
      <c r="M67" s="1742"/>
      <c r="N67" s="1803" t="s">
        <v>369</v>
      </c>
      <c r="O67" s="1804"/>
      <c r="P67" s="1804"/>
      <c r="Q67" s="1805"/>
      <c r="R67" s="1806" t="s">
        <v>114</v>
      </c>
      <c r="S67" s="1807"/>
      <c r="T67" s="1743" t="s">
        <v>370</v>
      </c>
      <c r="U67" s="1742"/>
      <c r="V67" s="1743"/>
      <c r="W67" s="1742"/>
      <c r="X67" s="1742"/>
      <c r="Y67" s="1808"/>
      <c r="Z67" s="328"/>
      <c r="AA67" s="328"/>
      <c r="AB67" s="328"/>
      <c r="AC67" s="328"/>
      <c r="AD67" s="328"/>
      <c r="AE67" s="328"/>
      <c r="AF67" s="930"/>
      <c r="AG67" s="930"/>
      <c r="AH67" s="930"/>
    </row>
    <row r="68" spans="2:34" ht="17" customHeight="1">
      <c r="B68" s="1814" t="s">
        <v>371</v>
      </c>
      <c r="C68" s="1315"/>
      <c r="D68" s="1315" t="s">
        <v>317</v>
      </c>
      <c r="E68" s="1315"/>
      <c r="F68" s="1815"/>
      <c r="G68" s="1815"/>
      <c r="H68" s="1815"/>
      <c r="I68" s="1816"/>
      <c r="J68" s="1315" t="s">
        <v>372</v>
      </c>
      <c r="K68" s="1315"/>
      <c r="L68" s="1315" t="s">
        <v>373</v>
      </c>
      <c r="M68" s="1315"/>
      <c r="N68" s="1314"/>
      <c r="O68" s="1314"/>
      <c r="P68" s="1314"/>
      <c r="Q68" s="1794"/>
      <c r="R68" s="1315" t="s">
        <v>374</v>
      </c>
      <c r="S68" s="1315"/>
      <c r="T68" s="1315" t="s">
        <v>375</v>
      </c>
      <c r="U68" s="1315"/>
      <c r="V68" s="1315" t="s">
        <v>376</v>
      </c>
      <c r="W68" s="1315"/>
      <c r="X68" s="1315"/>
      <c r="Y68" s="1798"/>
      <c r="Z68" s="328"/>
      <c r="AA68" s="328"/>
      <c r="AB68" s="328"/>
      <c r="AC68" s="328"/>
      <c r="AD68" s="328"/>
      <c r="AE68" s="328"/>
      <c r="AF68" s="930"/>
      <c r="AG68" s="930"/>
      <c r="AH68" s="930"/>
    </row>
    <row r="69" spans="2:34" ht="17" customHeight="1">
      <c r="B69" s="1799" t="s">
        <v>377</v>
      </c>
      <c r="C69" s="1742"/>
      <c r="D69" s="1743" t="s">
        <v>320</v>
      </c>
      <c r="E69" s="1742"/>
      <c r="F69" s="1851"/>
      <c r="G69" s="1802"/>
      <c r="H69" s="1802"/>
      <c r="I69" s="1802"/>
      <c r="J69" s="928"/>
      <c r="K69" s="928"/>
      <c r="L69" s="928"/>
      <c r="M69" s="928"/>
      <c r="N69" s="928"/>
      <c r="O69" s="928"/>
      <c r="P69" s="928"/>
      <c r="Q69" s="929"/>
      <c r="R69" s="1809" t="s">
        <v>63</v>
      </c>
      <c r="S69" s="1810"/>
      <c r="T69" s="1809" t="s">
        <v>378</v>
      </c>
      <c r="U69" s="1810"/>
      <c r="V69" s="1811"/>
      <c r="W69" s="1812"/>
      <c r="X69" s="1812"/>
      <c r="Y69" s="1813"/>
      <c r="Z69" s="328"/>
      <c r="AA69" s="328"/>
      <c r="AB69" s="328"/>
      <c r="AC69" s="328"/>
      <c r="AD69" s="328"/>
      <c r="AE69" s="328"/>
      <c r="AF69" s="930"/>
      <c r="AG69" s="930"/>
      <c r="AH69" s="930"/>
    </row>
    <row r="70" spans="2:34" ht="17" customHeight="1">
      <c r="B70" s="1814" t="s">
        <v>379</v>
      </c>
      <c r="C70" s="1315"/>
      <c r="D70" s="1315" t="s">
        <v>318</v>
      </c>
      <c r="E70" s="1315"/>
      <c r="F70" s="1815"/>
      <c r="G70" s="1815"/>
      <c r="H70" s="1815"/>
      <c r="I70" s="1816"/>
      <c r="Q70" s="633"/>
      <c r="R70" s="1315" t="s">
        <v>71</v>
      </c>
      <c r="S70" s="1315"/>
      <c r="T70" s="1315" t="s">
        <v>380</v>
      </c>
      <c r="U70" s="1315"/>
      <c r="V70" s="1314"/>
      <c r="W70" s="1314"/>
      <c r="X70" s="1314"/>
      <c r="Y70" s="1817"/>
      <c r="Z70" s="328"/>
      <c r="AA70" s="328"/>
      <c r="AB70" s="328"/>
      <c r="AC70" s="328"/>
      <c r="AD70" s="328"/>
      <c r="AE70" s="328"/>
      <c r="AF70" s="930"/>
      <c r="AG70" s="930"/>
      <c r="AH70" s="930"/>
    </row>
    <row r="71" spans="2:34" ht="17" customHeight="1">
      <c r="B71" s="1833" t="s">
        <v>381</v>
      </c>
      <c r="C71" s="1810"/>
      <c r="D71" s="1809" t="s">
        <v>316</v>
      </c>
      <c r="E71" s="1810"/>
      <c r="F71" s="1818" t="s">
        <v>382</v>
      </c>
      <c r="G71" s="1819"/>
      <c r="H71" s="1819"/>
      <c r="I71" s="1834"/>
      <c r="J71" s="928"/>
      <c r="K71" s="928"/>
      <c r="L71" s="928"/>
      <c r="M71" s="928"/>
      <c r="N71" s="928"/>
      <c r="O71" s="928"/>
      <c r="P71" s="928"/>
      <c r="Q71" s="929"/>
      <c r="R71" s="1809" t="s">
        <v>77</v>
      </c>
      <c r="S71" s="1810"/>
      <c r="T71" s="1809"/>
      <c r="U71" s="1810"/>
      <c r="V71" s="1818" t="s">
        <v>383</v>
      </c>
      <c r="W71" s="1819"/>
      <c r="X71" s="1819"/>
      <c r="Y71" s="1820"/>
      <c r="Z71" s="328"/>
      <c r="AA71" s="328"/>
      <c r="AB71" s="328"/>
      <c r="AC71" s="328"/>
      <c r="AD71" s="328"/>
      <c r="AE71" s="328"/>
      <c r="AF71" s="930"/>
      <c r="AG71" s="930"/>
      <c r="AH71" s="930"/>
    </row>
    <row r="72" spans="2:34" ht="17" customHeight="1">
      <c r="B72" s="1821" t="s">
        <v>384</v>
      </c>
      <c r="C72" s="1795"/>
      <c r="D72" s="1795" t="s">
        <v>315</v>
      </c>
      <c r="E72" s="1795"/>
      <c r="F72" s="1822"/>
      <c r="G72" s="1822"/>
      <c r="H72" s="1822"/>
      <c r="I72" s="1823"/>
      <c r="J72" s="944" t="s">
        <v>86</v>
      </c>
      <c r="K72" s="1498"/>
      <c r="L72" s="1795" t="s">
        <v>385</v>
      </c>
      <c r="M72" s="1795"/>
      <c r="N72" s="1796" t="s">
        <v>386</v>
      </c>
      <c r="O72" s="1796"/>
      <c r="P72" s="1796"/>
      <c r="Q72" s="1824"/>
      <c r="R72" s="1795" t="s">
        <v>79</v>
      </c>
      <c r="S72" s="1795"/>
      <c r="T72" s="1315"/>
      <c r="U72" s="1315"/>
      <c r="V72" s="1815" t="s">
        <v>387</v>
      </c>
      <c r="W72" s="1815"/>
      <c r="X72" s="1815"/>
      <c r="Y72" s="1825"/>
      <c r="Z72" s="328"/>
      <c r="AA72" s="328"/>
      <c r="AB72" s="328"/>
      <c r="AC72" s="328"/>
      <c r="AD72" s="328"/>
      <c r="AE72" s="328"/>
      <c r="AF72" s="930"/>
      <c r="AG72" s="930"/>
      <c r="AH72" s="930"/>
    </row>
    <row r="73" spans="2:34" ht="17" customHeight="1">
      <c r="B73" s="1833" t="s">
        <v>388</v>
      </c>
      <c r="C73" s="1810"/>
      <c r="D73" s="1809" t="s">
        <v>319</v>
      </c>
      <c r="E73" s="1810"/>
      <c r="F73" s="1818"/>
      <c r="G73" s="1819"/>
      <c r="H73" s="1819"/>
      <c r="I73" s="1834"/>
      <c r="J73" s="1809" t="s">
        <v>94</v>
      </c>
      <c r="K73" s="1810"/>
      <c r="L73" s="1809" t="s">
        <v>389</v>
      </c>
      <c r="M73" s="1810"/>
      <c r="N73" s="1835" t="s">
        <v>390</v>
      </c>
      <c r="O73" s="1836"/>
      <c r="P73" s="1836"/>
      <c r="Q73" s="1837"/>
      <c r="R73" s="1809" t="s">
        <v>87</v>
      </c>
      <c r="S73" s="1810"/>
      <c r="T73" s="1809" t="s">
        <v>391</v>
      </c>
      <c r="U73" s="1810"/>
      <c r="V73" s="1818" t="s">
        <v>392</v>
      </c>
      <c r="W73" s="1819"/>
      <c r="X73" s="1819"/>
      <c r="Y73" s="1820"/>
      <c r="Z73" s="328"/>
      <c r="AA73" s="328"/>
      <c r="AB73" s="328"/>
      <c r="AC73" s="328"/>
      <c r="AD73" s="328"/>
      <c r="AE73" s="328"/>
      <c r="AF73" s="930"/>
      <c r="AG73" s="930"/>
      <c r="AH73" s="930"/>
    </row>
    <row r="74" spans="2:34" ht="17" customHeight="1">
      <c r="B74" s="1847" t="s">
        <v>393</v>
      </c>
      <c r="C74" s="1848"/>
      <c r="D74" s="1848"/>
      <c r="E74" s="1848"/>
      <c r="F74" s="1849" t="s">
        <v>394</v>
      </c>
      <c r="G74" s="1849"/>
      <c r="H74" s="1849"/>
      <c r="I74" s="1850"/>
      <c r="J74" s="1826" t="s">
        <v>96</v>
      </c>
      <c r="K74" s="1826"/>
      <c r="L74" s="1826" t="s">
        <v>395</v>
      </c>
      <c r="M74" s="1826"/>
      <c r="N74" s="1827" t="s">
        <v>396</v>
      </c>
      <c r="O74" s="1827"/>
      <c r="P74" s="1827"/>
      <c r="Q74" s="1828"/>
      <c r="R74" s="1829" t="s">
        <v>131</v>
      </c>
      <c r="S74" s="1830"/>
      <c r="T74" s="1826" t="s">
        <v>397</v>
      </c>
      <c r="U74" s="1826"/>
      <c r="V74" s="1831"/>
      <c r="W74" s="1831"/>
      <c r="X74" s="1831"/>
      <c r="Y74" s="1832"/>
      <c r="Z74" s="328"/>
      <c r="AA74" s="328"/>
      <c r="AB74" s="328"/>
      <c r="AC74" s="328"/>
      <c r="AD74" s="328"/>
      <c r="AE74" s="328"/>
      <c r="AF74" s="930"/>
      <c r="AG74" s="930"/>
      <c r="AH74" s="930"/>
    </row>
    <row r="75" spans="2:34" ht="17" customHeight="1">
      <c r="B75" s="1911" t="s">
        <v>398</v>
      </c>
      <c r="C75" s="1912"/>
      <c r="D75" s="1912"/>
      <c r="E75" s="1912"/>
      <c r="F75" s="1912"/>
      <c r="G75" s="1912"/>
      <c r="Z75" s="328"/>
      <c r="AA75" s="328"/>
      <c r="AB75" s="328"/>
      <c r="AC75" s="328"/>
      <c r="AD75" s="328"/>
      <c r="AE75" s="328"/>
      <c r="AF75" s="930"/>
      <c r="AG75" s="930"/>
      <c r="AH75" s="930"/>
    </row>
    <row r="76" spans="2:34" ht="17" customHeight="1">
      <c r="B76" s="1912"/>
      <c r="C76" s="1912"/>
      <c r="D76" s="1912"/>
      <c r="E76" s="1912"/>
      <c r="F76" s="1912"/>
      <c r="G76" s="1912"/>
      <c r="H76" s="328"/>
      <c r="I76" s="328"/>
      <c r="J76" s="328"/>
      <c r="K76" s="328"/>
      <c r="L76" s="328"/>
      <c r="M76" s="328"/>
      <c r="N76" s="328"/>
      <c r="O76" s="328"/>
      <c r="P76" s="328"/>
      <c r="Q76" s="328"/>
      <c r="R76" s="328"/>
      <c r="S76" s="328"/>
      <c r="T76" s="328"/>
      <c r="U76" s="328"/>
      <c r="V76" s="328"/>
      <c r="W76" s="328"/>
      <c r="X76" s="328"/>
      <c r="Y76" s="328"/>
    </row>
    <row r="77" spans="2:34" ht="17" customHeight="1">
      <c r="B77" s="1915" t="s">
        <v>399</v>
      </c>
      <c r="C77" s="1916"/>
      <c r="D77" s="1916"/>
      <c r="E77" s="1916"/>
      <c r="F77" s="1916"/>
      <c r="G77" s="1916"/>
      <c r="H77" s="1916"/>
      <c r="I77" s="1916"/>
      <c r="J77" s="1916"/>
      <c r="K77" s="1916"/>
      <c r="L77" s="1916"/>
      <c r="M77" s="1916"/>
      <c r="N77" s="1916"/>
      <c r="O77" s="1916"/>
      <c r="P77" s="1916"/>
      <c r="Q77" s="1916"/>
      <c r="R77" s="1916"/>
      <c r="S77" s="1916"/>
      <c r="T77" s="1916"/>
      <c r="U77" s="1916"/>
      <c r="V77" s="1916"/>
      <c r="W77" s="1916"/>
      <c r="X77" s="1916"/>
      <c r="Y77" s="1916"/>
      <c r="Z77" s="1916"/>
      <c r="AA77" s="1916"/>
      <c r="AB77" s="1916"/>
      <c r="AC77" s="1916"/>
      <c r="AD77" s="1916"/>
      <c r="AE77" s="1917"/>
    </row>
    <row r="78" spans="2:34" ht="16">
      <c r="B78" s="1918"/>
      <c r="C78" s="1919"/>
      <c r="D78" s="1919"/>
      <c r="E78" s="1919"/>
      <c r="F78" s="1919"/>
      <c r="G78" s="1919"/>
      <c r="H78" s="1919"/>
      <c r="I78" s="1919"/>
      <c r="J78" s="1919"/>
      <c r="K78" s="1919"/>
      <c r="L78" s="1919"/>
      <c r="M78" s="1919"/>
      <c r="N78" s="1919"/>
      <c r="O78" s="1919"/>
      <c r="P78" s="1919"/>
      <c r="Q78" s="1919"/>
      <c r="R78" s="1919"/>
      <c r="S78" s="1919"/>
      <c r="T78" s="1919"/>
      <c r="U78" s="1919"/>
      <c r="V78" s="1919"/>
      <c r="W78" s="1919"/>
      <c r="X78" s="1919"/>
      <c r="Y78" s="1919"/>
      <c r="Z78" s="1919"/>
      <c r="AA78" s="1919"/>
      <c r="AB78" s="1919"/>
      <c r="AC78" s="1919"/>
      <c r="AD78" s="1919"/>
      <c r="AE78" s="1920"/>
    </row>
    <row r="79" spans="2:34" ht="17" customHeight="1">
      <c r="B79" s="1859" t="s">
        <v>90</v>
      </c>
      <c r="C79" s="1860"/>
      <c r="D79" s="1860"/>
      <c r="E79" s="1861" t="s">
        <v>400</v>
      </c>
      <c r="F79" s="1862"/>
      <c r="G79" s="1862"/>
      <c r="H79" s="1861" t="s">
        <v>100</v>
      </c>
      <c r="I79" s="1862"/>
      <c r="J79" s="1863" t="s">
        <v>108</v>
      </c>
      <c r="K79" s="1864"/>
      <c r="L79" s="1864"/>
      <c r="M79" s="1864"/>
      <c r="N79" s="1864"/>
      <c r="O79" s="1864"/>
      <c r="P79" s="1864"/>
      <c r="Q79" s="1864"/>
      <c r="R79" s="1864"/>
      <c r="S79" s="1864"/>
      <c r="T79" s="1864"/>
      <c r="U79" s="1864"/>
      <c r="V79" s="1864"/>
      <c r="W79" s="1864"/>
      <c r="X79" s="1864"/>
      <c r="Y79" s="1864"/>
      <c r="Z79" s="1864"/>
      <c r="AA79" s="1864"/>
      <c r="AB79" s="1864"/>
      <c r="AC79" s="1864"/>
      <c r="AD79" s="1864"/>
      <c r="AE79" s="1865"/>
    </row>
    <row r="80" spans="2:34" ht="16">
      <c r="B80" s="1900" t="s">
        <v>401</v>
      </c>
      <c r="C80" s="1901"/>
      <c r="D80" s="1901"/>
      <c r="E80" s="1913" t="s">
        <v>402</v>
      </c>
      <c r="F80" s="1901"/>
      <c r="G80" s="1901"/>
      <c r="H80" s="1913">
        <v>70</v>
      </c>
      <c r="I80" s="1901"/>
      <c r="J80" s="1908" t="s">
        <v>403</v>
      </c>
      <c r="K80" s="1921"/>
      <c r="L80" s="1921"/>
      <c r="M80" s="1921"/>
      <c r="N80" s="1921"/>
      <c r="O80" s="1921"/>
      <c r="P80" s="1921"/>
      <c r="Q80" s="1921"/>
      <c r="R80" s="1921"/>
      <c r="S80" s="1921"/>
      <c r="T80" s="1921"/>
      <c r="U80" s="1921"/>
      <c r="V80" s="1921"/>
      <c r="W80" s="1921"/>
      <c r="X80" s="1921"/>
      <c r="Y80" s="1921"/>
      <c r="Z80" s="1921"/>
      <c r="AA80" s="1921"/>
      <c r="AB80" s="1921"/>
      <c r="AC80" s="1921"/>
      <c r="AD80" s="1921"/>
      <c r="AE80" s="1922"/>
    </row>
    <row r="81" spans="2:31" ht="16">
      <c r="B81" s="1902"/>
      <c r="C81" s="1901"/>
      <c r="D81" s="1901"/>
      <c r="E81" s="1901"/>
      <c r="F81" s="1901"/>
      <c r="G81" s="1901"/>
      <c r="H81" s="1901"/>
      <c r="I81" s="1901"/>
      <c r="J81" s="1921"/>
      <c r="K81" s="1921"/>
      <c r="L81" s="1921"/>
      <c r="M81" s="1921"/>
      <c r="N81" s="1921"/>
      <c r="O81" s="1921"/>
      <c r="P81" s="1921"/>
      <c r="Q81" s="1921"/>
      <c r="R81" s="1921"/>
      <c r="S81" s="1921"/>
      <c r="T81" s="1921"/>
      <c r="U81" s="1921"/>
      <c r="V81" s="1921"/>
      <c r="W81" s="1921"/>
      <c r="X81" s="1921"/>
      <c r="Y81" s="1921"/>
      <c r="Z81" s="1921"/>
      <c r="AA81" s="1921"/>
      <c r="AB81" s="1921"/>
      <c r="AC81" s="1921"/>
      <c r="AD81" s="1921"/>
      <c r="AE81" s="1922"/>
    </row>
    <row r="82" spans="2:31" ht="16">
      <c r="B82" s="1905" t="s">
        <v>404</v>
      </c>
      <c r="C82" s="1881"/>
      <c r="D82" s="1881"/>
      <c r="E82" s="1881" t="s">
        <v>405</v>
      </c>
      <c r="F82" s="1881"/>
      <c r="G82" s="1881"/>
      <c r="H82" s="1881">
        <v>60</v>
      </c>
      <c r="I82" s="1881"/>
      <c r="J82" s="1882" t="s">
        <v>406</v>
      </c>
      <c r="K82" s="1882"/>
      <c r="L82" s="1882"/>
      <c r="M82" s="1882"/>
      <c r="N82" s="1882"/>
      <c r="O82" s="1882"/>
      <c r="P82" s="1882"/>
      <c r="Q82" s="1882"/>
      <c r="R82" s="1882"/>
      <c r="S82" s="1882"/>
      <c r="T82" s="1882"/>
      <c r="U82" s="1882"/>
      <c r="V82" s="1882"/>
      <c r="W82" s="1882"/>
      <c r="X82" s="1882"/>
      <c r="Y82" s="1882"/>
      <c r="Z82" s="1882"/>
      <c r="AA82" s="1882"/>
      <c r="AB82" s="1882"/>
      <c r="AC82" s="1882"/>
      <c r="AD82" s="1882"/>
      <c r="AE82" s="1883"/>
    </row>
    <row r="83" spans="2:31" ht="16">
      <c r="B83" s="1905"/>
      <c r="C83" s="1881"/>
      <c r="D83" s="1881"/>
      <c r="E83" s="1881"/>
      <c r="F83" s="1881"/>
      <c r="G83" s="1881"/>
      <c r="H83" s="1881"/>
      <c r="I83" s="1881"/>
      <c r="J83" s="1882"/>
      <c r="K83" s="1882"/>
      <c r="L83" s="1882"/>
      <c r="M83" s="1882"/>
      <c r="N83" s="1882"/>
      <c r="O83" s="1882"/>
      <c r="P83" s="1882"/>
      <c r="Q83" s="1882"/>
      <c r="R83" s="1882"/>
      <c r="S83" s="1882"/>
      <c r="T83" s="1882"/>
      <c r="U83" s="1882"/>
      <c r="V83" s="1882"/>
      <c r="W83" s="1882"/>
      <c r="X83" s="1882"/>
      <c r="Y83" s="1882"/>
      <c r="Z83" s="1882"/>
      <c r="AA83" s="1882"/>
      <c r="AB83" s="1882"/>
      <c r="AC83" s="1882"/>
      <c r="AD83" s="1882"/>
      <c r="AE83" s="1883"/>
    </row>
    <row r="84" spans="2:31" ht="16">
      <c r="B84" s="1900" t="s">
        <v>407</v>
      </c>
      <c r="C84" s="1901"/>
      <c r="D84" s="1901"/>
      <c r="E84" s="1913" t="s">
        <v>405</v>
      </c>
      <c r="F84" s="1901"/>
      <c r="G84" s="1901"/>
      <c r="H84" s="1913">
        <v>60</v>
      </c>
      <c r="I84" s="1914"/>
      <c r="J84" s="1908" t="s">
        <v>408</v>
      </c>
      <c r="K84" s="1909"/>
      <c r="L84" s="1909"/>
      <c r="M84" s="1909"/>
      <c r="N84" s="1909"/>
      <c r="O84" s="1909"/>
      <c r="P84" s="1909"/>
      <c r="Q84" s="1909"/>
      <c r="R84" s="1909"/>
      <c r="S84" s="1909"/>
      <c r="T84" s="1909"/>
      <c r="U84" s="1909"/>
      <c r="V84" s="1909"/>
      <c r="W84" s="1909"/>
      <c r="X84" s="1909"/>
      <c r="Y84" s="1909"/>
      <c r="Z84" s="1909"/>
      <c r="AA84" s="1909"/>
      <c r="AB84" s="1909"/>
      <c r="AC84" s="1909"/>
      <c r="AD84" s="1909"/>
      <c r="AE84" s="1910"/>
    </row>
    <row r="85" spans="2:31" ht="16">
      <c r="B85" s="1902"/>
      <c r="C85" s="1901"/>
      <c r="D85" s="1901"/>
      <c r="E85" s="1901"/>
      <c r="F85" s="1901"/>
      <c r="G85" s="1901"/>
      <c r="H85" s="1914"/>
      <c r="I85" s="1914"/>
      <c r="J85" s="1909"/>
      <c r="K85" s="1909"/>
      <c r="L85" s="1909"/>
      <c r="M85" s="1909"/>
      <c r="N85" s="1909"/>
      <c r="O85" s="1909"/>
      <c r="P85" s="1909"/>
      <c r="Q85" s="1909"/>
      <c r="R85" s="1909"/>
      <c r="S85" s="1909"/>
      <c r="T85" s="1909"/>
      <c r="U85" s="1909"/>
      <c r="V85" s="1909"/>
      <c r="W85" s="1909"/>
      <c r="X85" s="1909"/>
      <c r="Y85" s="1909"/>
      <c r="Z85" s="1909"/>
      <c r="AA85" s="1909"/>
      <c r="AB85" s="1909"/>
      <c r="AC85" s="1909"/>
      <c r="AD85" s="1909"/>
      <c r="AE85" s="1910"/>
    </row>
    <row r="86" spans="2:31" ht="16">
      <c r="B86" s="1905" t="s">
        <v>409</v>
      </c>
      <c r="C86" s="1881"/>
      <c r="D86" s="1881"/>
      <c r="E86" s="1881" t="s">
        <v>405</v>
      </c>
      <c r="F86" s="1881"/>
      <c r="G86" s="1881"/>
      <c r="H86" s="1881">
        <v>60</v>
      </c>
      <c r="I86" s="1881"/>
      <c r="J86" s="1882" t="s">
        <v>410</v>
      </c>
      <c r="K86" s="1882"/>
      <c r="L86" s="1882"/>
      <c r="M86" s="1882"/>
      <c r="N86" s="1882"/>
      <c r="O86" s="1882"/>
      <c r="P86" s="1882"/>
      <c r="Q86" s="1882"/>
      <c r="R86" s="1882"/>
      <c r="S86" s="1882"/>
      <c r="T86" s="1882"/>
      <c r="U86" s="1882"/>
      <c r="V86" s="1882"/>
      <c r="W86" s="1882"/>
      <c r="X86" s="1882"/>
      <c r="Y86" s="1882"/>
      <c r="Z86" s="1882"/>
      <c r="AA86" s="1882"/>
      <c r="AB86" s="1882"/>
      <c r="AC86" s="1882"/>
      <c r="AD86" s="1882"/>
      <c r="AE86" s="1883"/>
    </row>
    <row r="87" spans="2:31" ht="16">
      <c r="B87" s="1905"/>
      <c r="C87" s="1881"/>
      <c r="D87" s="1881"/>
      <c r="E87" s="1881"/>
      <c r="F87" s="1881"/>
      <c r="G87" s="1881"/>
      <c r="H87" s="1881"/>
      <c r="I87" s="1881"/>
      <c r="J87" s="1882"/>
      <c r="K87" s="1882"/>
      <c r="L87" s="1882"/>
      <c r="M87" s="1882"/>
      <c r="N87" s="1882"/>
      <c r="O87" s="1882"/>
      <c r="P87" s="1882"/>
      <c r="Q87" s="1882"/>
      <c r="R87" s="1882"/>
      <c r="S87" s="1882"/>
      <c r="T87" s="1882"/>
      <c r="U87" s="1882"/>
      <c r="V87" s="1882"/>
      <c r="W87" s="1882"/>
      <c r="X87" s="1882"/>
      <c r="Y87" s="1882"/>
      <c r="Z87" s="1882"/>
      <c r="AA87" s="1882"/>
      <c r="AB87" s="1882"/>
      <c r="AC87" s="1882"/>
      <c r="AD87" s="1882"/>
      <c r="AE87" s="1883"/>
    </row>
    <row r="88" spans="2:31" ht="16">
      <c r="B88" s="1900" t="s">
        <v>411</v>
      </c>
      <c r="C88" s="1901"/>
      <c r="D88" s="1901"/>
      <c r="E88" s="1903" t="s">
        <v>412</v>
      </c>
      <c r="F88" s="1904"/>
      <c r="G88" s="1904"/>
      <c r="H88" s="1913">
        <v>0</v>
      </c>
      <c r="I88" s="1914"/>
      <c r="J88" s="1908" t="s">
        <v>413</v>
      </c>
      <c r="K88" s="1909"/>
      <c r="L88" s="1909"/>
      <c r="M88" s="1909"/>
      <c r="N88" s="1909"/>
      <c r="O88" s="1909"/>
      <c r="P88" s="1909"/>
      <c r="Q88" s="1909"/>
      <c r="R88" s="1909"/>
      <c r="S88" s="1909"/>
      <c r="T88" s="1909"/>
      <c r="U88" s="1909"/>
      <c r="V88" s="1909"/>
      <c r="W88" s="1909"/>
      <c r="X88" s="1909"/>
      <c r="Y88" s="1909"/>
      <c r="Z88" s="1909"/>
      <c r="AA88" s="1909"/>
      <c r="AB88" s="1909"/>
      <c r="AC88" s="1909"/>
      <c r="AD88" s="1909"/>
      <c r="AE88" s="1910"/>
    </row>
    <row r="89" spans="2:31" ht="16">
      <c r="B89" s="1902"/>
      <c r="C89" s="1901"/>
      <c r="D89" s="1901"/>
      <c r="E89" s="1904"/>
      <c r="F89" s="1904"/>
      <c r="G89" s="1904"/>
      <c r="H89" s="1914"/>
      <c r="I89" s="1914"/>
      <c r="J89" s="1909"/>
      <c r="K89" s="1909"/>
      <c r="L89" s="1909"/>
      <c r="M89" s="1909"/>
      <c r="N89" s="1909"/>
      <c r="O89" s="1909"/>
      <c r="P89" s="1909"/>
      <c r="Q89" s="1909"/>
      <c r="R89" s="1909"/>
      <c r="S89" s="1909"/>
      <c r="T89" s="1909"/>
      <c r="U89" s="1909"/>
      <c r="V89" s="1909"/>
      <c r="W89" s="1909"/>
      <c r="X89" s="1909"/>
      <c r="Y89" s="1909"/>
      <c r="Z89" s="1909"/>
      <c r="AA89" s="1909"/>
      <c r="AB89" s="1909"/>
      <c r="AC89" s="1909"/>
      <c r="AD89" s="1909"/>
      <c r="AE89" s="1910"/>
    </row>
    <row r="90" spans="2:31" ht="16">
      <c r="B90" s="1905" t="str">
        <f>IF(ISBLANK(人物卡!BC26),"",人物卡!BC26)</f>
        <v/>
      </c>
      <c r="C90" s="1881"/>
      <c r="D90" s="1881"/>
      <c r="E90" s="1881" t="str">
        <f>IF(ISBLANK(人物卡!BC28),"",人物卡!BC28)</f>
        <v/>
      </c>
      <c r="F90" s="1881"/>
      <c r="G90" s="1881"/>
      <c r="H90" s="1881" t="str">
        <f>IF(ISBLANK(人物卡!BG28),"",人物卡!BG28)</f>
        <v/>
      </c>
      <c r="I90" s="1881"/>
      <c r="J90" s="1882" t="str">
        <f>IF(ISBLANK(人物卡!BC30),"",人物卡!BC30)</f>
        <v/>
      </c>
      <c r="K90" s="1882"/>
      <c r="L90" s="1882"/>
      <c r="M90" s="1882"/>
      <c r="N90" s="1882"/>
      <c r="O90" s="1882"/>
      <c r="P90" s="1882"/>
      <c r="Q90" s="1882"/>
      <c r="R90" s="1882"/>
      <c r="S90" s="1882"/>
      <c r="T90" s="1882"/>
      <c r="U90" s="1882"/>
      <c r="V90" s="1882"/>
      <c r="W90" s="1882"/>
      <c r="X90" s="1882"/>
      <c r="Y90" s="1882"/>
      <c r="Z90" s="1882"/>
      <c r="AA90" s="1882"/>
      <c r="AB90" s="1882"/>
      <c r="AC90" s="1882"/>
      <c r="AD90" s="1882"/>
      <c r="AE90" s="1883"/>
    </row>
    <row r="91" spans="2:31" ht="16">
      <c r="B91" s="1906"/>
      <c r="C91" s="1907"/>
      <c r="D91" s="1907"/>
      <c r="E91" s="1907"/>
      <c r="F91" s="1907"/>
      <c r="G91" s="1907"/>
      <c r="H91" s="1907"/>
      <c r="I91" s="1907"/>
      <c r="J91" s="1923"/>
      <c r="K91" s="1923"/>
      <c r="L91" s="1923"/>
      <c r="M91" s="1923"/>
      <c r="N91" s="1923"/>
      <c r="O91" s="1923"/>
      <c r="P91" s="1923"/>
      <c r="Q91" s="1923"/>
      <c r="R91" s="1923"/>
      <c r="S91" s="1923"/>
      <c r="T91" s="1923"/>
      <c r="U91" s="1923"/>
      <c r="V91" s="1923"/>
      <c r="W91" s="1923"/>
      <c r="X91" s="1923"/>
      <c r="Y91" s="1923"/>
      <c r="Z91" s="1923"/>
      <c r="AA91" s="1923"/>
      <c r="AB91" s="1923"/>
      <c r="AC91" s="1923"/>
      <c r="AD91" s="1923"/>
      <c r="AE91" s="1924"/>
    </row>
    <row r="97" ht="16"/>
    <row r="98" ht="16"/>
    <row r="99" ht="16"/>
    <row r="100" ht="16"/>
    <row r="101" ht="16"/>
    <row r="102" ht="16"/>
    <row r="103" ht="16"/>
    <row r="104" ht="16"/>
    <row r="105" ht="16"/>
    <row r="106" ht="16"/>
    <row r="107" ht="16"/>
    <row r="108" ht="16"/>
    <row r="109" ht="16"/>
    <row r="110" ht="16"/>
    <row r="111" ht="16"/>
    <row r="112" ht="16"/>
    <row r="113" ht="16"/>
    <row r="114" ht="16"/>
    <row r="115" ht="16"/>
    <row r="116" ht="16"/>
    <row r="117" ht="16"/>
    <row r="118" ht="16"/>
    <row r="119" ht="16"/>
    <row r="120" ht="16"/>
    <row r="121" ht="16"/>
    <row r="122" ht="16"/>
    <row r="123" ht="16"/>
    <row r="124" ht="16"/>
  </sheetData>
  <sheetProtection sheet="1" objects="1" formatCells="0"/>
  <mergeCells count="340">
    <mergeCell ref="B88:D89"/>
    <mergeCell ref="E88:G89"/>
    <mergeCell ref="B90:D91"/>
    <mergeCell ref="E90:G91"/>
    <mergeCell ref="J84:AE85"/>
    <mergeCell ref="B75:G76"/>
    <mergeCell ref="H84:I85"/>
    <mergeCell ref="B77:AE78"/>
    <mergeCell ref="H86:I87"/>
    <mergeCell ref="B80:D81"/>
    <mergeCell ref="E80:G81"/>
    <mergeCell ref="B86:D87"/>
    <mergeCell ref="E86:G87"/>
    <mergeCell ref="H82:I83"/>
    <mergeCell ref="J80:AE81"/>
    <mergeCell ref="H80:I81"/>
    <mergeCell ref="H88:I89"/>
    <mergeCell ref="H90:I91"/>
    <mergeCell ref="J86:AE87"/>
    <mergeCell ref="B84:D85"/>
    <mergeCell ref="E84:G85"/>
    <mergeCell ref="J88:AE89"/>
    <mergeCell ref="J90:AE91"/>
    <mergeCell ref="B82:D83"/>
    <mergeCell ref="E82:G83"/>
    <mergeCell ref="J82:AE83"/>
    <mergeCell ref="AA51:AE55"/>
    <mergeCell ref="AA39:AE43"/>
    <mergeCell ref="AA45:AE49"/>
    <mergeCell ref="B40:Y43"/>
    <mergeCell ref="AA3:AB4"/>
    <mergeCell ref="C9:D10"/>
    <mergeCell ref="I9:J10"/>
    <mergeCell ref="L7:M8"/>
    <mergeCell ref="Z18:AE20"/>
    <mergeCell ref="AD3:AE4"/>
    <mergeCell ref="H28:M36"/>
    <mergeCell ref="F9:G10"/>
    <mergeCell ref="L9:M10"/>
    <mergeCell ref="Z34:AE36"/>
    <mergeCell ref="B52:Y56"/>
    <mergeCell ref="B59:Y62"/>
    <mergeCell ref="AA58:AE62"/>
    <mergeCell ref="B46:Y49"/>
    <mergeCell ref="I7:I8"/>
    <mergeCell ref="J7:J8"/>
    <mergeCell ref="K3:K4"/>
    <mergeCell ref="K5:K6"/>
    <mergeCell ref="K7:K8"/>
    <mergeCell ref="K9:K10"/>
    <mergeCell ref="L3:L4"/>
    <mergeCell ref="L5:L6"/>
    <mergeCell ref="Z3:Z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B74:C74"/>
    <mergeCell ref="D74:E74"/>
    <mergeCell ref="F74:I74"/>
    <mergeCell ref="J74:K74"/>
    <mergeCell ref="B71:C71"/>
    <mergeCell ref="D71:E71"/>
    <mergeCell ref="F71:I71"/>
    <mergeCell ref="B69:C69"/>
    <mergeCell ref="D69:E69"/>
    <mergeCell ref="F69:I69"/>
    <mergeCell ref="B68:C68"/>
    <mergeCell ref="D68:E68"/>
    <mergeCell ref="F68:I68"/>
    <mergeCell ref="J68:K68"/>
    <mergeCell ref="B66:C66"/>
    <mergeCell ref="D66:E66"/>
    <mergeCell ref="F66:I66"/>
    <mergeCell ref="J66:K66"/>
    <mergeCell ref="C36:G36"/>
    <mergeCell ref="L74:M74"/>
    <mergeCell ref="N74:Q74"/>
    <mergeCell ref="R74:S74"/>
    <mergeCell ref="T74:U74"/>
    <mergeCell ref="V74:Y74"/>
    <mergeCell ref="B73:C73"/>
    <mergeCell ref="D73:E73"/>
    <mergeCell ref="F73:I73"/>
    <mergeCell ref="J73:K73"/>
    <mergeCell ref="L73:M73"/>
    <mergeCell ref="N73:Q73"/>
    <mergeCell ref="R73:S73"/>
    <mergeCell ref="T73:U73"/>
    <mergeCell ref="V73:Y73"/>
    <mergeCell ref="R71:S71"/>
    <mergeCell ref="T71:U71"/>
    <mergeCell ref="V71:Y71"/>
    <mergeCell ref="B72:C72"/>
    <mergeCell ref="D72:E72"/>
    <mergeCell ref="F72:I72"/>
    <mergeCell ref="J72:K72"/>
    <mergeCell ref="L72:M72"/>
    <mergeCell ref="N72:Q72"/>
    <mergeCell ref="R72:S72"/>
    <mergeCell ref="T72:U72"/>
    <mergeCell ref="V72:Y72"/>
    <mergeCell ref="R69:S69"/>
    <mergeCell ref="T69:U69"/>
    <mergeCell ref="V69:Y69"/>
    <mergeCell ref="B70:C70"/>
    <mergeCell ref="D70:E70"/>
    <mergeCell ref="F70:I70"/>
    <mergeCell ref="R70:S70"/>
    <mergeCell ref="T70:U70"/>
    <mergeCell ref="V70:Y70"/>
    <mergeCell ref="L68:M68"/>
    <mergeCell ref="N68:Q68"/>
    <mergeCell ref="R68:S68"/>
    <mergeCell ref="T68:U68"/>
    <mergeCell ref="V68:Y68"/>
    <mergeCell ref="B67:C67"/>
    <mergeCell ref="D67:E67"/>
    <mergeCell ref="F67:I67"/>
    <mergeCell ref="J67:K67"/>
    <mergeCell ref="L67:M67"/>
    <mergeCell ref="N67:Q67"/>
    <mergeCell ref="R67:S67"/>
    <mergeCell ref="T67:U67"/>
    <mergeCell ref="V67:Y67"/>
    <mergeCell ref="L66:M66"/>
    <mergeCell ref="N66:Q66"/>
    <mergeCell ref="R66:S66"/>
    <mergeCell ref="T66:U66"/>
    <mergeCell ref="V66:Y66"/>
    <mergeCell ref="B44:Y44"/>
    <mergeCell ref="B45:Y45"/>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O36:P36"/>
    <mergeCell ref="T36:V36"/>
    <mergeCell ref="AF36:AO36"/>
    <mergeCell ref="B37:O37"/>
    <mergeCell ref="P37:Y37"/>
    <mergeCell ref="B38:Y38"/>
    <mergeCell ref="B39:Y39"/>
    <mergeCell ref="AF39:AN39"/>
    <mergeCell ref="AF37:AL38"/>
    <mergeCell ref="C33:F33"/>
    <mergeCell ref="O33:P33"/>
    <mergeCell ref="T33:V33"/>
    <mergeCell ref="Z33:AC33"/>
    <mergeCell ref="AD33:AE33"/>
    <mergeCell ref="C34:F34"/>
    <mergeCell ref="O34:P34"/>
    <mergeCell ref="T34:V34"/>
    <mergeCell ref="C35:F35"/>
    <mergeCell ref="O35:P35"/>
    <mergeCell ref="T35:V35"/>
    <mergeCell ref="C31:F31"/>
    <mergeCell ref="N31:P31"/>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B27:M27"/>
    <mergeCell ref="O27:P27"/>
    <mergeCell ref="T27:V27"/>
    <mergeCell ref="Z27:AC27"/>
    <mergeCell ref="AD27:AE27"/>
    <mergeCell ref="C28:F28"/>
    <mergeCell ref="O28:P28"/>
    <mergeCell ref="T28:V28"/>
    <mergeCell ref="Z28:AC28"/>
    <mergeCell ref="AD28:AE28"/>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N10:P10"/>
    <mergeCell ref="T10:V10"/>
    <mergeCell ref="Z10:AA10"/>
    <mergeCell ref="AB10:AE10"/>
    <mergeCell ref="B11:M11"/>
    <mergeCell ref="N11:P11"/>
    <mergeCell ref="T11:V11"/>
    <mergeCell ref="Z11:AA11"/>
    <mergeCell ref="AB11:AE11"/>
    <mergeCell ref="O7:P7"/>
    <mergeCell ref="T7:V7"/>
    <mergeCell ref="Z7:AA7"/>
    <mergeCell ref="AB7:AE7"/>
    <mergeCell ref="O8:P8"/>
    <mergeCell ref="T8:V8"/>
    <mergeCell ref="Z8:AA8"/>
    <mergeCell ref="AB8:AE8"/>
    <mergeCell ref="O9:P9"/>
    <mergeCell ref="T9:V9"/>
    <mergeCell ref="Z9:AA9"/>
    <mergeCell ref="AB9:AE9"/>
    <mergeCell ref="B2:M2"/>
    <mergeCell ref="N2:Y2"/>
    <mergeCell ref="Z2:AE2"/>
    <mergeCell ref="N3:P3"/>
    <mergeCell ref="T3:V3"/>
    <mergeCell ref="N4:P4"/>
    <mergeCell ref="T4:V4"/>
    <mergeCell ref="N5:P5"/>
    <mergeCell ref="T5:V5"/>
    <mergeCell ref="Z5:AE5"/>
    <mergeCell ref="I3:I4"/>
    <mergeCell ref="I5:I6"/>
    <mergeCell ref="N6:P6"/>
    <mergeCell ref="T6:V6"/>
    <mergeCell ref="Z6:AA6"/>
    <mergeCell ref="AB6:AE6"/>
  </mergeCells>
  <pageMargins left="0.75" right="0.75" top="1" bottom="1" header="0.51180555555555596" footer="0.51180555555555596"/>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37"/>
  <sheetViews>
    <sheetView showGridLines="0" workbookViewId="0">
      <pane ySplit="1" topLeftCell="A207" activePane="bottomLeft" state="frozen"/>
      <selection pane="bottomLeft" activeCell="E220" sqref="E220"/>
    </sheetView>
  </sheetViews>
  <sheetFormatPr baseColWidth="10" defaultColWidth="9" defaultRowHeight="17"/>
  <cols>
    <col min="1" max="1" width="4.83203125" style="568" customWidth="1"/>
    <col min="2" max="3" width="12.6640625" style="802" customWidth="1"/>
    <col min="4" max="4" width="6.1640625" style="803" customWidth="1"/>
    <col min="5" max="5" width="26.5" style="568" customWidth="1"/>
    <col min="6" max="6" width="7.6640625" style="568" customWidth="1"/>
    <col min="7" max="7" width="138" style="568" customWidth="1"/>
    <col min="8" max="8" width="12.83203125" style="802" customWidth="1"/>
    <col min="9" max="10" width="9.83203125" style="568" customWidth="1"/>
    <col min="11" max="11" width="13.1640625" style="568" hidden="1"/>
    <col min="12" max="12" width="13.83203125" style="565" hidden="1"/>
    <col min="13" max="13" width="17.6640625" style="565" hidden="1"/>
    <col min="14" max="14" width="17.1640625" style="565" hidden="1"/>
    <col min="15" max="15" width="10.83203125" style="565" customWidth="1"/>
    <col min="16" max="16" width="8.5" style="565" customWidth="1"/>
    <col min="17" max="17" width="23.6640625" style="804" customWidth="1"/>
    <col min="18" max="18" width="8.1640625" style="565" customWidth="1"/>
    <col min="19" max="20" width="9" style="565" customWidth="1"/>
    <col min="21" max="21" width="11.33203125" style="565" customWidth="1"/>
    <col min="22" max="26" width="9" style="565" customWidth="1"/>
  </cols>
  <sheetData>
    <row r="1" spans="1:26" s="565" customFormat="1" ht="36">
      <c r="A1" s="805" t="s">
        <v>414</v>
      </c>
      <c r="B1" s="1925" t="s">
        <v>13</v>
      </c>
      <c r="C1" s="1926"/>
      <c r="D1" s="807" t="s">
        <v>94</v>
      </c>
      <c r="E1" s="806" t="s">
        <v>415</v>
      </c>
      <c r="F1" s="806" t="s">
        <v>416</v>
      </c>
      <c r="G1" s="816" t="s">
        <v>417</v>
      </c>
      <c r="H1" s="568"/>
      <c r="I1" s="568"/>
      <c r="J1" s="568"/>
      <c r="K1" s="1927" t="s">
        <v>418</v>
      </c>
      <c r="L1" s="1928"/>
      <c r="M1" s="1927" t="s">
        <v>146</v>
      </c>
      <c r="N1" s="1928"/>
      <c r="Q1" s="804"/>
    </row>
    <row r="2" spans="1:26" s="565" customFormat="1">
      <c r="A2" s="808">
        <v>0</v>
      </c>
      <c r="B2" s="1929" t="s">
        <v>419</v>
      </c>
      <c r="C2" s="1930"/>
      <c r="D2" s="1930"/>
      <c r="E2" s="1930"/>
      <c r="F2" s="1930"/>
      <c r="G2" s="1931"/>
      <c r="H2" s="1977" t="s">
        <v>420</v>
      </c>
      <c r="I2" s="1932" t="s">
        <v>421</v>
      </c>
      <c r="J2" s="1933"/>
      <c r="K2" s="824"/>
      <c r="L2" s="825"/>
      <c r="M2" s="825"/>
      <c r="N2" s="825"/>
      <c r="O2" s="804"/>
      <c r="P2" s="804"/>
      <c r="Q2" s="328"/>
      <c r="R2" s="558"/>
    </row>
    <row r="3" spans="1:26" s="565" customFormat="1" ht="17.25" customHeight="1">
      <c r="A3" s="809">
        <v>1</v>
      </c>
      <c r="B3" s="810" t="str">
        <f>IF(C3="","自定义职业",C3)</f>
        <v>自定义职业</v>
      </c>
      <c r="C3" s="811"/>
      <c r="D3" s="812"/>
      <c r="E3" s="817" t="str">
        <f>附表!AA9</f>
        <v>教育×4</v>
      </c>
      <c r="F3" s="817">
        <f>SUM(附表!AF10:AF12)</f>
        <v>260</v>
      </c>
      <c r="G3" s="818"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1978"/>
      <c r="I3" s="1934"/>
      <c r="J3" s="1935"/>
      <c r="K3" s="1936" t="s">
        <v>422</v>
      </c>
      <c r="L3" s="1936"/>
      <c r="M3" s="826" t="s">
        <v>423</v>
      </c>
      <c r="N3" s="835"/>
      <c r="O3" s="804"/>
      <c r="P3" s="804"/>
      <c r="Q3" s="328"/>
      <c r="R3" s="558"/>
    </row>
    <row r="4" spans="1:26" s="565" customFormat="1" ht="18">
      <c r="A4" s="808">
        <v>2</v>
      </c>
      <c r="B4" s="1937" t="s">
        <v>424</v>
      </c>
      <c r="C4" s="1937"/>
      <c r="D4" s="568" t="s">
        <v>425</v>
      </c>
      <c r="E4" s="568" t="s">
        <v>426</v>
      </c>
      <c r="F4" s="568">
        <f>附表!N14*4</f>
        <v>260</v>
      </c>
      <c r="G4" s="819" t="s">
        <v>427</v>
      </c>
      <c r="H4" s="1978"/>
      <c r="I4" s="1934"/>
      <c r="J4" s="1935"/>
      <c r="K4" s="1936" t="s">
        <v>428</v>
      </c>
      <c r="L4" s="1936"/>
      <c r="M4" s="826" t="s">
        <v>429</v>
      </c>
      <c r="N4" s="835"/>
      <c r="O4" s="804"/>
      <c r="P4" s="804"/>
      <c r="Q4" s="328"/>
      <c r="R4" s="558"/>
    </row>
    <row r="5" spans="1:26" s="565" customFormat="1" ht="18">
      <c r="A5" s="813">
        <v>3</v>
      </c>
      <c r="B5" s="1938" t="s">
        <v>430</v>
      </c>
      <c r="C5" s="1939"/>
      <c r="D5" s="815" t="s">
        <v>431</v>
      </c>
      <c r="E5" s="820" t="s">
        <v>432</v>
      </c>
      <c r="F5" s="820">
        <f>附表!N14*2+附表!J14*2</f>
        <v>210</v>
      </c>
      <c r="G5" s="821" t="s">
        <v>433</v>
      </c>
      <c r="H5" s="1978"/>
      <c r="I5" s="1934"/>
      <c r="J5" s="1935"/>
      <c r="K5" s="1936" t="s">
        <v>434</v>
      </c>
      <c r="L5" s="1936"/>
      <c r="M5" s="826" t="s">
        <v>435</v>
      </c>
      <c r="N5" s="835"/>
      <c r="O5" s="804"/>
      <c r="P5" s="804"/>
      <c r="Q5" s="328"/>
      <c r="R5" s="558"/>
    </row>
    <row r="6" spans="1:26" s="565" customFormat="1" ht="18">
      <c r="A6" s="808">
        <v>4</v>
      </c>
      <c r="B6" s="1937" t="s">
        <v>436</v>
      </c>
      <c r="C6" s="1937"/>
      <c r="D6" s="568" t="s">
        <v>437</v>
      </c>
      <c r="E6" s="568" t="s">
        <v>438</v>
      </c>
      <c r="F6" s="568">
        <f>附表!N14*2+附表!K14*2</f>
        <v>260</v>
      </c>
      <c r="G6" s="819" t="s">
        <v>439</v>
      </c>
      <c r="H6" s="1978"/>
      <c r="I6" s="1934"/>
      <c r="J6" s="1935"/>
      <c r="K6" s="1936" t="s">
        <v>440</v>
      </c>
      <c r="L6" s="1936"/>
      <c r="M6" s="826" t="s">
        <v>441</v>
      </c>
      <c r="N6" s="835"/>
      <c r="O6" s="804"/>
      <c r="P6" s="804"/>
      <c r="Q6" s="328"/>
      <c r="R6" s="837"/>
    </row>
    <row r="7" spans="1:26" s="565" customFormat="1" ht="16.5" customHeight="1">
      <c r="A7" s="813">
        <v>5</v>
      </c>
      <c r="B7" s="1938" t="s">
        <v>442</v>
      </c>
      <c r="C7" s="1939"/>
      <c r="D7" s="815" t="s">
        <v>443</v>
      </c>
      <c r="E7" s="820" t="s">
        <v>438</v>
      </c>
      <c r="F7" s="820">
        <f>附表!N14*2+附表!K14*2</f>
        <v>260</v>
      </c>
      <c r="G7" s="821" t="s">
        <v>444</v>
      </c>
      <c r="H7" s="1978"/>
      <c r="I7" s="1934"/>
      <c r="J7" s="1935"/>
      <c r="K7" s="1936" t="s">
        <v>445</v>
      </c>
      <c r="L7" s="1936"/>
      <c r="M7" s="826" t="s">
        <v>441</v>
      </c>
      <c r="N7" s="835"/>
      <c r="O7" s="804"/>
      <c r="P7" s="804"/>
      <c r="Q7" s="328"/>
      <c r="R7" s="838"/>
    </row>
    <row r="8" spans="1:26" s="565" customFormat="1" ht="18">
      <c r="A8" s="808">
        <v>6</v>
      </c>
      <c r="B8" s="1937" t="s">
        <v>446</v>
      </c>
      <c r="C8" s="1937"/>
      <c r="D8" s="568" t="s">
        <v>447</v>
      </c>
      <c r="E8" s="568" t="s">
        <v>448</v>
      </c>
      <c r="F8" s="568">
        <f>附表!N14*2+MAX(附表!G14*2,附表!J14*2)</f>
        <v>310</v>
      </c>
      <c r="G8" s="819" t="s">
        <v>449</v>
      </c>
      <c r="H8" s="1978"/>
      <c r="I8" s="1934"/>
      <c r="J8" s="1935"/>
      <c r="K8" s="1936" t="s">
        <v>450</v>
      </c>
      <c r="L8" s="1936"/>
      <c r="M8" s="826" t="s">
        <v>451</v>
      </c>
      <c r="N8" s="835"/>
      <c r="O8" s="804"/>
      <c r="P8" s="804"/>
      <c r="Q8" s="328"/>
      <c r="R8" s="837"/>
    </row>
    <row r="9" spans="1:26" s="565" customFormat="1" ht="18">
      <c r="A9" s="813">
        <v>7</v>
      </c>
      <c r="B9" s="1938" t="s">
        <v>452</v>
      </c>
      <c r="C9" s="1939"/>
      <c r="D9" s="815" t="s">
        <v>453</v>
      </c>
      <c r="E9" s="820" t="s">
        <v>454</v>
      </c>
      <c r="F9" s="820">
        <f>附表!N14*4</f>
        <v>260</v>
      </c>
      <c r="G9" s="821" t="s">
        <v>455</v>
      </c>
      <c r="H9" s="1978"/>
      <c r="I9" s="1934" t="s">
        <v>456</v>
      </c>
      <c r="J9" s="1935"/>
      <c r="K9" s="1936" t="s">
        <v>457</v>
      </c>
      <c r="L9" s="1936"/>
      <c r="M9" s="826" t="s">
        <v>458</v>
      </c>
      <c r="N9" s="835"/>
      <c r="O9" s="804"/>
      <c r="P9" s="804"/>
      <c r="Q9" s="328"/>
      <c r="R9" s="558"/>
    </row>
    <row r="10" spans="1:26" s="565" customFormat="1" ht="18">
      <c r="A10" s="808">
        <v>8</v>
      </c>
      <c r="B10" s="1937" t="s">
        <v>459</v>
      </c>
      <c r="C10" s="1937"/>
      <c r="D10" s="568" t="s">
        <v>460</v>
      </c>
      <c r="E10" s="568" t="s">
        <v>461</v>
      </c>
      <c r="F10" s="568">
        <f>附表!N14*2+MAX(附表!K14*2,附表!M14*2)</f>
        <v>280</v>
      </c>
      <c r="G10" s="819" t="s">
        <v>462</v>
      </c>
      <c r="H10" s="1978"/>
      <c r="I10" s="1934" t="s">
        <v>456</v>
      </c>
      <c r="J10" s="1935"/>
      <c r="K10" s="1936" t="s">
        <v>463</v>
      </c>
      <c r="L10" s="1936"/>
      <c r="M10" s="826" t="s">
        <v>464</v>
      </c>
      <c r="N10" s="835"/>
      <c r="O10" s="804"/>
      <c r="P10" s="804"/>
      <c r="Q10" s="328"/>
      <c r="R10" s="558"/>
      <c r="S10" s="328"/>
      <c r="T10" s="328"/>
      <c r="U10" s="328"/>
      <c r="V10" s="328"/>
      <c r="W10" s="328"/>
      <c r="X10" s="328"/>
      <c r="Y10" s="328"/>
      <c r="Z10" s="328"/>
    </row>
    <row r="11" spans="1:26" s="565" customFormat="1" ht="17.25" customHeight="1">
      <c r="A11" s="813">
        <v>9</v>
      </c>
      <c r="B11" s="1938" t="s">
        <v>465</v>
      </c>
      <c r="C11" s="1939"/>
      <c r="D11" s="815" t="s">
        <v>425</v>
      </c>
      <c r="E11" s="820" t="s">
        <v>454</v>
      </c>
      <c r="F11" s="820">
        <f>附表!N14*4</f>
        <v>260</v>
      </c>
      <c r="G11" s="821" t="s">
        <v>466</v>
      </c>
      <c r="H11" s="802"/>
      <c r="I11" s="827" t="s">
        <v>467</v>
      </c>
      <c r="J11" s="828"/>
      <c r="K11" s="1936" t="s">
        <v>468</v>
      </c>
      <c r="L11" s="1936"/>
      <c r="M11" s="826" t="s">
        <v>469</v>
      </c>
      <c r="N11" s="835"/>
      <c r="O11" s="804"/>
      <c r="P11" s="804"/>
      <c r="Q11" s="328"/>
      <c r="R11" s="558"/>
      <c r="S11" s="328"/>
      <c r="T11" s="328"/>
      <c r="U11" s="328"/>
      <c r="V11" s="328"/>
      <c r="W11" s="328"/>
      <c r="X11" s="328"/>
      <c r="Y11" s="328"/>
      <c r="Z11" s="328"/>
    </row>
    <row r="12" spans="1:26" s="565" customFormat="1" ht="18">
      <c r="A12" s="808">
        <v>10</v>
      </c>
      <c r="B12" s="1937" t="s">
        <v>470</v>
      </c>
      <c r="C12" s="1937"/>
      <c r="D12" s="568" t="s">
        <v>471</v>
      </c>
      <c r="E12" s="568" t="s">
        <v>454</v>
      </c>
      <c r="F12" s="568">
        <f>附表!N14*4</f>
        <v>260</v>
      </c>
      <c r="G12" s="819" t="s">
        <v>472</v>
      </c>
      <c r="K12" s="1936" t="s">
        <v>473</v>
      </c>
      <c r="L12" s="1936"/>
      <c r="M12" s="826" t="s">
        <v>474</v>
      </c>
      <c r="N12" s="835"/>
      <c r="O12" s="804"/>
      <c r="P12" s="804"/>
      <c r="Q12" s="328"/>
      <c r="R12" s="558"/>
      <c r="S12" s="328"/>
      <c r="T12" s="328"/>
      <c r="U12" s="328"/>
      <c r="V12" s="328"/>
      <c r="W12" s="328"/>
      <c r="X12" s="328"/>
      <c r="Y12" s="328"/>
      <c r="Z12" s="328"/>
    </row>
    <row r="13" spans="1:26" s="565" customFormat="1" ht="18">
      <c r="A13" s="813">
        <v>11</v>
      </c>
      <c r="B13" s="1938" t="s">
        <v>475</v>
      </c>
      <c r="C13" s="1939"/>
      <c r="D13" s="815" t="s">
        <v>460</v>
      </c>
      <c r="E13" s="820" t="s">
        <v>454</v>
      </c>
      <c r="F13" s="820">
        <f>附表!N14*4</f>
        <v>260</v>
      </c>
      <c r="G13" s="814" t="s">
        <v>476</v>
      </c>
      <c r="H13" s="1940" t="s">
        <v>477</v>
      </c>
      <c r="I13" s="1941"/>
      <c r="J13" s="1942"/>
      <c r="K13" s="1936" t="s">
        <v>478</v>
      </c>
      <c r="L13" s="1936"/>
      <c r="M13" s="826" t="s">
        <v>479</v>
      </c>
      <c r="N13" s="835"/>
      <c r="O13" s="804"/>
      <c r="P13" s="804"/>
      <c r="Q13" s="328"/>
      <c r="R13" s="558"/>
      <c r="S13" s="328"/>
      <c r="T13" s="328"/>
      <c r="U13" s="328"/>
      <c r="V13" s="328"/>
      <c r="W13" s="328"/>
      <c r="X13" s="328"/>
      <c r="Y13" s="328"/>
      <c r="Z13" s="328"/>
    </row>
    <row r="14" spans="1:26" s="565" customFormat="1" ht="18">
      <c r="A14" s="808">
        <v>12</v>
      </c>
      <c r="B14" s="1937" t="s">
        <v>480</v>
      </c>
      <c r="C14" s="1937"/>
      <c r="D14" s="568" t="s">
        <v>425</v>
      </c>
      <c r="E14" s="568" t="s">
        <v>454</v>
      </c>
      <c r="F14" s="568">
        <f>附表!N14*4</f>
        <v>260</v>
      </c>
      <c r="G14" s="802" t="s">
        <v>481</v>
      </c>
      <c r="H14" s="822" t="s">
        <v>482</v>
      </c>
      <c r="I14" s="829" t="s">
        <v>483</v>
      </c>
      <c r="J14" s="830" t="s">
        <v>484</v>
      </c>
      <c r="K14" s="1936" t="s">
        <v>485</v>
      </c>
      <c r="L14" s="1936"/>
      <c r="M14" s="826" t="s">
        <v>486</v>
      </c>
      <c r="N14" s="835"/>
      <c r="O14" s="804"/>
      <c r="P14" s="804"/>
      <c r="Q14" s="328"/>
      <c r="R14" s="558"/>
      <c r="S14" s="328"/>
      <c r="T14" s="328"/>
      <c r="U14" s="328"/>
      <c r="V14" s="328"/>
      <c r="W14" s="328"/>
      <c r="X14" s="328"/>
      <c r="Y14" s="328"/>
      <c r="Z14" s="328"/>
    </row>
    <row r="15" spans="1:26" s="565" customFormat="1" ht="17.25" customHeight="1">
      <c r="A15" s="813">
        <v>13</v>
      </c>
      <c r="B15" s="1938" t="s">
        <v>487</v>
      </c>
      <c r="C15" s="1939"/>
      <c r="D15" s="815" t="s">
        <v>488</v>
      </c>
      <c r="E15" s="820" t="s">
        <v>489</v>
      </c>
      <c r="F15" s="820">
        <f>附表!N14*2+MAX(附表!J14*2,附表!M14*2)</f>
        <v>280</v>
      </c>
      <c r="G15" s="814" t="s">
        <v>490</v>
      </c>
      <c r="H15" s="823" t="s">
        <v>361</v>
      </c>
      <c r="I15" s="831" t="s">
        <v>491</v>
      </c>
      <c r="J15" s="832">
        <f t="shared" ref="J15:J20" si="0">IF(I15="√",2,0)</f>
        <v>0</v>
      </c>
      <c r="K15" s="1936" t="s">
        <v>492</v>
      </c>
      <c r="L15" s="1936"/>
      <c r="M15" s="826" t="s">
        <v>493</v>
      </c>
      <c r="N15" s="835"/>
      <c r="O15" s="804"/>
      <c r="P15" s="804"/>
      <c r="Q15" s="328"/>
      <c r="R15" s="558"/>
      <c r="S15" s="328"/>
      <c r="T15" s="328"/>
      <c r="U15" s="328"/>
      <c r="V15" s="328"/>
      <c r="W15" s="328"/>
      <c r="X15" s="328"/>
      <c r="Y15" s="328"/>
      <c r="Z15" s="328"/>
    </row>
    <row r="16" spans="1:26" s="565" customFormat="1" ht="17.25" customHeight="1">
      <c r="A16" s="808">
        <v>14</v>
      </c>
      <c r="B16" s="1937" t="s">
        <v>494</v>
      </c>
      <c r="C16" s="1937"/>
      <c r="D16" s="568" t="s">
        <v>495</v>
      </c>
      <c r="E16" s="568" t="s">
        <v>448</v>
      </c>
      <c r="F16" s="568">
        <f>附表!N14*2+MAX(附表!G14*2,附表!J14*2)</f>
        <v>310</v>
      </c>
      <c r="G16" s="802" t="s">
        <v>496</v>
      </c>
      <c r="H16" s="395" t="s">
        <v>366</v>
      </c>
      <c r="I16" s="833" t="s">
        <v>491</v>
      </c>
      <c r="J16" s="834">
        <f t="shared" si="0"/>
        <v>0</v>
      </c>
      <c r="K16" s="1936" t="s">
        <v>497</v>
      </c>
      <c r="L16" s="1936"/>
      <c r="M16" s="826" t="s">
        <v>498</v>
      </c>
      <c r="N16" s="835"/>
      <c r="O16" s="804"/>
      <c r="P16" s="804"/>
      <c r="Q16" s="328"/>
      <c r="R16" s="558"/>
      <c r="S16" s="328"/>
      <c r="T16" s="328"/>
      <c r="U16" s="328"/>
      <c r="V16" s="328"/>
      <c r="W16" s="328"/>
      <c r="X16" s="328"/>
      <c r="Y16" s="328"/>
      <c r="Z16" s="328"/>
    </row>
    <row r="17" spans="1:26" s="565" customFormat="1" ht="16.5" customHeight="1">
      <c r="A17" s="813">
        <v>15</v>
      </c>
      <c r="B17" s="1938" t="s">
        <v>499</v>
      </c>
      <c r="C17" s="1939"/>
      <c r="D17" s="815" t="s">
        <v>500</v>
      </c>
      <c r="E17" s="820" t="s">
        <v>448</v>
      </c>
      <c r="F17" s="820">
        <f>附表!N14*2+MAX(附表!G14*2,附表!J14*2)</f>
        <v>310</v>
      </c>
      <c r="G17" s="814" t="s">
        <v>501</v>
      </c>
      <c r="H17" s="823" t="s">
        <v>371</v>
      </c>
      <c r="I17" s="831" t="s">
        <v>491</v>
      </c>
      <c r="J17" s="832">
        <f t="shared" si="0"/>
        <v>0</v>
      </c>
      <c r="K17" s="1936" t="s">
        <v>502</v>
      </c>
      <c r="L17" s="1936"/>
      <c r="M17" s="826" t="s">
        <v>503</v>
      </c>
      <c r="N17" s="835"/>
      <c r="O17" s="804"/>
      <c r="P17" s="804"/>
      <c r="Q17" s="328"/>
      <c r="R17" s="558"/>
      <c r="S17" s="328"/>
      <c r="T17" s="328"/>
      <c r="U17" s="328"/>
      <c r="V17" s="328"/>
      <c r="W17" s="328"/>
      <c r="X17" s="328"/>
      <c r="Y17" s="328"/>
      <c r="Z17" s="328"/>
    </row>
    <row r="18" spans="1:26" s="565" customFormat="1" ht="18">
      <c r="A18" s="808">
        <v>16</v>
      </c>
      <c r="B18" s="1937" t="s">
        <v>504</v>
      </c>
      <c r="C18" s="1937"/>
      <c r="D18" s="568" t="s">
        <v>505</v>
      </c>
      <c r="E18" s="568" t="s">
        <v>454</v>
      </c>
      <c r="F18" s="568">
        <f>附表!N14*4</f>
        <v>260</v>
      </c>
      <c r="G18" s="802" t="s">
        <v>506</v>
      </c>
      <c r="H18" s="395" t="s">
        <v>377</v>
      </c>
      <c r="I18" s="833" t="s">
        <v>491</v>
      </c>
      <c r="J18" s="834">
        <f t="shared" si="0"/>
        <v>0</v>
      </c>
      <c r="K18" s="1936" t="s">
        <v>507</v>
      </c>
      <c r="L18" s="1936"/>
      <c r="M18" s="826" t="s">
        <v>508</v>
      </c>
      <c r="N18" s="835"/>
      <c r="O18" s="804"/>
      <c r="P18" s="804"/>
      <c r="Q18" s="328"/>
      <c r="R18" s="558"/>
      <c r="S18" s="328"/>
      <c r="T18" s="328"/>
      <c r="U18" s="328"/>
      <c r="V18" s="328"/>
      <c r="W18" s="328"/>
      <c r="X18" s="328"/>
      <c r="Y18" s="328"/>
      <c r="Z18" s="328"/>
    </row>
    <row r="19" spans="1:26" s="565" customFormat="1" ht="16.5" customHeight="1">
      <c r="A19" s="813">
        <v>17</v>
      </c>
      <c r="B19" s="1938" t="s">
        <v>509</v>
      </c>
      <c r="C19" s="1939"/>
      <c r="D19" s="815" t="s">
        <v>510</v>
      </c>
      <c r="E19" s="820" t="s">
        <v>438</v>
      </c>
      <c r="F19" s="820">
        <f>附表!N14*2+附表!K14*2</f>
        <v>260</v>
      </c>
      <c r="G19" s="814" t="s">
        <v>511</v>
      </c>
      <c r="H19" s="823" t="s">
        <v>379</v>
      </c>
      <c r="I19" s="831" t="s">
        <v>491</v>
      </c>
      <c r="J19" s="832">
        <f t="shared" si="0"/>
        <v>0</v>
      </c>
      <c r="K19" s="1936" t="s">
        <v>512</v>
      </c>
      <c r="L19" s="1936"/>
      <c r="M19" s="826" t="s">
        <v>513</v>
      </c>
      <c r="N19" s="835"/>
      <c r="O19" s="804"/>
      <c r="P19" s="804"/>
      <c r="Q19" s="328"/>
      <c r="R19" s="558"/>
      <c r="S19" s="328"/>
      <c r="T19" s="328"/>
      <c r="U19" s="328"/>
      <c r="V19" s="328"/>
      <c r="W19" s="328"/>
      <c r="X19" s="328"/>
      <c r="Y19" s="328"/>
      <c r="Z19" s="328"/>
    </row>
    <row r="20" spans="1:26" s="565" customFormat="1" ht="16.5" customHeight="1">
      <c r="A20" s="808">
        <v>18</v>
      </c>
      <c r="B20" s="1937" t="s">
        <v>514</v>
      </c>
      <c r="C20" s="1937"/>
      <c r="D20" s="568" t="s">
        <v>515</v>
      </c>
      <c r="E20" s="568" t="s">
        <v>448</v>
      </c>
      <c r="F20" s="568">
        <f>附表!N14*2+MAX(附表!G14*2,附表!J14*2)</f>
        <v>310</v>
      </c>
      <c r="G20" s="802" t="s">
        <v>516</v>
      </c>
      <c r="H20" s="395" t="s">
        <v>381</v>
      </c>
      <c r="I20" s="833" t="s">
        <v>491</v>
      </c>
      <c r="J20" s="834">
        <f t="shared" si="0"/>
        <v>0</v>
      </c>
      <c r="K20" s="1936" t="s">
        <v>517</v>
      </c>
      <c r="L20" s="1936"/>
      <c r="M20" s="826" t="s">
        <v>518</v>
      </c>
      <c r="N20" s="835"/>
      <c r="O20" s="804"/>
      <c r="P20" s="804"/>
      <c r="Q20" s="328"/>
      <c r="R20" s="558"/>
      <c r="S20" s="328"/>
      <c r="T20" s="328"/>
      <c r="U20" s="328"/>
      <c r="V20" s="328"/>
      <c r="W20" s="328"/>
      <c r="X20" s="328"/>
      <c r="Y20" s="328"/>
      <c r="Z20" s="328"/>
    </row>
    <row r="21" spans="1:26" s="565" customFormat="1" ht="18">
      <c r="A21" s="813">
        <v>19</v>
      </c>
      <c r="B21" s="1938" t="s">
        <v>519</v>
      </c>
      <c r="C21" s="1939"/>
      <c r="D21" s="815" t="s">
        <v>520</v>
      </c>
      <c r="E21" s="820" t="s">
        <v>454</v>
      </c>
      <c r="F21" s="820">
        <f>附表!N14*4</f>
        <v>260</v>
      </c>
      <c r="G21" s="814" t="s">
        <v>521</v>
      </c>
      <c r="H21" s="823" t="s">
        <v>388</v>
      </c>
      <c r="I21" s="831" t="s">
        <v>522</v>
      </c>
      <c r="J21" s="832">
        <f>IF(I21="√",IF(SUM(J15:J20,J22:J23)&gt;0,2,4),0)</f>
        <v>4</v>
      </c>
      <c r="K21" s="1936" t="s">
        <v>523</v>
      </c>
      <c r="L21" s="1936"/>
      <c r="M21" s="826" t="s">
        <v>524</v>
      </c>
      <c r="N21" s="835"/>
      <c r="O21" s="804"/>
      <c r="P21" s="804"/>
      <c r="Q21" s="328"/>
      <c r="R21" s="838"/>
      <c r="S21" s="328"/>
      <c r="T21" s="328"/>
      <c r="U21" s="328"/>
      <c r="V21" s="328"/>
      <c r="W21" s="328"/>
      <c r="X21" s="328"/>
      <c r="Y21" s="328"/>
      <c r="Z21" s="328"/>
    </row>
    <row r="22" spans="1:26" s="565" customFormat="1" ht="16.5" customHeight="1">
      <c r="A22" s="808">
        <v>20</v>
      </c>
      <c r="B22" s="1937" t="s">
        <v>525</v>
      </c>
      <c r="C22" s="1937"/>
      <c r="D22" s="568" t="s">
        <v>505</v>
      </c>
      <c r="E22" s="568" t="s">
        <v>448</v>
      </c>
      <c r="F22" s="568">
        <f>附表!N14*2+MAX(附表!G14*2,附表!J14*2)</f>
        <v>310</v>
      </c>
      <c r="G22" s="802" t="s">
        <v>526</v>
      </c>
      <c r="H22" s="395" t="s">
        <v>384</v>
      </c>
      <c r="I22" s="833" t="s">
        <v>491</v>
      </c>
      <c r="J22" s="834">
        <f>IF(I22="√",2,0)</f>
        <v>0</v>
      </c>
      <c r="K22" s="1936" t="s">
        <v>527</v>
      </c>
      <c r="L22" s="1936"/>
      <c r="M22" s="826" t="s">
        <v>528</v>
      </c>
      <c r="N22" s="835"/>
      <c r="O22" s="804"/>
      <c r="P22" s="804"/>
      <c r="Q22" s="328"/>
      <c r="R22" s="838"/>
      <c r="S22" s="328"/>
      <c r="T22" s="328"/>
      <c r="U22" s="328"/>
      <c r="V22" s="328"/>
      <c r="W22" s="328"/>
      <c r="X22" s="328"/>
      <c r="Y22" s="328"/>
      <c r="Z22" s="328"/>
    </row>
    <row r="23" spans="1:26" s="565" customFormat="1" ht="16.5" customHeight="1">
      <c r="A23" s="813">
        <v>21</v>
      </c>
      <c r="B23" s="1938" t="s">
        <v>529</v>
      </c>
      <c r="C23" s="1939"/>
      <c r="D23" s="815" t="s">
        <v>530</v>
      </c>
      <c r="E23" s="820" t="s">
        <v>531</v>
      </c>
      <c r="F23" s="820">
        <f>附表!N14*2+附表!G14*2</f>
        <v>310</v>
      </c>
      <c r="G23" s="814" t="s">
        <v>532</v>
      </c>
      <c r="H23" s="823" t="s">
        <v>393</v>
      </c>
      <c r="I23" s="831" t="s">
        <v>491</v>
      </c>
      <c r="J23" s="832">
        <f>IF(I23="√",2,0)</f>
        <v>0</v>
      </c>
      <c r="K23" s="1936" t="s">
        <v>533</v>
      </c>
      <c r="L23" s="1936"/>
      <c r="M23" s="826" t="s">
        <v>534</v>
      </c>
      <c r="N23" s="835"/>
      <c r="O23" s="804"/>
      <c r="P23" s="804"/>
      <c r="Q23" s="328"/>
      <c r="R23" s="558"/>
      <c r="S23" s="328"/>
      <c r="T23" s="328"/>
      <c r="U23" s="328"/>
      <c r="V23" s="328"/>
      <c r="W23" s="328"/>
      <c r="X23" s="328"/>
      <c r="Y23" s="328"/>
      <c r="Z23" s="328"/>
    </row>
    <row r="24" spans="1:26" s="565" customFormat="1" ht="18">
      <c r="A24" s="808">
        <v>22</v>
      </c>
      <c r="B24" s="1937" t="s">
        <v>535</v>
      </c>
      <c r="C24" s="1937"/>
      <c r="D24" s="568" t="s">
        <v>437</v>
      </c>
      <c r="E24" s="568" t="s">
        <v>454</v>
      </c>
      <c r="F24" s="568">
        <f>附表!N14*4</f>
        <v>260</v>
      </c>
      <c r="G24" s="819" t="s">
        <v>536</v>
      </c>
      <c r="H24" s="1943" t="s">
        <v>537</v>
      </c>
      <c r="I24" s="1944"/>
      <c r="J24" s="1945"/>
      <c r="K24" s="587"/>
      <c r="L24" s="587"/>
      <c r="M24" s="587"/>
      <c r="N24" s="587"/>
      <c r="O24" s="587"/>
      <c r="P24" s="587"/>
      <c r="Q24" s="328"/>
      <c r="R24" s="837"/>
      <c r="S24" s="328"/>
      <c r="T24" s="328"/>
      <c r="U24" s="328"/>
      <c r="V24" s="328"/>
      <c r="W24" s="328"/>
      <c r="X24" s="328"/>
      <c r="Y24" s="328"/>
      <c r="Z24" s="328"/>
    </row>
    <row r="25" spans="1:26" s="565" customFormat="1" ht="18">
      <c r="A25" s="813">
        <v>23</v>
      </c>
      <c r="B25" s="1938" t="s">
        <v>538</v>
      </c>
      <c r="C25" s="1939"/>
      <c r="D25" s="815" t="s">
        <v>530</v>
      </c>
      <c r="E25" s="820" t="s">
        <v>454</v>
      </c>
      <c r="F25" s="820">
        <f>附表!N14*4</f>
        <v>260</v>
      </c>
      <c r="G25" s="821" t="s">
        <v>539</v>
      </c>
      <c r="H25" s="1946" t="s">
        <v>540</v>
      </c>
      <c r="I25" s="1947"/>
      <c r="J25" s="1948"/>
      <c r="K25" s="1936" t="s">
        <v>541</v>
      </c>
      <c r="L25" s="1936"/>
      <c r="M25" s="826" t="s">
        <v>542</v>
      </c>
      <c r="N25" s="835"/>
      <c r="O25" s="804"/>
      <c r="P25" s="804"/>
      <c r="Q25" s="328"/>
      <c r="R25" s="838"/>
    </row>
    <row r="26" spans="1:26" s="565" customFormat="1" ht="18">
      <c r="A26" s="808">
        <v>24</v>
      </c>
      <c r="B26" s="1937" t="s">
        <v>543</v>
      </c>
      <c r="C26" s="1937"/>
      <c r="D26" s="568" t="s">
        <v>544</v>
      </c>
      <c r="E26" s="568" t="s">
        <v>454</v>
      </c>
      <c r="F26" s="568">
        <f>附表!N14*4</f>
        <v>260</v>
      </c>
      <c r="G26" s="819" t="s">
        <v>545</v>
      </c>
      <c r="H26" s="802"/>
      <c r="I26" s="568"/>
      <c r="K26" s="1936" t="s">
        <v>546</v>
      </c>
      <c r="L26" s="1936"/>
      <c r="M26" s="826" t="s">
        <v>547</v>
      </c>
      <c r="N26" s="835"/>
      <c r="O26" s="804"/>
      <c r="P26" s="804"/>
      <c r="Q26" s="328"/>
      <c r="R26" s="838"/>
    </row>
    <row r="27" spans="1:26" s="565" customFormat="1" ht="18">
      <c r="A27" s="813">
        <v>25</v>
      </c>
      <c r="B27" s="1938" t="s">
        <v>548</v>
      </c>
      <c r="C27" s="1939"/>
      <c r="D27" s="815" t="s">
        <v>544</v>
      </c>
      <c r="E27" s="820" t="s">
        <v>454</v>
      </c>
      <c r="F27" s="820">
        <f>附表!N14*4</f>
        <v>260</v>
      </c>
      <c r="G27" s="821" t="s">
        <v>549</v>
      </c>
      <c r="H27" s="802"/>
      <c r="I27" s="568"/>
      <c r="K27" s="1936" t="s">
        <v>550</v>
      </c>
      <c r="L27" s="1936"/>
      <c r="M27" s="826" t="s">
        <v>551</v>
      </c>
      <c r="N27" s="835"/>
      <c r="O27" s="804"/>
      <c r="P27" s="804"/>
      <c r="Q27" s="328"/>
      <c r="R27" s="837"/>
    </row>
    <row r="28" spans="1:26" s="565" customFormat="1" ht="17.25" customHeight="1">
      <c r="A28" s="808">
        <v>26</v>
      </c>
      <c r="B28" s="1937" t="s">
        <v>552</v>
      </c>
      <c r="C28" s="1937"/>
      <c r="D28" s="568" t="s">
        <v>431</v>
      </c>
      <c r="E28" s="568" t="s">
        <v>448</v>
      </c>
      <c r="F28" s="568">
        <f>附表!N14*2+MAX(附表!G14*2,附表!J14*2)</f>
        <v>310</v>
      </c>
      <c r="G28" s="819" t="s">
        <v>553</v>
      </c>
      <c r="H28" s="802"/>
      <c r="I28" s="568"/>
      <c r="K28" s="1936" t="s">
        <v>554</v>
      </c>
      <c r="L28" s="1936"/>
      <c r="M28" s="826" t="s">
        <v>555</v>
      </c>
      <c r="N28" s="835"/>
      <c r="O28" s="804"/>
      <c r="P28" s="804"/>
      <c r="Q28" s="328"/>
      <c r="R28" s="558"/>
    </row>
    <row r="29" spans="1:26" s="565" customFormat="1" ht="16.5" customHeight="1">
      <c r="A29" s="813">
        <v>27</v>
      </c>
      <c r="B29" s="1938" t="s">
        <v>556</v>
      </c>
      <c r="C29" s="1939"/>
      <c r="D29" s="815" t="s">
        <v>460</v>
      </c>
      <c r="E29" s="820" t="s">
        <v>557</v>
      </c>
      <c r="F29" s="820">
        <f>附表!N14*2+附表!J14*2</f>
        <v>210</v>
      </c>
      <c r="G29" s="821" t="s">
        <v>558</v>
      </c>
      <c r="H29" s="802"/>
      <c r="I29" s="568"/>
      <c r="K29" s="1936" t="s">
        <v>559</v>
      </c>
      <c r="L29" s="1936"/>
      <c r="M29" s="826" t="s">
        <v>560</v>
      </c>
      <c r="N29" s="835"/>
      <c r="O29" s="804"/>
      <c r="P29" s="804"/>
      <c r="Q29" s="328"/>
      <c r="R29" s="558"/>
    </row>
    <row r="30" spans="1:26" s="565" customFormat="1" ht="17.25" customHeight="1">
      <c r="A30" s="808">
        <v>28</v>
      </c>
      <c r="B30" s="1937" t="s">
        <v>561</v>
      </c>
      <c r="C30" s="1937"/>
      <c r="D30" s="568" t="s">
        <v>562</v>
      </c>
      <c r="E30" s="568" t="s">
        <v>448</v>
      </c>
      <c r="F30" s="568">
        <f>附表!N14*2+MAX(附表!G14*2,附表!J14*2)</f>
        <v>310</v>
      </c>
      <c r="G30" s="819" t="s">
        <v>563</v>
      </c>
      <c r="H30" s="802"/>
      <c r="I30" s="568"/>
      <c r="K30" s="1936" t="s">
        <v>564</v>
      </c>
      <c r="L30" s="1936"/>
      <c r="M30" s="826" t="s">
        <v>565</v>
      </c>
      <c r="N30" s="835"/>
      <c r="O30" s="804"/>
      <c r="P30" s="804"/>
      <c r="Q30" s="328"/>
      <c r="R30" s="558"/>
    </row>
    <row r="31" spans="1:26" s="565" customFormat="1" ht="17.25" customHeight="1">
      <c r="A31" s="813">
        <v>29</v>
      </c>
      <c r="B31" s="1938" t="s">
        <v>566</v>
      </c>
      <c r="C31" s="1939"/>
      <c r="D31" s="815" t="s">
        <v>567</v>
      </c>
      <c r="E31" s="820" t="s">
        <v>568</v>
      </c>
      <c r="F31" s="820">
        <f>附表!N14*2+MAX(附表!G14*2,附表!J14*2)</f>
        <v>310</v>
      </c>
      <c r="G31" s="821" t="s">
        <v>569</v>
      </c>
      <c r="H31" s="802"/>
      <c r="I31" s="568"/>
      <c r="J31" s="568"/>
      <c r="K31" s="1936" t="s">
        <v>570</v>
      </c>
      <c r="L31" s="1936"/>
      <c r="M31" s="826" t="s">
        <v>571</v>
      </c>
      <c r="N31" s="835"/>
      <c r="O31" s="804"/>
      <c r="P31" s="804"/>
      <c r="Q31" s="328"/>
      <c r="R31" s="558"/>
    </row>
    <row r="32" spans="1:26" s="565" customFormat="1" ht="17.25" customHeight="1">
      <c r="A32" s="808">
        <v>30</v>
      </c>
      <c r="B32" s="1937" t="s">
        <v>572</v>
      </c>
      <c r="C32" s="1937"/>
      <c r="D32" s="568" t="s">
        <v>573</v>
      </c>
      <c r="E32" s="568" t="s">
        <v>574</v>
      </c>
      <c r="F32" s="568">
        <f>附表!N14*2+附表!G14*2</f>
        <v>310</v>
      </c>
      <c r="G32" s="819" t="s">
        <v>575</v>
      </c>
      <c r="H32" s="802"/>
      <c r="I32" s="568"/>
      <c r="J32" s="568"/>
      <c r="K32" s="1936" t="s">
        <v>576</v>
      </c>
      <c r="L32" s="1936"/>
      <c r="M32" s="826" t="s">
        <v>577</v>
      </c>
      <c r="N32" s="835"/>
      <c r="O32" s="804"/>
      <c r="P32" s="804"/>
      <c r="Q32" s="328"/>
      <c r="R32" s="837"/>
    </row>
    <row r="33" spans="1:18" s="565" customFormat="1" ht="17.25" customHeight="1">
      <c r="A33" s="813">
        <v>31</v>
      </c>
      <c r="B33" s="1938" t="s">
        <v>578</v>
      </c>
      <c r="C33" s="1939"/>
      <c r="D33" s="815" t="s">
        <v>579</v>
      </c>
      <c r="E33" s="820" t="s">
        <v>580</v>
      </c>
      <c r="F33" s="820">
        <f>附表!N14*2+附表!J14*2</f>
        <v>210</v>
      </c>
      <c r="G33" s="821" t="s">
        <v>581</v>
      </c>
      <c r="H33" s="802"/>
      <c r="I33" s="568"/>
      <c r="J33" s="568"/>
      <c r="K33" s="1936" t="s">
        <v>582</v>
      </c>
      <c r="L33" s="1936"/>
      <c r="M33" s="826" t="s">
        <v>571</v>
      </c>
      <c r="N33" s="835"/>
      <c r="O33" s="804"/>
      <c r="P33" s="804"/>
      <c r="Q33" s="328"/>
      <c r="R33" s="838"/>
    </row>
    <row r="34" spans="1:18" s="565" customFormat="1" ht="17.25" customHeight="1">
      <c r="A34" s="808">
        <v>32</v>
      </c>
      <c r="B34" s="1937" t="s">
        <v>583</v>
      </c>
      <c r="C34" s="1937"/>
      <c r="D34" s="568" t="s">
        <v>584</v>
      </c>
      <c r="E34" s="568" t="s">
        <v>585</v>
      </c>
      <c r="F34" s="568">
        <f>附表!N14*2+附表!K14*2</f>
        <v>260</v>
      </c>
      <c r="G34" s="819" t="s">
        <v>586</v>
      </c>
      <c r="H34" s="802"/>
      <c r="I34" s="568"/>
      <c r="J34" s="568"/>
      <c r="K34" s="1936" t="s">
        <v>587</v>
      </c>
      <c r="L34" s="1936"/>
      <c r="M34" s="826" t="s">
        <v>588</v>
      </c>
      <c r="N34" s="835"/>
      <c r="O34" s="804"/>
      <c r="P34" s="804"/>
      <c r="Q34" s="328"/>
      <c r="R34" s="837"/>
    </row>
    <row r="35" spans="1:18" s="565" customFormat="1" ht="17.25" customHeight="1">
      <c r="A35" s="813">
        <v>33</v>
      </c>
      <c r="B35" s="1938" t="s">
        <v>589</v>
      </c>
      <c r="C35" s="1939"/>
      <c r="D35" s="815" t="s">
        <v>590</v>
      </c>
      <c r="E35" s="820" t="s">
        <v>591</v>
      </c>
      <c r="F35" s="820">
        <f>附表!N14*2+MAX(附表!J14*2,附表!K14*2)</f>
        <v>260</v>
      </c>
      <c r="G35" s="821" t="s">
        <v>592</v>
      </c>
      <c r="H35" s="802"/>
      <c r="I35" s="568"/>
      <c r="J35" s="568"/>
      <c r="K35" s="1936" t="s">
        <v>593</v>
      </c>
      <c r="L35" s="1936"/>
      <c r="M35" s="826" t="s">
        <v>571</v>
      </c>
      <c r="N35" s="835"/>
      <c r="O35" s="804"/>
      <c r="P35" s="804"/>
      <c r="Q35" s="328"/>
      <c r="R35" s="558"/>
    </row>
    <row r="36" spans="1:18" s="565" customFormat="1" ht="17.25" customHeight="1">
      <c r="A36" s="808">
        <v>34</v>
      </c>
      <c r="B36" s="1937" t="s">
        <v>594</v>
      </c>
      <c r="C36" s="1937"/>
      <c r="D36" s="568" t="s">
        <v>595</v>
      </c>
      <c r="E36" s="568" t="s">
        <v>585</v>
      </c>
      <c r="F36" s="568">
        <f>附表!N14*2+附表!K14*2</f>
        <v>260</v>
      </c>
      <c r="G36" s="819" t="s">
        <v>596</v>
      </c>
      <c r="H36" s="802"/>
      <c r="I36" s="568"/>
      <c r="J36" s="568"/>
      <c r="K36" s="1936" t="s">
        <v>597</v>
      </c>
      <c r="L36" s="1936"/>
      <c r="M36" s="826" t="s">
        <v>598</v>
      </c>
      <c r="N36" s="835"/>
      <c r="O36" s="804"/>
      <c r="P36" s="804"/>
      <c r="Q36" s="328"/>
      <c r="R36" s="804"/>
    </row>
    <row r="37" spans="1:18" s="565" customFormat="1" ht="17.25" customHeight="1">
      <c r="A37" s="813">
        <v>35</v>
      </c>
      <c r="B37" s="1938" t="s">
        <v>599</v>
      </c>
      <c r="C37" s="1939"/>
      <c r="D37" s="815" t="s">
        <v>520</v>
      </c>
      <c r="E37" s="820" t="s">
        <v>585</v>
      </c>
      <c r="F37" s="820">
        <f>附表!N14*2+附表!K14*2</f>
        <v>260</v>
      </c>
      <c r="G37" s="821" t="s">
        <v>600</v>
      </c>
      <c r="H37" s="802"/>
      <c r="I37" s="568"/>
      <c r="J37" s="568"/>
      <c r="K37" s="1936" t="s">
        <v>601</v>
      </c>
      <c r="L37" s="1936"/>
      <c r="M37" s="826" t="s">
        <v>602</v>
      </c>
      <c r="N37" s="835"/>
      <c r="O37" s="804"/>
      <c r="P37" s="804"/>
      <c r="Q37" s="328"/>
      <c r="R37" s="804"/>
    </row>
    <row r="38" spans="1:18" s="565" customFormat="1" ht="18">
      <c r="A38" s="808">
        <v>36</v>
      </c>
      <c r="B38" s="1937" t="s">
        <v>603</v>
      </c>
      <c r="C38" s="1937"/>
      <c r="D38" s="568" t="s">
        <v>604</v>
      </c>
      <c r="E38" s="568" t="s">
        <v>454</v>
      </c>
      <c r="F38" s="568">
        <f>附表!N14*4</f>
        <v>260</v>
      </c>
      <c r="G38" s="819" t="s">
        <v>605</v>
      </c>
      <c r="H38" s="802"/>
      <c r="I38" s="568"/>
      <c r="J38" s="568"/>
      <c r="K38" s="1936" t="s">
        <v>606</v>
      </c>
      <c r="L38" s="1936"/>
      <c r="M38" s="826" t="s">
        <v>607</v>
      </c>
      <c r="N38" s="835"/>
      <c r="O38" s="804"/>
      <c r="P38" s="804"/>
      <c r="Q38" s="328"/>
      <c r="R38" s="804"/>
    </row>
    <row r="39" spans="1:18" s="565" customFormat="1" ht="17.25" customHeight="1">
      <c r="A39" s="813">
        <v>37</v>
      </c>
      <c r="B39" s="1938" t="s">
        <v>608</v>
      </c>
      <c r="C39" s="1939"/>
      <c r="D39" s="815" t="s">
        <v>604</v>
      </c>
      <c r="E39" s="820" t="s">
        <v>609</v>
      </c>
      <c r="F39" s="820">
        <f>附表!N14*2+MAX(附表!J14*2,附表!K14*2)</f>
        <v>260</v>
      </c>
      <c r="G39" s="821" t="s">
        <v>610</v>
      </c>
      <c r="H39" s="802"/>
      <c r="I39" s="568"/>
      <c r="J39" s="568"/>
      <c r="K39" s="1936" t="s">
        <v>611</v>
      </c>
      <c r="L39" s="1936"/>
      <c r="M39" s="826" t="s">
        <v>612</v>
      </c>
      <c r="N39" s="835"/>
      <c r="O39" s="804"/>
      <c r="P39" s="804"/>
      <c r="Q39" s="328"/>
      <c r="R39" s="804"/>
    </row>
    <row r="40" spans="1:18" s="565" customFormat="1" ht="17.25" customHeight="1">
      <c r="A40" s="808">
        <v>38</v>
      </c>
      <c r="B40" s="1937" t="s">
        <v>613</v>
      </c>
      <c r="C40" s="1937"/>
      <c r="D40" s="568" t="s">
        <v>614</v>
      </c>
      <c r="E40" s="568" t="s">
        <v>448</v>
      </c>
      <c r="F40" s="568">
        <f>附表!N14*2+MAX(附表!G14*2,附表!J14*2)</f>
        <v>310</v>
      </c>
      <c r="G40" s="819" t="s">
        <v>615</v>
      </c>
      <c r="H40" s="802"/>
      <c r="I40" s="568"/>
      <c r="J40" s="568"/>
      <c r="K40" s="1936" t="s">
        <v>616</v>
      </c>
      <c r="L40" s="1936"/>
      <c r="M40" s="826" t="s">
        <v>617</v>
      </c>
      <c r="N40" s="835"/>
      <c r="O40" s="804"/>
      <c r="P40" s="804"/>
      <c r="Q40" s="328"/>
      <c r="R40" s="804"/>
    </row>
    <row r="41" spans="1:18" s="565" customFormat="1" ht="18">
      <c r="A41" s="813">
        <v>39</v>
      </c>
      <c r="B41" s="1938" t="s">
        <v>618</v>
      </c>
      <c r="C41" s="1939"/>
      <c r="D41" s="815" t="s">
        <v>562</v>
      </c>
      <c r="E41" s="820" t="s">
        <v>454</v>
      </c>
      <c r="F41" s="820">
        <f>附表!N14*4</f>
        <v>260</v>
      </c>
      <c r="G41" s="821" t="s">
        <v>619</v>
      </c>
      <c r="H41" s="802"/>
      <c r="I41" s="568"/>
      <c r="J41" s="568"/>
      <c r="K41" s="1936" t="s">
        <v>620</v>
      </c>
      <c r="L41" s="1936"/>
      <c r="M41" s="826" t="s">
        <v>621</v>
      </c>
      <c r="N41" s="835"/>
      <c r="O41" s="804"/>
      <c r="P41" s="804"/>
      <c r="Q41" s="328"/>
      <c r="R41" s="804"/>
    </row>
    <row r="42" spans="1:18" s="565" customFormat="1" ht="18">
      <c r="A42" s="808">
        <v>40</v>
      </c>
      <c r="B42" s="1937" t="s">
        <v>622</v>
      </c>
      <c r="C42" s="1937"/>
      <c r="D42" s="568" t="s">
        <v>515</v>
      </c>
      <c r="E42" s="568" t="s">
        <v>454</v>
      </c>
      <c r="F42" s="568">
        <f>附表!N14*4</f>
        <v>260</v>
      </c>
      <c r="G42" s="819" t="s">
        <v>623</v>
      </c>
      <c r="H42" s="802"/>
      <c r="I42" s="568"/>
      <c r="J42" s="568"/>
      <c r="K42" s="1936" t="s">
        <v>624</v>
      </c>
      <c r="L42" s="1936"/>
      <c r="M42" s="826" t="s">
        <v>625</v>
      </c>
      <c r="N42" s="835"/>
      <c r="O42" s="804"/>
      <c r="P42" s="804"/>
      <c r="Q42" s="328"/>
      <c r="R42" s="804"/>
    </row>
    <row r="43" spans="1:18" s="565" customFormat="1" ht="18">
      <c r="A43" s="813">
        <v>41</v>
      </c>
      <c r="B43" s="1938" t="s">
        <v>626</v>
      </c>
      <c r="C43" s="1939"/>
      <c r="D43" s="815" t="s">
        <v>604</v>
      </c>
      <c r="E43" s="820" t="s">
        <v>454</v>
      </c>
      <c r="F43" s="820">
        <f>附表!N14*4</f>
        <v>260</v>
      </c>
      <c r="G43" s="821" t="s">
        <v>627</v>
      </c>
      <c r="H43" s="802"/>
      <c r="I43" s="568"/>
      <c r="J43" s="568"/>
      <c r="K43" s="1936" t="s">
        <v>628</v>
      </c>
      <c r="L43" s="1936"/>
      <c r="M43" s="826" t="s">
        <v>629</v>
      </c>
      <c r="N43" s="835"/>
      <c r="O43" s="804"/>
      <c r="P43" s="804"/>
      <c r="Q43" s="328"/>
      <c r="R43" s="804"/>
    </row>
    <row r="44" spans="1:18" s="565" customFormat="1" ht="17.25" customHeight="1">
      <c r="A44" s="808">
        <v>42</v>
      </c>
      <c r="B44" s="1937" t="s">
        <v>630</v>
      </c>
      <c r="C44" s="1937"/>
      <c r="D44" s="568" t="s">
        <v>631</v>
      </c>
      <c r="E44" s="568" t="s">
        <v>438</v>
      </c>
      <c r="F44" s="568">
        <f>附表!N14*2+附表!K14*2</f>
        <v>260</v>
      </c>
      <c r="G44" s="819" t="s">
        <v>632</v>
      </c>
      <c r="H44" s="802"/>
      <c r="I44" s="568"/>
      <c r="J44" s="568"/>
      <c r="K44" s="1936" t="s">
        <v>633</v>
      </c>
      <c r="L44" s="1936"/>
      <c r="M44" s="826" t="s">
        <v>634</v>
      </c>
      <c r="N44" s="835"/>
      <c r="O44" s="804"/>
      <c r="P44" s="804"/>
      <c r="Q44" s="328"/>
      <c r="R44" s="804"/>
    </row>
    <row r="45" spans="1:18" s="565" customFormat="1" ht="17.25" customHeight="1">
      <c r="A45" s="813">
        <v>43</v>
      </c>
      <c r="B45" s="1938" t="s">
        <v>635</v>
      </c>
      <c r="C45" s="1939"/>
      <c r="D45" s="815" t="s">
        <v>505</v>
      </c>
      <c r="E45" s="820" t="s">
        <v>580</v>
      </c>
      <c r="F45" s="820">
        <f>附表!N14*2+附表!J14*2</f>
        <v>210</v>
      </c>
      <c r="G45" s="821" t="s">
        <v>636</v>
      </c>
      <c r="H45" s="802"/>
      <c r="I45" s="568"/>
      <c r="J45" s="568"/>
      <c r="K45" s="1936" t="s">
        <v>637</v>
      </c>
      <c r="L45" s="1936"/>
      <c r="M45" s="826" t="s">
        <v>638</v>
      </c>
      <c r="N45" s="835"/>
      <c r="O45" s="804"/>
      <c r="P45" s="804"/>
      <c r="Q45" s="328"/>
      <c r="R45" s="804"/>
    </row>
    <row r="46" spans="1:18" s="565" customFormat="1" ht="18">
      <c r="A46" s="808">
        <v>44</v>
      </c>
      <c r="B46" s="1937" t="s">
        <v>639</v>
      </c>
      <c r="C46" s="1937"/>
      <c r="D46" s="568" t="s">
        <v>640</v>
      </c>
      <c r="E46" s="568" t="s">
        <v>454</v>
      </c>
      <c r="F46" s="568">
        <f>附表!N14*4</f>
        <v>260</v>
      </c>
      <c r="G46" s="819" t="s">
        <v>641</v>
      </c>
      <c r="H46" s="802"/>
      <c r="I46" s="568"/>
      <c r="J46" s="568"/>
      <c r="K46" s="1936" t="s">
        <v>642</v>
      </c>
      <c r="L46" s="1936"/>
      <c r="M46" s="826" t="s">
        <v>643</v>
      </c>
      <c r="N46" s="835"/>
      <c r="O46" s="804"/>
      <c r="P46" s="804"/>
      <c r="Q46" s="328"/>
      <c r="R46" s="804"/>
    </row>
    <row r="47" spans="1:18" s="565" customFormat="1" ht="17.25" customHeight="1">
      <c r="A47" s="813">
        <v>45</v>
      </c>
      <c r="B47" s="1938" t="s">
        <v>644</v>
      </c>
      <c r="C47" s="1939"/>
      <c r="D47" s="815" t="s">
        <v>645</v>
      </c>
      <c r="E47" s="820" t="s">
        <v>646</v>
      </c>
      <c r="F47" s="820">
        <f>附表!N14*2+MAX(附表!J14*2,附表!K14*2,附表!G14*2)</f>
        <v>310</v>
      </c>
      <c r="G47" s="821" t="s">
        <v>647</v>
      </c>
      <c r="H47" s="802"/>
      <c r="I47" s="568"/>
      <c r="J47" s="568"/>
      <c r="K47" s="1936" t="s">
        <v>648</v>
      </c>
      <c r="L47" s="1936"/>
      <c r="M47" s="826" t="s">
        <v>649</v>
      </c>
      <c r="N47" s="835"/>
      <c r="O47" s="804"/>
      <c r="P47" s="804"/>
      <c r="Q47" s="328"/>
      <c r="R47" s="804"/>
    </row>
    <row r="48" spans="1:18" s="565" customFormat="1" ht="17.25" customHeight="1">
      <c r="A48" s="808">
        <v>46</v>
      </c>
      <c r="B48" s="1937" t="s">
        <v>650</v>
      </c>
      <c r="C48" s="1937"/>
      <c r="D48" s="568" t="s">
        <v>460</v>
      </c>
      <c r="E48" s="568" t="s">
        <v>432</v>
      </c>
      <c r="F48" s="568">
        <f>附表!N14*2+附表!J14*2</f>
        <v>210</v>
      </c>
      <c r="G48" s="819" t="s">
        <v>651</v>
      </c>
      <c r="H48" s="802"/>
      <c r="I48" s="568"/>
      <c r="J48" s="568"/>
      <c r="K48" s="1936" t="s">
        <v>652</v>
      </c>
      <c r="L48" s="1936"/>
      <c r="M48" s="826" t="s">
        <v>653</v>
      </c>
      <c r="N48" s="835"/>
      <c r="O48" s="804"/>
      <c r="P48" s="804"/>
      <c r="Q48" s="328"/>
      <c r="R48" s="804"/>
    </row>
    <row r="49" spans="1:18" s="565" customFormat="1" ht="17.25" customHeight="1">
      <c r="A49" s="813">
        <v>47</v>
      </c>
      <c r="B49" s="1938" t="s">
        <v>654</v>
      </c>
      <c r="C49" s="1939"/>
      <c r="D49" s="815" t="s">
        <v>431</v>
      </c>
      <c r="E49" s="820" t="s">
        <v>448</v>
      </c>
      <c r="F49" s="820">
        <f>附表!N14*2+MAX(附表!G14*2,附表!J14*2)</f>
        <v>310</v>
      </c>
      <c r="G49" s="821" t="s">
        <v>655</v>
      </c>
      <c r="H49" s="802"/>
      <c r="I49" s="568"/>
      <c r="J49" s="568"/>
      <c r="K49" s="1936" t="s">
        <v>656</v>
      </c>
      <c r="L49" s="1936"/>
      <c r="M49" s="826" t="s">
        <v>657</v>
      </c>
      <c r="N49" s="835"/>
      <c r="O49" s="804"/>
      <c r="P49" s="804"/>
      <c r="Q49" s="328"/>
      <c r="R49" s="804"/>
    </row>
    <row r="50" spans="1:18" s="565" customFormat="1" ht="17.25" customHeight="1">
      <c r="A50" s="808">
        <v>48</v>
      </c>
      <c r="B50" s="1937" t="s">
        <v>658</v>
      </c>
      <c r="C50" s="1937"/>
      <c r="D50" s="568" t="s">
        <v>505</v>
      </c>
      <c r="E50" s="568" t="s">
        <v>580</v>
      </c>
      <c r="F50" s="568">
        <f>附表!N14*2+附表!J14*2</f>
        <v>210</v>
      </c>
      <c r="G50" s="819" t="s">
        <v>659</v>
      </c>
      <c r="H50" s="802"/>
      <c r="I50" s="568"/>
      <c r="J50" s="568"/>
      <c r="K50" s="1936" t="s">
        <v>660</v>
      </c>
      <c r="L50" s="1936"/>
      <c r="M50" s="826" t="s">
        <v>661</v>
      </c>
      <c r="N50" s="835"/>
      <c r="O50" s="804"/>
      <c r="P50" s="804"/>
      <c r="Q50" s="328"/>
      <c r="R50" s="804"/>
    </row>
    <row r="51" spans="1:18" s="565" customFormat="1" ht="18">
      <c r="A51" s="813">
        <v>49</v>
      </c>
      <c r="B51" s="1938" t="s">
        <v>662</v>
      </c>
      <c r="C51" s="1939"/>
      <c r="D51" s="815" t="s">
        <v>663</v>
      </c>
      <c r="E51" s="820" t="s">
        <v>454</v>
      </c>
      <c r="F51" s="820">
        <f>附表!N14*4</f>
        <v>260</v>
      </c>
      <c r="G51" s="821" t="s">
        <v>664</v>
      </c>
      <c r="H51" s="802"/>
      <c r="I51" s="568"/>
      <c r="J51" s="568"/>
      <c r="K51" s="1936" t="s">
        <v>665</v>
      </c>
      <c r="L51" s="1936"/>
      <c r="M51" s="826" t="s">
        <v>666</v>
      </c>
      <c r="N51" s="835"/>
      <c r="O51" s="804"/>
      <c r="P51" s="804"/>
      <c r="Q51" s="328"/>
      <c r="R51" s="804"/>
    </row>
    <row r="52" spans="1:18" s="565" customFormat="1" ht="17.25" customHeight="1">
      <c r="A52" s="808">
        <v>50</v>
      </c>
      <c r="B52" s="1937" t="s">
        <v>667</v>
      </c>
      <c r="C52" s="1937"/>
      <c r="D52" s="568" t="s">
        <v>668</v>
      </c>
      <c r="E52" s="568" t="s">
        <v>585</v>
      </c>
      <c r="F52" s="568">
        <f>附表!N14*2+附表!K14*2</f>
        <v>260</v>
      </c>
      <c r="G52" s="819" t="s">
        <v>669</v>
      </c>
      <c r="H52" s="802"/>
      <c r="I52" s="568"/>
      <c r="J52" s="568"/>
      <c r="K52" s="1936" t="s">
        <v>670</v>
      </c>
      <c r="L52" s="1936"/>
      <c r="M52" s="826" t="s">
        <v>671</v>
      </c>
      <c r="N52" s="835"/>
      <c r="O52" s="804"/>
      <c r="P52" s="804"/>
      <c r="Q52" s="328"/>
      <c r="R52" s="804"/>
    </row>
    <row r="53" spans="1:18" s="565" customFormat="1" ht="18">
      <c r="A53" s="813">
        <v>51</v>
      </c>
      <c r="B53" s="1938" t="s">
        <v>672</v>
      </c>
      <c r="C53" s="1939"/>
      <c r="D53" s="815" t="s">
        <v>562</v>
      </c>
      <c r="E53" s="820" t="s">
        <v>454</v>
      </c>
      <c r="F53" s="820">
        <f>附表!N14*4</f>
        <v>260</v>
      </c>
      <c r="G53" s="821" t="s">
        <v>673</v>
      </c>
      <c r="H53" s="802"/>
      <c r="I53" s="568"/>
      <c r="J53" s="568"/>
      <c r="K53" s="1936" t="s">
        <v>674</v>
      </c>
      <c r="L53" s="1936"/>
      <c r="M53" s="826" t="s">
        <v>675</v>
      </c>
      <c r="N53" s="835"/>
      <c r="O53" s="804"/>
      <c r="P53" s="804"/>
      <c r="Q53" s="328"/>
      <c r="R53" s="804"/>
    </row>
    <row r="54" spans="1:18" s="565" customFormat="1" ht="16.5" customHeight="1">
      <c r="A54" s="808">
        <v>52</v>
      </c>
      <c r="B54" s="1937" t="s">
        <v>676</v>
      </c>
      <c r="C54" s="1937"/>
      <c r="D54" s="568" t="s">
        <v>500</v>
      </c>
      <c r="E54" s="568" t="s">
        <v>438</v>
      </c>
      <c r="F54" s="568">
        <f>附表!N14*2+附表!K14*2</f>
        <v>260</v>
      </c>
      <c r="G54" s="819" t="s">
        <v>677</v>
      </c>
      <c r="H54" s="802"/>
      <c r="I54" s="568"/>
      <c r="J54" s="568"/>
      <c r="K54" s="1936" t="s">
        <v>678</v>
      </c>
      <c r="L54" s="1936"/>
      <c r="M54" s="826" t="s">
        <v>679</v>
      </c>
      <c r="N54" s="835"/>
      <c r="O54" s="804"/>
      <c r="P54" s="804"/>
      <c r="Q54" s="328"/>
      <c r="R54" s="804"/>
    </row>
    <row r="55" spans="1:18" s="565" customFormat="1" ht="17.25" customHeight="1">
      <c r="A55" s="813">
        <v>53</v>
      </c>
      <c r="B55" s="1938" t="s">
        <v>680</v>
      </c>
      <c r="C55" s="1939"/>
      <c r="D55" s="815" t="s">
        <v>681</v>
      </c>
      <c r="E55" s="820" t="s">
        <v>646</v>
      </c>
      <c r="F55" s="820">
        <f>附表!N14*2+MAX(附表!J14*2,附表!K14*2,附表!G14*2)</f>
        <v>310</v>
      </c>
      <c r="G55" s="821" t="s">
        <v>682</v>
      </c>
      <c r="H55" s="802"/>
      <c r="I55" s="568"/>
      <c r="J55" s="568"/>
      <c r="K55" s="1936" t="s">
        <v>683</v>
      </c>
      <c r="L55" s="1936"/>
      <c r="M55" s="826" t="s">
        <v>684</v>
      </c>
      <c r="N55" s="835"/>
      <c r="O55" s="804"/>
      <c r="P55" s="804"/>
      <c r="Q55" s="328"/>
      <c r="R55" s="804"/>
    </row>
    <row r="56" spans="1:18" s="565" customFormat="1" ht="16.5" customHeight="1">
      <c r="A56" s="808">
        <v>54</v>
      </c>
      <c r="B56" s="1937" t="s">
        <v>685</v>
      </c>
      <c r="C56" s="1937"/>
      <c r="D56" s="568" t="s">
        <v>505</v>
      </c>
      <c r="E56" s="568" t="s">
        <v>448</v>
      </c>
      <c r="F56" s="568">
        <f>附表!N14*2+MAX(附表!G14*2,附表!J14*2)</f>
        <v>310</v>
      </c>
      <c r="G56" s="819" t="s">
        <v>686</v>
      </c>
      <c r="H56" s="802"/>
      <c r="I56" s="568"/>
      <c r="J56" s="568"/>
      <c r="K56" s="1936" t="s">
        <v>687</v>
      </c>
      <c r="L56" s="1936"/>
      <c r="M56" s="826" t="s">
        <v>688</v>
      </c>
      <c r="N56" s="835"/>
      <c r="O56" s="804"/>
      <c r="P56" s="804"/>
      <c r="Q56" s="328"/>
      <c r="R56" s="804"/>
    </row>
    <row r="57" spans="1:18" s="565" customFormat="1" ht="18">
      <c r="A57" s="813">
        <v>55</v>
      </c>
      <c r="B57" s="1938" t="s">
        <v>689</v>
      </c>
      <c r="C57" s="1939"/>
      <c r="D57" s="815" t="s">
        <v>520</v>
      </c>
      <c r="E57" s="820" t="s">
        <v>454</v>
      </c>
      <c r="F57" s="820">
        <f>附表!N14*4</f>
        <v>260</v>
      </c>
      <c r="G57" s="821" t="s">
        <v>690</v>
      </c>
      <c r="H57" s="568"/>
      <c r="I57" s="568"/>
      <c r="J57" s="568"/>
      <c r="K57" s="1936" t="s">
        <v>691</v>
      </c>
      <c r="L57" s="1936"/>
      <c r="M57" s="826" t="s">
        <v>692</v>
      </c>
      <c r="N57" s="835"/>
      <c r="O57" s="804"/>
      <c r="P57" s="804"/>
      <c r="Q57" s="328"/>
      <c r="R57" s="804"/>
    </row>
    <row r="58" spans="1:18" s="565" customFormat="1" ht="15" customHeight="1">
      <c r="A58" s="808">
        <v>56</v>
      </c>
      <c r="B58" s="1937" t="s">
        <v>693</v>
      </c>
      <c r="C58" s="1937"/>
      <c r="D58" s="568" t="s">
        <v>505</v>
      </c>
      <c r="E58" s="568" t="s">
        <v>448</v>
      </c>
      <c r="F58" s="568">
        <f>附表!N14*2+MAX(附表!G14*2,附表!J14*2)</f>
        <v>310</v>
      </c>
      <c r="G58" s="819" t="s">
        <v>694</v>
      </c>
      <c r="H58" s="568"/>
      <c r="I58" s="568"/>
      <c r="J58" s="568"/>
      <c r="K58" s="1936" t="s">
        <v>695</v>
      </c>
      <c r="L58" s="1936"/>
      <c r="M58" s="826" t="s">
        <v>696</v>
      </c>
      <c r="N58" s="835"/>
      <c r="O58" s="804"/>
      <c r="P58" s="804"/>
      <c r="Q58" s="328"/>
      <c r="R58" s="804"/>
    </row>
    <row r="59" spans="1:18" s="565" customFormat="1" ht="16" customHeight="1">
      <c r="A59" s="813">
        <v>57</v>
      </c>
      <c r="B59" s="1938" t="s">
        <v>697</v>
      </c>
      <c r="C59" s="1939"/>
      <c r="D59" s="815" t="s">
        <v>460</v>
      </c>
      <c r="E59" s="820" t="s">
        <v>454</v>
      </c>
      <c r="F59" s="820">
        <f>附表!N14*4</f>
        <v>260</v>
      </c>
      <c r="G59" s="821" t="s">
        <v>698</v>
      </c>
      <c r="H59" s="568"/>
      <c r="I59" s="568"/>
      <c r="J59" s="568"/>
      <c r="K59" s="1936" t="s">
        <v>699</v>
      </c>
      <c r="L59" s="1936"/>
      <c r="M59" s="836" t="s">
        <v>700</v>
      </c>
      <c r="N59" s="835"/>
      <c r="O59" s="804"/>
      <c r="P59" s="804"/>
      <c r="Q59" s="328"/>
      <c r="R59" s="804"/>
    </row>
    <row r="60" spans="1:18" s="565" customFormat="1" ht="18">
      <c r="A60" s="808">
        <v>58</v>
      </c>
      <c r="B60" s="1937" t="s">
        <v>701</v>
      </c>
      <c r="C60" s="1937"/>
      <c r="D60" s="568" t="s">
        <v>702</v>
      </c>
      <c r="E60" s="568" t="s">
        <v>454</v>
      </c>
      <c r="F60" s="568">
        <f>附表!N14*4</f>
        <v>260</v>
      </c>
      <c r="G60" s="819" t="s">
        <v>703</v>
      </c>
      <c r="H60" s="568"/>
      <c r="I60" s="568"/>
      <c r="J60" s="568"/>
      <c r="K60" s="1936" t="s">
        <v>704</v>
      </c>
      <c r="L60" s="1936"/>
      <c r="M60" s="826" t="s">
        <v>705</v>
      </c>
      <c r="N60" s="835"/>
      <c r="O60" s="804"/>
      <c r="P60" s="804"/>
      <c r="Q60" s="328"/>
      <c r="R60" s="804"/>
    </row>
    <row r="61" spans="1:18" s="565" customFormat="1" ht="18">
      <c r="A61" s="813">
        <v>59</v>
      </c>
      <c r="B61" s="1938" t="s">
        <v>706</v>
      </c>
      <c r="C61" s="1939"/>
      <c r="D61" s="815" t="s">
        <v>707</v>
      </c>
      <c r="E61" s="820" t="s">
        <v>708</v>
      </c>
      <c r="F61" s="820">
        <f>附表!N14*2+MAX(附表!J14*2,附表!K14*2)</f>
        <v>260</v>
      </c>
      <c r="G61" s="821" t="s">
        <v>709</v>
      </c>
      <c r="H61" s="568"/>
      <c r="I61" s="568"/>
      <c r="J61" s="568"/>
      <c r="K61" s="1936" t="s">
        <v>710</v>
      </c>
      <c r="L61" s="1936"/>
      <c r="M61" s="826" t="s">
        <v>711</v>
      </c>
      <c r="N61" s="835"/>
      <c r="O61" s="804"/>
      <c r="P61" s="804"/>
      <c r="Q61" s="328"/>
      <c r="R61" s="804"/>
    </row>
    <row r="62" spans="1:18" s="565" customFormat="1" ht="18">
      <c r="A62" s="808">
        <v>60</v>
      </c>
      <c r="B62" s="1937" t="s">
        <v>712</v>
      </c>
      <c r="C62" s="1937"/>
      <c r="D62" s="568" t="s">
        <v>713</v>
      </c>
      <c r="E62" s="568" t="s">
        <v>438</v>
      </c>
      <c r="F62" s="568">
        <f>附表!N14*2+附表!K14*2</f>
        <v>260</v>
      </c>
      <c r="G62" s="819" t="s">
        <v>714</v>
      </c>
      <c r="H62" s="568"/>
      <c r="I62" s="568"/>
      <c r="J62" s="568"/>
      <c r="K62" s="1936" t="s">
        <v>715</v>
      </c>
      <c r="L62" s="1936"/>
      <c r="M62" s="826" t="s">
        <v>716</v>
      </c>
      <c r="N62" s="835"/>
      <c r="O62" s="804"/>
      <c r="P62" s="804"/>
      <c r="Q62" s="328"/>
      <c r="R62" s="804"/>
    </row>
    <row r="63" spans="1:18" s="565" customFormat="1" ht="18">
      <c r="A63" s="813">
        <v>61</v>
      </c>
      <c r="B63" s="1938" t="s">
        <v>717</v>
      </c>
      <c r="C63" s="1939"/>
      <c r="D63" s="815" t="s">
        <v>431</v>
      </c>
      <c r="E63" s="820" t="s">
        <v>448</v>
      </c>
      <c r="F63" s="820">
        <f>附表!N14*2+MAX(附表!G14*2,附表!J14*2)</f>
        <v>310</v>
      </c>
      <c r="G63" s="821" t="s">
        <v>718</v>
      </c>
      <c r="H63" s="568"/>
      <c r="I63" s="568"/>
      <c r="J63" s="568"/>
      <c r="K63" s="1936" t="s">
        <v>719</v>
      </c>
      <c r="L63" s="1936"/>
      <c r="M63" s="826" t="s">
        <v>716</v>
      </c>
      <c r="N63" s="835"/>
      <c r="O63" s="804"/>
      <c r="P63" s="804"/>
      <c r="Q63" s="328"/>
      <c r="R63" s="804"/>
    </row>
    <row r="64" spans="1:18" s="565" customFormat="1" ht="18">
      <c r="A64" s="808">
        <v>62</v>
      </c>
      <c r="B64" s="1937" t="s">
        <v>720</v>
      </c>
      <c r="C64" s="1937"/>
      <c r="D64" s="568" t="s">
        <v>721</v>
      </c>
      <c r="E64" s="568" t="s">
        <v>585</v>
      </c>
      <c r="F64" s="568">
        <f>附表!N14*2+附表!K14*2</f>
        <v>260</v>
      </c>
      <c r="G64" s="819" t="s">
        <v>722</v>
      </c>
      <c r="H64" s="568"/>
      <c r="I64" s="568"/>
      <c r="J64" s="568"/>
      <c r="K64" s="1936" t="s">
        <v>723</v>
      </c>
      <c r="L64" s="1936"/>
      <c r="M64" s="826" t="s">
        <v>724</v>
      </c>
      <c r="N64" s="835"/>
      <c r="O64" s="804"/>
      <c r="P64" s="804"/>
      <c r="Q64" s="328"/>
      <c r="R64" s="804"/>
    </row>
    <row r="65" spans="1:20" s="565" customFormat="1" ht="18">
      <c r="A65" s="813">
        <v>63</v>
      </c>
      <c r="B65" s="1938" t="s">
        <v>725</v>
      </c>
      <c r="C65" s="1939"/>
      <c r="D65" s="815" t="s">
        <v>645</v>
      </c>
      <c r="E65" s="820" t="s">
        <v>726</v>
      </c>
      <c r="F65" s="820">
        <f>附表!N14*2+MAX(附表!J14*2,附表!K14*2)</f>
        <v>260</v>
      </c>
      <c r="G65" s="821" t="s">
        <v>727</v>
      </c>
      <c r="H65" s="568"/>
      <c r="I65" s="568"/>
      <c r="J65" s="568"/>
      <c r="K65" s="1936" t="s">
        <v>728</v>
      </c>
      <c r="L65" s="1936"/>
      <c r="M65" s="826" t="s">
        <v>729</v>
      </c>
      <c r="N65" s="835"/>
      <c r="O65" s="804"/>
      <c r="P65" s="804"/>
      <c r="Q65" s="328"/>
      <c r="R65" s="804"/>
    </row>
    <row r="66" spans="1:20" s="565" customFormat="1" ht="18">
      <c r="A66" s="808">
        <v>64</v>
      </c>
      <c r="B66" s="1937" t="s">
        <v>730</v>
      </c>
      <c r="C66" s="1937"/>
      <c r="D66" s="568" t="s">
        <v>731</v>
      </c>
      <c r="E66" s="568" t="s">
        <v>732</v>
      </c>
      <c r="F66" s="568">
        <f>附表!N14*2+附表!G14*2</f>
        <v>310</v>
      </c>
      <c r="G66" s="819" t="s">
        <v>733</v>
      </c>
      <c r="H66" s="568"/>
      <c r="I66" s="568"/>
      <c r="J66" s="568"/>
      <c r="K66" s="1936" t="s">
        <v>734</v>
      </c>
      <c r="L66" s="1936"/>
      <c r="M66" s="826" t="s">
        <v>735</v>
      </c>
      <c r="N66" s="835"/>
      <c r="O66" s="804"/>
      <c r="P66" s="804"/>
      <c r="Q66" s="328"/>
      <c r="R66" s="804"/>
    </row>
    <row r="67" spans="1:20" s="565" customFormat="1" ht="18">
      <c r="A67" s="813">
        <v>65</v>
      </c>
      <c r="B67" s="1938" t="s">
        <v>736</v>
      </c>
      <c r="C67" s="1939"/>
      <c r="D67" s="815" t="s">
        <v>505</v>
      </c>
      <c r="E67" s="820" t="s">
        <v>454</v>
      </c>
      <c r="F67" s="820">
        <f>附表!N14*4</f>
        <v>260</v>
      </c>
      <c r="G67" s="821" t="s">
        <v>737</v>
      </c>
      <c r="H67" s="568"/>
      <c r="I67" s="568"/>
      <c r="J67" s="568"/>
      <c r="K67" s="1936" t="s">
        <v>738</v>
      </c>
      <c r="L67" s="1936"/>
      <c r="M67" s="826" t="s">
        <v>739</v>
      </c>
      <c r="N67" s="835"/>
      <c r="O67" s="804"/>
      <c r="P67" s="804"/>
      <c r="Q67" s="328"/>
      <c r="R67" s="804"/>
    </row>
    <row r="68" spans="1:20" s="565" customFormat="1" ht="18">
      <c r="A68" s="808">
        <v>66</v>
      </c>
      <c r="B68" s="1937" t="s">
        <v>740</v>
      </c>
      <c r="C68" s="1937"/>
      <c r="D68" s="568" t="s">
        <v>505</v>
      </c>
      <c r="E68" s="568" t="s">
        <v>454</v>
      </c>
      <c r="F68" s="568">
        <f>附表!N14*4</f>
        <v>260</v>
      </c>
      <c r="G68" s="819" t="s">
        <v>741</v>
      </c>
      <c r="H68" s="568"/>
      <c r="I68" s="568"/>
      <c r="J68" s="568"/>
      <c r="K68" s="1936" t="s">
        <v>742</v>
      </c>
      <c r="L68" s="1936"/>
      <c r="M68" s="826" t="s">
        <v>743</v>
      </c>
      <c r="N68" s="835"/>
      <c r="O68" s="804"/>
      <c r="P68" s="804"/>
      <c r="Q68" s="804"/>
      <c r="R68" s="804"/>
      <c r="S68" s="804"/>
    </row>
    <row r="69" spans="1:20" s="565" customFormat="1" ht="18">
      <c r="A69" s="813">
        <v>67</v>
      </c>
      <c r="B69" s="1938" t="s">
        <v>744</v>
      </c>
      <c r="C69" s="1939"/>
      <c r="D69" s="815" t="s">
        <v>745</v>
      </c>
      <c r="E69" s="820" t="s">
        <v>454</v>
      </c>
      <c r="F69" s="820">
        <f>附表!N14*4</f>
        <v>260</v>
      </c>
      <c r="G69" s="821" t="s">
        <v>746</v>
      </c>
      <c r="H69" s="568"/>
      <c r="I69" s="568"/>
      <c r="J69" s="568"/>
      <c r="K69" s="1936" t="s">
        <v>747</v>
      </c>
      <c r="L69" s="1936"/>
      <c r="M69" s="826" t="s">
        <v>748</v>
      </c>
      <c r="N69" s="835"/>
      <c r="O69" s="804"/>
      <c r="P69" s="804"/>
      <c r="Q69" s="804"/>
      <c r="R69" s="804"/>
      <c r="S69" s="804"/>
    </row>
    <row r="70" spans="1:20" s="565" customFormat="1" ht="18">
      <c r="A70" s="808">
        <v>68</v>
      </c>
      <c r="B70" s="1937" t="s">
        <v>749</v>
      </c>
      <c r="C70" s="1937"/>
      <c r="D70" s="568" t="s">
        <v>663</v>
      </c>
      <c r="E70" s="568" t="s">
        <v>454</v>
      </c>
      <c r="F70" s="568">
        <f>附表!N14*4</f>
        <v>260</v>
      </c>
      <c r="G70" s="819" t="s">
        <v>750</v>
      </c>
      <c r="H70" s="568"/>
      <c r="I70" s="568"/>
      <c r="J70" s="568"/>
      <c r="K70" s="1936" t="s">
        <v>751</v>
      </c>
      <c r="L70" s="1936"/>
      <c r="M70" s="826" t="s">
        <v>752</v>
      </c>
      <c r="N70" s="835"/>
      <c r="O70" s="804"/>
      <c r="P70" s="804"/>
      <c r="Q70" s="804"/>
      <c r="R70" s="804"/>
      <c r="S70" s="804"/>
      <c r="T70" s="804"/>
    </row>
    <row r="71" spans="1:20" s="565" customFormat="1" ht="18">
      <c r="A71" s="813">
        <v>69</v>
      </c>
      <c r="B71" s="1938" t="s">
        <v>753</v>
      </c>
      <c r="C71" s="1939"/>
      <c r="D71" s="815" t="s">
        <v>505</v>
      </c>
      <c r="E71" s="820" t="s">
        <v>448</v>
      </c>
      <c r="F71" s="820">
        <f>附表!N14*2+MAX(附表!G14*2,附表!J14*2)</f>
        <v>310</v>
      </c>
      <c r="G71" s="821" t="s">
        <v>754</v>
      </c>
      <c r="H71" s="568"/>
      <c r="I71" s="568"/>
      <c r="J71" s="568"/>
      <c r="K71" s="1936" t="s">
        <v>755</v>
      </c>
      <c r="L71" s="1936"/>
      <c r="M71" s="826" t="s">
        <v>756</v>
      </c>
      <c r="N71" s="835"/>
      <c r="O71" s="804"/>
      <c r="P71" s="804"/>
      <c r="Q71" s="804"/>
      <c r="R71" s="804"/>
      <c r="S71" s="804"/>
      <c r="T71" s="804"/>
    </row>
    <row r="72" spans="1:20" s="565" customFormat="1" ht="16.5" customHeight="1">
      <c r="A72" s="808">
        <v>70</v>
      </c>
      <c r="B72" s="1937" t="s">
        <v>757</v>
      </c>
      <c r="C72" s="1937"/>
      <c r="D72" s="568" t="s">
        <v>505</v>
      </c>
      <c r="E72" s="568" t="s">
        <v>448</v>
      </c>
      <c r="F72" s="568">
        <f>附表!N14*2+MAX(附表!G14*2,附表!J14*2)</f>
        <v>310</v>
      </c>
      <c r="G72" s="819" t="s">
        <v>758</v>
      </c>
      <c r="H72" s="568"/>
      <c r="I72" s="568"/>
      <c r="J72" s="568"/>
      <c r="K72" s="1936" t="s">
        <v>759</v>
      </c>
      <c r="L72" s="1936"/>
      <c r="M72" s="826" t="s">
        <v>756</v>
      </c>
      <c r="N72" s="835"/>
      <c r="O72" s="804"/>
      <c r="P72" s="804"/>
      <c r="Q72" s="804"/>
      <c r="R72" s="804"/>
      <c r="S72" s="804"/>
      <c r="T72" s="804"/>
    </row>
    <row r="73" spans="1:20" s="565" customFormat="1" ht="16.5" customHeight="1">
      <c r="A73" s="813">
        <v>71</v>
      </c>
      <c r="B73" s="1938" t="s">
        <v>760</v>
      </c>
      <c r="C73" s="1939"/>
      <c r="D73" s="815" t="s">
        <v>505</v>
      </c>
      <c r="E73" s="820" t="s">
        <v>448</v>
      </c>
      <c r="F73" s="820">
        <f>附表!N14*2+MAX(附表!G14*2,附表!J14*2)</f>
        <v>310</v>
      </c>
      <c r="G73" s="821" t="s">
        <v>761</v>
      </c>
      <c r="H73" s="568"/>
      <c r="I73" s="568"/>
      <c r="J73" s="568"/>
      <c r="K73" s="1936" t="s">
        <v>762</v>
      </c>
      <c r="L73" s="1936"/>
      <c r="M73" s="826" t="s">
        <v>756</v>
      </c>
      <c r="N73" s="835"/>
      <c r="O73" s="804"/>
      <c r="P73" s="804"/>
      <c r="Q73" s="804"/>
      <c r="R73" s="804"/>
      <c r="S73" s="804"/>
      <c r="T73" s="804"/>
    </row>
    <row r="74" spans="1:20" s="565" customFormat="1" ht="18">
      <c r="A74" s="808">
        <v>72</v>
      </c>
      <c r="B74" s="1937" t="s">
        <v>763</v>
      </c>
      <c r="C74" s="1937"/>
      <c r="D74" s="568" t="s">
        <v>640</v>
      </c>
      <c r="E74" s="568" t="s">
        <v>454</v>
      </c>
      <c r="F74" s="568">
        <f>附表!N14*4</f>
        <v>260</v>
      </c>
      <c r="G74" s="819" t="s">
        <v>764</v>
      </c>
      <c r="H74" s="568"/>
      <c r="I74" s="568"/>
      <c r="J74" s="568"/>
      <c r="K74" s="1936" t="s">
        <v>765</v>
      </c>
      <c r="L74" s="1936"/>
      <c r="M74" s="826" t="s">
        <v>766</v>
      </c>
      <c r="N74" s="835"/>
      <c r="O74" s="804"/>
      <c r="P74" s="804"/>
      <c r="Q74" s="804"/>
      <c r="R74" s="804"/>
      <c r="S74" s="804"/>
      <c r="T74" s="804"/>
    </row>
    <row r="75" spans="1:20" s="565" customFormat="1" ht="18">
      <c r="A75" s="813">
        <v>73</v>
      </c>
      <c r="B75" s="1938" t="s">
        <v>767</v>
      </c>
      <c r="C75" s="1939"/>
      <c r="D75" s="815" t="s">
        <v>768</v>
      </c>
      <c r="E75" s="820" t="s">
        <v>454</v>
      </c>
      <c r="F75" s="820">
        <f>附表!N14*4</f>
        <v>260</v>
      </c>
      <c r="G75" s="821" t="s">
        <v>769</v>
      </c>
      <c r="H75" s="568"/>
      <c r="I75" s="568"/>
      <c r="J75" s="568"/>
      <c r="K75" s="1936" t="s">
        <v>770</v>
      </c>
      <c r="L75" s="1936"/>
      <c r="M75" s="826" t="s">
        <v>771</v>
      </c>
      <c r="N75" s="835"/>
      <c r="O75" s="804"/>
      <c r="P75" s="804"/>
      <c r="Q75" s="804"/>
      <c r="R75" s="804"/>
      <c r="S75" s="804"/>
      <c r="T75" s="804"/>
    </row>
    <row r="76" spans="1:20" s="565" customFormat="1" ht="18">
      <c r="A76" s="808">
        <v>74</v>
      </c>
      <c r="B76" s="1937" t="s">
        <v>772</v>
      </c>
      <c r="C76" s="1937"/>
      <c r="D76" s="568" t="s">
        <v>437</v>
      </c>
      <c r="E76" s="568" t="s">
        <v>454</v>
      </c>
      <c r="F76" s="568">
        <f>附表!N14*4</f>
        <v>260</v>
      </c>
      <c r="G76" s="819" t="s">
        <v>773</v>
      </c>
      <c r="H76" s="568"/>
      <c r="I76" s="568"/>
      <c r="J76" s="568"/>
      <c r="K76" s="1936" t="s">
        <v>774</v>
      </c>
      <c r="L76" s="1936"/>
      <c r="M76" s="826" t="s">
        <v>775</v>
      </c>
      <c r="N76" s="835"/>
      <c r="O76" s="804"/>
      <c r="P76" s="804"/>
      <c r="Q76" s="804"/>
      <c r="R76" s="804"/>
      <c r="S76" s="804"/>
      <c r="T76" s="804"/>
    </row>
    <row r="77" spans="1:20" s="565" customFormat="1" ht="16.5" customHeight="1">
      <c r="A77" s="813">
        <v>75</v>
      </c>
      <c r="B77" s="1938" t="s">
        <v>776</v>
      </c>
      <c r="C77" s="1939"/>
      <c r="D77" s="815" t="s">
        <v>777</v>
      </c>
      <c r="E77" s="820" t="s">
        <v>448</v>
      </c>
      <c r="F77" s="820">
        <f>附表!N14*2+MAX(附表!G14*2,附表!J14*2)</f>
        <v>310</v>
      </c>
      <c r="G77" s="821" t="s">
        <v>778</v>
      </c>
      <c r="H77" s="568"/>
      <c r="I77" s="568"/>
      <c r="J77" s="568"/>
      <c r="K77" s="1936" t="s">
        <v>779</v>
      </c>
      <c r="L77" s="1936"/>
      <c r="M77" s="826" t="s">
        <v>780</v>
      </c>
      <c r="N77" s="835"/>
      <c r="O77" s="804"/>
      <c r="P77" s="804"/>
      <c r="Q77" s="804"/>
      <c r="R77" s="804"/>
      <c r="S77" s="804"/>
      <c r="T77" s="804"/>
    </row>
    <row r="78" spans="1:20" s="565" customFormat="1" ht="17.25" customHeight="1">
      <c r="A78" s="808">
        <v>76</v>
      </c>
      <c r="B78" s="1937" t="s">
        <v>781</v>
      </c>
      <c r="C78" s="1937"/>
      <c r="D78" s="568" t="s">
        <v>782</v>
      </c>
      <c r="E78" s="568" t="s">
        <v>438</v>
      </c>
      <c r="F78" s="568">
        <f>附表!N14*2+附表!K14*2</f>
        <v>260</v>
      </c>
      <c r="G78" s="819" t="s">
        <v>783</v>
      </c>
      <c r="H78" s="568"/>
      <c r="I78" s="568"/>
      <c r="J78" s="568"/>
      <c r="K78" s="1936" t="s">
        <v>784</v>
      </c>
      <c r="L78" s="1936"/>
      <c r="M78" s="826" t="s">
        <v>785</v>
      </c>
      <c r="N78" s="835"/>
      <c r="O78" s="804"/>
      <c r="P78" s="804"/>
      <c r="Q78" s="804"/>
      <c r="R78" s="804"/>
      <c r="S78" s="804"/>
      <c r="T78" s="804"/>
    </row>
    <row r="79" spans="1:20" s="565" customFormat="1" ht="17.25" customHeight="1">
      <c r="A79" s="813">
        <v>77</v>
      </c>
      <c r="B79" s="1938" t="s">
        <v>786</v>
      </c>
      <c r="C79" s="1939"/>
      <c r="D79" s="815" t="s">
        <v>562</v>
      </c>
      <c r="E79" s="820" t="s">
        <v>448</v>
      </c>
      <c r="F79" s="820">
        <f>附表!N14*2+MAX(附表!G14*2,附表!J14*2)</f>
        <v>310</v>
      </c>
      <c r="G79" s="821" t="s">
        <v>787</v>
      </c>
      <c r="H79" s="568"/>
      <c r="I79" s="568"/>
      <c r="J79" s="568"/>
      <c r="K79" s="1936" t="s">
        <v>788</v>
      </c>
      <c r="L79" s="1936"/>
      <c r="M79" s="826" t="s">
        <v>789</v>
      </c>
      <c r="N79" s="835"/>
      <c r="O79" s="804"/>
      <c r="P79" s="804"/>
      <c r="Q79" s="804"/>
      <c r="R79" s="804"/>
      <c r="S79" s="804"/>
      <c r="T79" s="804"/>
    </row>
    <row r="80" spans="1:20" s="565" customFormat="1" ht="18">
      <c r="A80" s="808">
        <v>78</v>
      </c>
      <c r="B80" s="1937" t="s">
        <v>790</v>
      </c>
      <c r="C80" s="1937"/>
      <c r="D80" s="568" t="s">
        <v>663</v>
      </c>
      <c r="E80" s="568" t="s">
        <v>454</v>
      </c>
      <c r="F80" s="568">
        <f>附表!N14*4</f>
        <v>260</v>
      </c>
      <c r="G80" s="819" t="s">
        <v>791</v>
      </c>
      <c r="H80" s="568"/>
      <c r="I80" s="568"/>
      <c r="J80" s="568"/>
      <c r="K80" s="1936" t="s">
        <v>792</v>
      </c>
      <c r="L80" s="1936"/>
      <c r="M80" s="826" t="s">
        <v>793</v>
      </c>
      <c r="N80" s="835"/>
      <c r="O80" s="804"/>
      <c r="P80" s="804"/>
      <c r="Q80" s="804"/>
      <c r="R80" s="804"/>
      <c r="S80" s="804"/>
      <c r="T80" s="804"/>
    </row>
    <row r="81" spans="1:20" s="565" customFormat="1" ht="16.5" customHeight="1">
      <c r="A81" s="813">
        <v>79</v>
      </c>
      <c r="B81" s="1938" t="s">
        <v>794</v>
      </c>
      <c r="C81" s="1939"/>
      <c r="D81" s="815" t="s">
        <v>505</v>
      </c>
      <c r="E81" s="820" t="s">
        <v>795</v>
      </c>
      <c r="F81" s="820">
        <f>附表!N14*2+MAX(附表!M14*2,附表!J14*2)</f>
        <v>280</v>
      </c>
      <c r="G81" s="821" t="s">
        <v>796</v>
      </c>
      <c r="H81" s="568"/>
      <c r="I81" s="568"/>
      <c r="J81" s="568"/>
      <c r="K81" s="1936" t="s">
        <v>797</v>
      </c>
      <c r="L81" s="1936"/>
      <c r="M81" s="826" t="s">
        <v>798</v>
      </c>
      <c r="N81" s="835"/>
      <c r="O81" s="804"/>
      <c r="P81" s="804"/>
      <c r="Q81" s="804"/>
      <c r="R81" s="804"/>
      <c r="S81" s="804"/>
      <c r="T81" s="804"/>
    </row>
    <row r="82" spans="1:20" s="565" customFormat="1" ht="18">
      <c r="A82" s="808">
        <v>80</v>
      </c>
      <c r="B82" s="1937" t="s">
        <v>799</v>
      </c>
      <c r="C82" s="1937"/>
      <c r="D82" s="568" t="s">
        <v>505</v>
      </c>
      <c r="E82" s="568" t="s">
        <v>454</v>
      </c>
      <c r="F82" s="568">
        <f>附表!N14*4</f>
        <v>260</v>
      </c>
      <c r="G82" s="819" t="s">
        <v>800</v>
      </c>
      <c r="H82" s="568"/>
      <c r="I82" s="568"/>
      <c r="J82" s="568"/>
      <c r="K82" s="1936" t="s">
        <v>801</v>
      </c>
      <c r="L82" s="1936"/>
      <c r="M82" s="826" t="s">
        <v>802</v>
      </c>
      <c r="N82" s="835"/>
      <c r="O82" s="804"/>
      <c r="P82" s="804"/>
      <c r="Q82" s="804"/>
      <c r="R82" s="804"/>
      <c r="S82" s="804"/>
      <c r="T82" s="804"/>
    </row>
    <row r="83" spans="1:20" s="565" customFormat="1" ht="16" customHeight="1">
      <c r="A83" s="813">
        <v>81</v>
      </c>
      <c r="B83" s="1938" t="s">
        <v>803</v>
      </c>
      <c r="C83" s="1939"/>
      <c r="D83" s="815" t="s">
        <v>804</v>
      </c>
      <c r="E83" s="820" t="s">
        <v>454</v>
      </c>
      <c r="F83" s="820">
        <f>附表!N14*4</f>
        <v>260</v>
      </c>
      <c r="G83" s="821" t="s">
        <v>805</v>
      </c>
      <c r="H83" s="568"/>
      <c r="I83" s="568"/>
      <c r="J83" s="568"/>
      <c r="K83" s="1936" t="s">
        <v>806</v>
      </c>
      <c r="L83" s="1936"/>
      <c r="M83" s="836" t="s">
        <v>807</v>
      </c>
      <c r="N83" s="835"/>
      <c r="O83" s="804"/>
      <c r="P83" s="804"/>
      <c r="Q83" s="804"/>
      <c r="R83" s="804"/>
      <c r="S83" s="804"/>
      <c r="T83" s="804"/>
    </row>
    <row r="84" spans="1:20" s="565" customFormat="1" ht="16.5" customHeight="1">
      <c r="A84" s="808">
        <v>82</v>
      </c>
      <c r="B84" s="1937" t="s">
        <v>808</v>
      </c>
      <c r="C84" s="1937"/>
      <c r="D84" s="568" t="s">
        <v>809</v>
      </c>
      <c r="E84" s="568" t="s">
        <v>448</v>
      </c>
      <c r="F84" s="568">
        <f>附表!N14*2+MAX(附表!G14*2,附表!J14*2)</f>
        <v>310</v>
      </c>
      <c r="G84" s="819" t="s">
        <v>810</v>
      </c>
      <c r="H84" s="802"/>
      <c r="I84" s="568"/>
      <c r="J84" s="568"/>
      <c r="K84" s="1936" t="s">
        <v>811</v>
      </c>
      <c r="L84" s="1936"/>
      <c r="M84" s="826" t="s">
        <v>812</v>
      </c>
      <c r="N84" s="835"/>
      <c r="O84" s="804"/>
      <c r="P84" s="804"/>
      <c r="Q84" s="804"/>
      <c r="R84" s="804"/>
      <c r="S84" s="804"/>
      <c r="T84" s="804"/>
    </row>
    <row r="85" spans="1:20" s="565" customFormat="1" ht="15" customHeight="1">
      <c r="A85" s="813">
        <v>83</v>
      </c>
      <c r="B85" s="1938" t="s">
        <v>813</v>
      </c>
      <c r="C85" s="1939"/>
      <c r="D85" s="815" t="s">
        <v>505</v>
      </c>
      <c r="E85" s="820" t="s">
        <v>454</v>
      </c>
      <c r="F85" s="820">
        <f>附表!N14*4</f>
        <v>260</v>
      </c>
      <c r="G85" s="821" t="s">
        <v>814</v>
      </c>
      <c r="H85" s="802"/>
      <c r="I85" s="568"/>
      <c r="J85" s="568"/>
      <c r="K85" s="1936" t="s">
        <v>815</v>
      </c>
      <c r="L85" s="1936"/>
      <c r="M85" s="836" t="s">
        <v>816</v>
      </c>
      <c r="N85" s="835"/>
      <c r="O85" s="804"/>
      <c r="P85" s="804"/>
      <c r="Q85" s="804"/>
      <c r="R85" s="804"/>
      <c r="S85" s="804"/>
      <c r="T85" s="804"/>
    </row>
    <row r="86" spans="1:20" s="565" customFormat="1" ht="18">
      <c r="A86" s="808">
        <v>84</v>
      </c>
      <c r="B86" s="1937" t="s">
        <v>817</v>
      </c>
      <c r="C86" s="1937"/>
      <c r="D86" s="568" t="s">
        <v>818</v>
      </c>
      <c r="E86" s="568" t="s">
        <v>454</v>
      </c>
      <c r="F86" s="568">
        <f>附表!N14*4</f>
        <v>260</v>
      </c>
      <c r="G86" s="819" t="s">
        <v>819</v>
      </c>
      <c r="H86" s="802"/>
      <c r="I86" s="568"/>
      <c r="J86" s="568"/>
      <c r="K86" s="1936" t="s">
        <v>820</v>
      </c>
      <c r="L86" s="1936"/>
      <c r="M86" s="826" t="s">
        <v>821</v>
      </c>
      <c r="N86" s="835"/>
      <c r="O86" s="804"/>
      <c r="P86" s="804"/>
      <c r="Q86" s="804"/>
      <c r="R86" s="804"/>
      <c r="S86" s="804"/>
      <c r="T86" s="804"/>
    </row>
    <row r="87" spans="1:20" s="565" customFormat="1" ht="18">
      <c r="A87" s="813">
        <v>85</v>
      </c>
      <c r="B87" s="1938" t="s">
        <v>822</v>
      </c>
      <c r="C87" s="1939"/>
      <c r="D87" s="815" t="s">
        <v>505</v>
      </c>
      <c r="E87" s="820" t="s">
        <v>454</v>
      </c>
      <c r="F87" s="820">
        <f>附表!N14*4</f>
        <v>260</v>
      </c>
      <c r="G87" s="821" t="s">
        <v>823</v>
      </c>
      <c r="H87" s="802"/>
      <c r="I87" s="568"/>
      <c r="J87" s="568"/>
      <c r="K87" s="1936" t="s">
        <v>824</v>
      </c>
      <c r="L87" s="1936"/>
      <c r="M87" s="826" t="s">
        <v>825</v>
      </c>
      <c r="N87" s="835"/>
      <c r="O87" s="804"/>
      <c r="P87" s="804"/>
      <c r="Q87" s="804"/>
      <c r="R87" s="804"/>
      <c r="S87" s="804"/>
      <c r="T87" s="804"/>
    </row>
    <row r="88" spans="1:20" s="565" customFormat="1" ht="18">
      <c r="A88" s="808">
        <v>86</v>
      </c>
      <c r="B88" s="1937" t="s">
        <v>826</v>
      </c>
      <c r="C88" s="1937"/>
      <c r="D88" s="568" t="s">
        <v>663</v>
      </c>
      <c r="E88" s="568" t="s">
        <v>454</v>
      </c>
      <c r="F88" s="568">
        <f>附表!N14*4</f>
        <v>260</v>
      </c>
      <c r="G88" s="819" t="s">
        <v>827</v>
      </c>
      <c r="H88" s="802"/>
      <c r="I88" s="568"/>
      <c r="J88" s="568"/>
      <c r="K88" s="1936" t="s">
        <v>828</v>
      </c>
      <c r="L88" s="1936"/>
      <c r="M88" s="826" t="s">
        <v>825</v>
      </c>
      <c r="N88" s="835"/>
      <c r="O88" s="804"/>
      <c r="P88" s="804"/>
      <c r="Q88" s="804"/>
      <c r="R88" s="804"/>
      <c r="S88" s="804"/>
      <c r="T88" s="804"/>
    </row>
    <row r="89" spans="1:20" s="565" customFormat="1" ht="16.5" customHeight="1">
      <c r="A89" s="813">
        <v>87</v>
      </c>
      <c r="B89" s="1938" t="s">
        <v>829</v>
      </c>
      <c r="C89" s="1939"/>
      <c r="D89" s="815" t="s">
        <v>777</v>
      </c>
      <c r="E89" s="820" t="s">
        <v>557</v>
      </c>
      <c r="F89" s="820">
        <f>附表!N14*2+附表!J14*2</f>
        <v>210</v>
      </c>
      <c r="G89" s="821" t="s">
        <v>830</v>
      </c>
      <c r="H89" s="802"/>
      <c r="I89" s="568"/>
      <c r="J89" s="568"/>
      <c r="K89" s="1936" t="s">
        <v>831</v>
      </c>
      <c r="L89" s="1936"/>
      <c r="M89" s="826" t="s">
        <v>832</v>
      </c>
      <c r="N89" s="835"/>
      <c r="O89" s="804"/>
      <c r="P89" s="804"/>
      <c r="Q89" s="804"/>
      <c r="R89" s="804"/>
      <c r="S89" s="804"/>
      <c r="T89" s="804"/>
    </row>
    <row r="90" spans="1:20" s="565" customFormat="1" ht="18">
      <c r="A90" s="808">
        <v>88</v>
      </c>
      <c r="B90" s="1937" t="s">
        <v>833</v>
      </c>
      <c r="C90" s="1937"/>
      <c r="D90" s="568" t="s">
        <v>562</v>
      </c>
      <c r="E90" s="568" t="s">
        <v>454</v>
      </c>
      <c r="F90" s="568">
        <f>附表!N14*4</f>
        <v>260</v>
      </c>
      <c r="G90" s="819" t="s">
        <v>834</v>
      </c>
      <c r="H90" s="802"/>
      <c r="I90" s="568"/>
      <c r="J90" s="568"/>
      <c r="K90" s="1936" t="s">
        <v>835</v>
      </c>
      <c r="L90" s="1936"/>
      <c r="M90" s="826" t="s">
        <v>836</v>
      </c>
      <c r="N90" s="835"/>
      <c r="O90" s="804"/>
      <c r="P90" s="804"/>
      <c r="Q90" s="804"/>
      <c r="R90" s="804"/>
      <c r="S90" s="804"/>
      <c r="T90" s="804"/>
    </row>
    <row r="91" spans="1:20" s="565" customFormat="1" ht="16.5" customHeight="1">
      <c r="A91" s="813">
        <v>89</v>
      </c>
      <c r="B91" s="1938" t="s">
        <v>837</v>
      </c>
      <c r="C91" s="1939"/>
      <c r="D91" s="815" t="s">
        <v>515</v>
      </c>
      <c r="E91" s="820" t="s">
        <v>448</v>
      </c>
      <c r="F91" s="820">
        <f>附表!N14*2+MAX(附表!G14*2,附表!J14*2)</f>
        <v>310</v>
      </c>
      <c r="G91" s="821" t="s">
        <v>838</v>
      </c>
      <c r="H91" s="802"/>
      <c r="I91" s="568"/>
      <c r="J91" s="568"/>
      <c r="K91" s="1936" t="s">
        <v>839</v>
      </c>
      <c r="L91" s="1936"/>
      <c r="M91" s="826" t="s">
        <v>840</v>
      </c>
      <c r="N91" s="835"/>
      <c r="O91" s="804"/>
      <c r="P91" s="804"/>
      <c r="Q91" s="804"/>
      <c r="R91" s="804"/>
      <c r="S91" s="804"/>
      <c r="T91" s="804"/>
    </row>
    <row r="92" spans="1:20" s="565" customFormat="1" ht="16.5" customHeight="1">
      <c r="A92" s="808">
        <v>90</v>
      </c>
      <c r="B92" s="1937" t="s">
        <v>841</v>
      </c>
      <c r="C92" s="1937"/>
      <c r="D92" s="568" t="s">
        <v>505</v>
      </c>
      <c r="E92" s="568" t="s">
        <v>448</v>
      </c>
      <c r="F92" s="568">
        <f>附表!N14*2+MAX(附表!G14*2,附表!J14*2)</f>
        <v>310</v>
      </c>
      <c r="G92" s="819" t="s">
        <v>842</v>
      </c>
      <c r="H92" s="802"/>
      <c r="I92" s="568"/>
      <c r="J92" s="568"/>
      <c r="K92" s="1936" t="s">
        <v>843</v>
      </c>
      <c r="L92" s="1936"/>
      <c r="M92" s="826" t="s">
        <v>844</v>
      </c>
      <c r="N92" s="835"/>
      <c r="O92" s="804"/>
      <c r="P92" s="804"/>
      <c r="Q92" s="804"/>
      <c r="R92" s="804"/>
      <c r="S92" s="804"/>
      <c r="T92" s="804"/>
    </row>
    <row r="93" spans="1:20" s="565" customFormat="1" ht="16.5" customHeight="1">
      <c r="A93" s="813">
        <v>91</v>
      </c>
      <c r="B93" s="1938" t="s">
        <v>845</v>
      </c>
      <c r="C93" s="1939"/>
      <c r="D93" s="815" t="s">
        <v>505</v>
      </c>
      <c r="E93" s="820" t="s">
        <v>448</v>
      </c>
      <c r="F93" s="820">
        <f>附表!N14*2+MAX(附表!G14*2,附表!J14*2)</f>
        <v>310</v>
      </c>
      <c r="G93" s="821" t="s">
        <v>846</v>
      </c>
      <c r="H93" s="802"/>
      <c r="I93" s="568"/>
      <c r="J93" s="568"/>
      <c r="K93" s="1936" t="s">
        <v>847</v>
      </c>
      <c r="L93" s="1936"/>
      <c r="M93" s="826" t="s">
        <v>848</v>
      </c>
      <c r="N93" s="835"/>
      <c r="O93" s="804"/>
      <c r="P93" s="804"/>
      <c r="Q93" s="804"/>
      <c r="R93" s="804"/>
      <c r="S93" s="804"/>
      <c r="T93" s="804"/>
    </row>
    <row r="94" spans="1:20" s="565" customFormat="1" ht="18">
      <c r="A94" s="808">
        <v>92</v>
      </c>
      <c r="B94" s="1937" t="s">
        <v>849</v>
      </c>
      <c r="C94" s="1937"/>
      <c r="D94" s="568" t="s">
        <v>777</v>
      </c>
      <c r="E94" s="568" t="s">
        <v>454</v>
      </c>
      <c r="F94" s="568">
        <f>附表!N14*4</f>
        <v>260</v>
      </c>
      <c r="G94" s="819" t="s">
        <v>850</v>
      </c>
      <c r="H94" s="802"/>
      <c r="I94" s="568"/>
      <c r="J94" s="568"/>
      <c r="K94" s="1936" t="s">
        <v>851</v>
      </c>
      <c r="L94" s="1936"/>
      <c r="M94" s="826" t="s">
        <v>852</v>
      </c>
      <c r="N94" s="835"/>
      <c r="O94" s="804"/>
      <c r="P94" s="804"/>
      <c r="Q94" s="804"/>
      <c r="R94" s="804"/>
      <c r="S94" s="804"/>
      <c r="T94" s="804"/>
    </row>
    <row r="95" spans="1:20" s="565" customFormat="1" ht="16.5" customHeight="1">
      <c r="A95" s="813">
        <v>93</v>
      </c>
      <c r="B95" s="1938" t="s">
        <v>853</v>
      </c>
      <c r="C95" s="1939"/>
      <c r="D95" s="815" t="s">
        <v>854</v>
      </c>
      <c r="E95" s="820" t="s">
        <v>448</v>
      </c>
      <c r="F95" s="820">
        <f>附表!N14*2+MAX(附表!G14*2,附表!J14*2)</f>
        <v>310</v>
      </c>
      <c r="G95" s="821" t="s">
        <v>855</v>
      </c>
      <c r="H95" s="802"/>
      <c r="I95" s="568"/>
      <c r="J95" s="568"/>
      <c r="K95" s="1936" t="s">
        <v>856</v>
      </c>
      <c r="L95" s="1936"/>
      <c r="M95" s="826" t="s">
        <v>857</v>
      </c>
      <c r="N95" s="835"/>
      <c r="O95" s="804"/>
      <c r="P95" s="804"/>
      <c r="Q95" s="804"/>
      <c r="R95" s="804"/>
      <c r="S95" s="804"/>
      <c r="T95" s="804"/>
    </row>
    <row r="96" spans="1:20" s="565" customFormat="1" ht="17.25" customHeight="1">
      <c r="A96" s="808">
        <v>94</v>
      </c>
      <c r="B96" s="1937" t="s">
        <v>858</v>
      </c>
      <c r="C96" s="1937"/>
      <c r="D96" s="568" t="s">
        <v>859</v>
      </c>
      <c r="E96" s="568" t="s">
        <v>438</v>
      </c>
      <c r="F96" s="568">
        <f>附表!N14*2+附表!K14*2</f>
        <v>260</v>
      </c>
      <c r="G96" s="819" t="s">
        <v>860</v>
      </c>
      <c r="H96" s="802"/>
      <c r="I96" s="568"/>
      <c r="J96" s="568"/>
      <c r="K96" s="1936" t="s">
        <v>861</v>
      </c>
      <c r="L96" s="1936"/>
      <c r="M96" s="826" t="s">
        <v>862</v>
      </c>
      <c r="N96" s="835"/>
      <c r="O96" s="804"/>
      <c r="P96" s="804"/>
      <c r="Q96" s="804"/>
      <c r="R96" s="804"/>
      <c r="S96" s="804"/>
      <c r="T96" s="804"/>
    </row>
    <row r="97" spans="1:20" s="565" customFormat="1" ht="18">
      <c r="A97" s="813">
        <v>95</v>
      </c>
      <c r="B97" s="1938" t="s">
        <v>863</v>
      </c>
      <c r="C97" s="1939"/>
      <c r="D97" s="815" t="s">
        <v>640</v>
      </c>
      <c r="E97" s="820" t="s">
        <v>454</v>
      </c>
      <c r="F97" s="820">
        <f>附表!N14*4</f>
        <v>260</v>
      </c>
      <c r="G97" s="821" t="s">
        <v>864</v>
      </c>
      <c r="H97" s="802"/>
      <c r="I97" s="568"/>
      <c r="J97" s="568"/>
      <c r="K97" s="1936" t="s">
        <v>865</v>
      </c>
      <c r="L97" s="1936"/>
      <c r="M97" s="826" t="s">
        <v>866</v>
      </c>
      <c r="N97" s="835"/>
      <c r="O97" s="804"/>
      <c r="P97" s="804"/>
      <c r="Q97" s="804"/>
      <c r="R97" s="804"/>
      <c r="S97" s="804"/>
      <c r="T97" s="804"/>
    </row>
    <row r="98" spans="1:20" s="565" customFormat="1" ht="18">
      <c r="A98" s="808">
        <v>96</v>
      </c>
      <c r="B98" s="1937" t="s">
        <v>867</v>
      </c>
      <c r="C98" s="1937"/>
      <c r="D98" s="568" t="s">
        <v>460</v>
      </c>
      <c r="E98" s="568" t="s">
        <v>454</v>
      </c>
      <c r="F98" s="568">
        <f>附表!N14*4</f>
        <v>260</v>
      </c>
      <c r="G98" s="819" t="s">
        <v>868</v>
      </c>
      <c r="H98" s="802"/>
      <c r="I98" s="568"/>
      <c r="J98" s="568"/>
      <c r="K98" s="1936" t="s">
        <v>869</v>
      </c>
      <c r="L98" s="1936"/>
      <c r="M98" s="826" t="s">
        <v>870</v>
      </c>
      <c r="N98" s="835"/>
      <c r="O98" s="804"/>
      <c r="P98" s="804"/>
      <c r="Q98" s="804"/>
      <c r="R98" s="804"/>
      <c r="S98" s="804"/>
      <c r="T98" s="804"/>
    </row>
    <row r="99" spans="1:20" s="565" customFormat="1" ht="18">
      <c r="A99" s="813">
        <v>97</v>
      </c>
      <c r="B99" s="1938" t="s">
        <v>871</v>
      </c>
      <c r="C99" s="1939"/>
      <c r="D99" s="815" t="s">
        <v>505</v>
      </c>
      <c r="E99" s="820" t="s">
        <v>454</v>
      </c>
      <c r="F99" s="820">
        <f>附表!N14*4</f>
        <v>260</v>
      </c>
      <c r="G99" s="821" t="s">
        <v>872</v>
      </c>
      <c r="H99" s="802"/>
      <c r="I99" s="568"/>
      <c r="J99" s="568"/>
      <c r="K99" s="1936" t="s">
        <v>873</v>
      </c>
      <c r="L99" s="1936"/>
      <c r="M99" s="826" t="s">
        <v>874</v>
      </c>
      <c r="N99" s="835"/>
      <c r="O99" s="804"/>
      <c r="P99" s="804"/>
      <c r="Q99" s="804"/>
      <c r="R99" s="804"/>
      <c r="S99" s="804"/>
      <c r="T99" s="804"/>
    </row>
    <row r="100" spans="1:20" s="565" customFormat="1" ht="18">
      <c r="A100" s="808">
        <v>98</v>
      </c>
      <c r="B100" s="1937" t="s">
        <v>875</v>
      </c>
      <c r="C100" s="1937"/>
      <c r="D100" s="568" t="s">
        <v>505</v>
      </c>
      <c r="E100" s="568" t="s">
        <v>454</v>
      </c>
      <c r="F100" s="568">
        <f>附表!N14*4</f>
        <v>260</v>
      </c>
      <c r="G100" s="819" t="s">
        <v>876</v>
      </c>
      <c r="H100" s="802"/>
      <c r="I100" s="568"/>
      <c r="J100" s="568"/>
      <c r="K100" s="1936" t="s">
        <v>877</v>
      </c>
      <c r="L100" s="1936"/>
      <c r="M100" s="826" t="s">
        <v>878</v>
      </c>
      <c r="N100" s="835"/>
      <c r="O100" s="804"/>
      <c r="P100" s="804"/>
      <c r="Q100" s="804"/>
      <c r="R100" s="804"/>
      <c r="S100" s="804"/>
      <c r="T100" s="804"/>
    </row>
    <row r="101" spans="1:20" s="565" customFormat="1" ht="18">
      <c r="A101" s="813">
        <v>99</v>
      </c>
      <c r="B101" s="1938" t="s">
        <v>879</v>
      </c>
      <c r="C101" s="1939"/>
      <c r="D101" s="815" t="s">
        <v>520</v>
      </c>
      <c r="E101" s="820" t="s">
        <v>454</v>
      </c>
      <c r="F101" s="820">
        <f>附表!N14*4</f>
        <v>260</v>
      </c>
      <c r="G101" s="821" t="s">
        <v>880</v>
      </c>
      <c r="H101" s="802"/>
      <c r="I101" s="568"/>
      <c r="J101" s="568"/>
      <c r="K101" s="1936" t="s">
        <v>881</v>
      </c>
      <c r="L101" s="1936"/>
      <c r="M101" s="826" t="s">
        <v>882</v>
      </c>
      <c r="N101" s="835"/>
      <c r="O101" s="804"/>
      <c r="P101" s="804"/>
      <c r="Q101" s="804"/>
      <c r="R101" s="804"/>
      <c r="S101" s="804"/>
      <c r="T101" s="804"/>
    </row>
    <row r="102" spans="1:20" s="565" customFormat="1" ht="17.25" customHeight="1">
      <c r="A102" s="808">
        <v>100</v>
      </c>
      <c r="B102" s="1937" t="s">
        <v>883</v>
      </c>
      <c r="C102" s="1937"/>
      <c r="D102" s="568" t="s">
        <v>437</v>
      </c>
      <c r="E102" s="568" t="s">
        <v>585</v>
      </c>
      <c r="F102" s="568">
        <f>附表!N14*2+附表!K14*2</f>
        <v>260</v>
      </c>
      <c r="G102" s="819" t="s">
        <v>884</v>
      </c>
      <c r="H102" s="802"/>
      <c r="I102" s="568"/>
      <c r="J102" s="568"/>
      <c r="K102" s="1936" t="s">
        <v>885</v>
      </c>
      <c r="L102" s="1936"/>
      <c r="M102" s="826" t="s">
        <v>886</v>
      </c>
      <c r="N102" s="835"/>
      <c r="O102" s="804"/>
      <c r="P102" s="804"/>
      <c r="Q102" s="804"/>
      <c r="R102" s="804"/>
      <c r="S102" s="804"/>
      <c r="T102" s="804"/>
    </row>
    <row r="103" spans="1:20" s="565" customFormat="1" ht="18">
      <c r="A103" s="813">
        <v>101</v>
      </c>
      <c r="B103" s="1938" t="s">
        <v>887</v>
      </c>
      <c r="C103" s="1939"/>
      <c r="D103" s="815" t="s">
        <v>488</v>
      </c>
      <c r="E103" s="820" t="s">
        <v>454</v>
      </c>
      <c r="F103" s="820">
        <f>附表!N14*4</f>
        <v>260</v>
      </c>
      <c r="G103" s="821" t="s">
        <v>888</v>
      </c>
      <c r="H103" s="802"/>
      <c r="I103" s="568"/>
      <c r="J103" s="568"/>
      <c r="K103" s="1936" t="s">
        <v>889</v>
      </c>
      <c r="L103" s="1936"/>
      <c r="M103" s="826" t="s">
        <v>890</v>
      </c>
      <c r="N103" s="835"/>
      <c r="O103" s="804"/>
      <c r="P103" s="804"/>
      <c r="Q103" s="804"/>
      <c r="R103" s="804"/>
      <c r="S103" s="804"/>
      <c r="T103" s="804"/>
    </row>
    <row r="104" spans="1:20" s="565" customFormat="1" ht="17.25" customHeight="1">
      <c r="A104" s="808">
        <v>102</v>
      </c>
      <c r="B104" s="1937" t="s">
        <v>891</v>
      </c>
      <c r="C104" s="1937"/>
      <c r="D104" s="568" t="s">
        <v>505</v>
      </c>
      <c r="E104" s="568" t="s">
        <v>892</v>
      </c>
      <c r="F104" s="568">
        <f>附表!N14*2+MAX(附表!J14*2,附表!K14*2)</f>
        <v>260</v>
      </c>
      <c r="G104" s="819" t="s">
        <v>893</v>
      </c>
      <c r="H104" s="802"/>
      <c r="I104" s="568"/>
      <c r="J104" s="568"/>
      <c r="K104" s="1936" t="s">
        <v>894</v>
      </c>
      <c r="L104" s="1936"/>
      <c r="M104" s="826" t="s">
        <v>895</v>
      </c>
      <c r="N104" s="835"/>
      <c r="O104" s="804"/>
      <c r="P104" s="804"/>
      <c r="Q104" s="804"/>
      <c r="R104" s="804"/>
      <c r="S104" s="804"/>
      <c r="T104" s="804"/>
    </row>
    <row r="105" spans="1:20" s="565" customFormat="1" ht="17.25" customHeight="1">
      <c r="A105" s="813">
        <v>103</v>
      </c>
      <c r="B105" s="1938" t="s">
        <v>896</v>
      </c>
      <c r="C105" s="1939"/>
      <c r="D105" s="815" t="s">
        <v>520</v>
      </c>
      <c r="E105" s="820" t="s">
        <v>708</v>
      </c>
      <c r="F105" s="820">
        <f>附表!N14*2+MAX(附表!J14*2,附表!K14*2)</f>
        <v>260</v>
      </c>
      <c r="G105" s="821" t="s">
        <v>897</v>
      </c>
      <c r="H105" s="802"/>
      <c r="I105" s="568"/>
      <c r="J105" s="568"/>
      <c r="K105" s="1936" t="s">
        <v>898</v>
      </c>
      <c r="L105" s="1936"/>
      <c r="M105" s="826" t="s">
        <v>899</v>
      </c>
      <c r="N105" s="835"/>
      <c r="O105" s="804"/>
      <c r="P105" s="804"/>
      <c r="Q105" s="804"/>
      <c r="R105" s="804"/>
      <c r="S105" s="804"/>
      <c r="T105" s="804"/>
    </row>
    <row r="106" spans="1:20" s="565" customFormat="1" ht="16.5" customHeight="1">
      <c r="A106" s="808">
        <v>104</v>
      </c>
      <c r="B106" s="1937" t="s">
        <v>900</v>
      </c>
      <c r="C106" s="1937"/>
      <c r="D106" s="568" t="s">
        <v>505</v>
      </c>
      <c r="E106" s="568" t="s">
        <v>448</v>
      </c>
      <c r="F106" s="568">
        <f>附表!N14*2+MAX(附表!G14*2,附表!J14*2)</f>
        <v>310</v>
      </c>
      <c r="G106" s="819" t="s">
        <v>901</v>
      </c>
      <c r="H106" s="802"/>
      <c r="I106" s="568"/>
      <c r="J106" s="568"/>
      <c r="K106" s="1936" t="s">
        <v>877</v>
      </c>
      <c r="L106" s="1936"/>
      <c r="M106" s="826" t="s">
        <v>902</v>
      </c>
      <c r="N106" s="835"/>
      <c r="O106" s="804"/>
      <c r="P106" s="804"/>
      <c r="Q106" s="804"/>
      <c r="R106" s="804"/>
      <c r="S106" s="804"/>
      <c r="T106" s="804"/>
    </row>
    <row r="107" spans="1:20" s="565" customFormat="1" ht="17.25" customHeight="1">
      <c r="A107" s="813">
        <v>105</v>
      </c>
      <c r="B107" s="1938" t="s">
        <v>903</v>
      </c>
      <c r="C107" s="1939"/>
      <c r="D107" s="815" t="s">
        <v>604</v>
      </c>
      <c r="E107" s="820" t="s">
        <v>609</v>
      </c>
      <c r="F107" s="820">
        <f>附表!N14*2+MAX(附表!J14*2,附表!K14*2)</f>
        <v>260</v>
      </c>
      <c r="G107" s="821" t="s">
        <v>904</v>
      </c>
      <c r="H107" s="802"/>
      <c r="I107" s="568"/>
      <c r="J107" s="568"/>
      <c r="K107" s="1936" t="s">
        <v>905</v>
      </c>
      <c r="L107" s="1936"/>
      <c r="M107" s="826" t="s">
        <v>906</v>
      </c>
      <c r="N107" s="835"/>
      <c r="O107" s="804"/>
      <c r="P107" s="804"/>
      <c r="Q107" s="804"/>
      <c r="R107" s="804"/>
      <c r="S107" s="804"/>
      <c r="T107" s="804"/>
    </row>
    <row r="108" spans="1:20" s="565" customFormat="1" ht="18">
      <c r="A108" s="808">
        <v>106</v>
      </c>
      <c r="B108" s="1937" t="s">
        <v>907</v>
      </c>
      <c r="C108" s="1937"/>
      <c r="D108" s="568" t="s">
        <v>908</v>
      </c>
      <c r="E108" s="568" t="s">
        <v>454</v>
      </c>
      <c r="F108" s="568">
        <f>附表!N14*4</f>
        <v>260</v>
      </c>
      <c r="G108" s="819" t="s">
        <v>909</v>
      </c>
      <c r="H108" s="802"/>
      <c r="I108" s="568"/>
      <c r="J108" s="568"/>
      <c r="K108" s="1936" t="s">
        <v>910</v>
      </c>
      <c r="L108" s="1936"/>
      <c r="M108" s="826" t="s">
        <v>911</v>
      </c>
      <c r="N108" s="835"/>
      <c r="O108" s="804"/>
      <c r="P108" s="804"/>
      <c r="Q108" s="804"/>
      <c r="R108" s="804"/>
      <c r="S108" s="804"/>
      <c r="T108" s="804"/>
    </row>
    <row r="109" spans="1:20" s="565" customFormat="1" ht="16.5" customHeight="1">
      <c r="A109" s="813">
        <v>107</v>
      </c>
      <c r="B109" s="1938" t="s">
        <v>912</v>
      </c>
      <c r="C109" s="1939"/>
      <c r="D109" s="815" t="s">
        <v>913</v>
      </c>
      <c r="E109" s="820" t="s">
        <v>448</v>
      </c>
      <c r="F109" s="820">
        <f>附表!N14*2+MAX(附表!G14*2,附表!J14*2)</f>
        <v>310</v>
      </c>
      <c r="G109" s="821" t="s">
        <v>914</v>
      </c>
      <c r="H109" s="802"/>
      <c r="I109" s="568"/>
      <c r="J109" s="568"/>
      <c r="K109" s="1936" t="s">
        <v>915</v>
      </c>
      <c r="L109" s="1936"/>
      <c r="M109" s="826" t="s">
        <v>916</v>
      </c>
      <c r="N109" s="835"/>
      <c r="O109" s="804"/>
      <c r="P109" s="804"/>
      <c r="Q109" s="804"/>
      <c r="R109" s="804"/>
      <c r="S109" s="804"/>
      <c r="T109" s="804"/>
    </row>
    <row r="110" spans="1:20" s="565" customFormat="1" ht="16.5" customHeight="1">
      <c r="A110" s="808">
        <v>108</v>
      </c>
      <c r="B110" s="1937" t="s">
        <v>917</v>
      </c>
      <c r="C110" s="1937"/>
      <c r="D110" s="568" t="s">
        <v>918</v>
      </c>
      <c r="E110" s="568" t="s">
        <v>448</v>
      </c>
      <c r="F110" s="568">
        <f>附表!N14*2+MAX(附表!G14*2,附表!J14*2)</f>
        <v>310</v>
      </c>
      <c r="G110" s="819" t="s">
        <v>919</v>
      </c>
      <c r="H110" s="802"/>
      <c r="I110" s="568"/>
      <c r="J110" s="568"/>
      <c r="K110" s="1936" t="s">
        <v>920</v>
      </c>
      <c r="L110" s="1936"/>
      <c r="M110" s="826" t="s">
        <v>921</v>
      </c>
      <c r="N110" s="835"/>
      <c r="O110" s="804"/>
      <c r="P110" s="804"/>
      <c r="Q110" s="804"/>
      <c r="R110" s="804"/>
      <c r="S110" s="804"/>
      <c r="T110" s="804"/>
    </row>
    <row r="111" spans="1:20" s="565" customFormat="1" ht="18">
      <c r="A111" s="813">
        <v>109</v>
      </c>
      <c r="B111" s="1938" t="s">
        <v>922</v>
      </c>
      <c r="C111" s="1939"/>
      <c r="D111" s="815" t="s">
        <v>520</v>
      </c>
      <c r="E111" s="820" t="s">
        <v>454</v>
      </c>
      <c r="F111" s="820">
        <f>附表!N14*4</f>
        <v>260</v>
      </c>
      <c r="G111" s="821" t="s">
        <v>923</v>
      </c>
      <c r="H111" s="802"/>
      <c r="I111" s="568"/>
      <c r="J111" s="568"/>
      <c r="K111" s="1936" t="s">
        <v>924</v>
      </c>
      <c r="L111" s="1936"/>
      <c r="M111" s="826" t="s">
        <v>925</v>
      </c>
      <c r="N111" s="835"/>
      <c r="O111" s="804"/>
      <c r="P111" s="804"/>
      <c r="Q111" s="804"/>
      <c r="R111" s="804"/>
      <c r="S111" s="804"/>
      <c r="T111" s="804"/>
    </row>
    <row r="112" spans="1:20" s="565" customFormat="1" ht="18">
      <c r="A112" s="808">
        <v>110</v>
      </c>
      <c r="B112" s="1937" t="s">
        <v>926</v>
      </c>
      <c r="C112" s="1937"/>
      <c r="D112" s="568" t="s">
        <v>859</v>
      </c>
      <c r="E112" s="568" t="s">
        <v>454</v>
      </c>
      <c r="F112" s="568">
        <f>附表!N14*4</f>
        <v>260</v>
      </c>
      <c r="G112" s="819" t="s">
        <v>927</v>
      </c>
      <c r="H112" s="802"/>
      <c r="I112" s="568"/>
      <c r="J112" s="568"/>
      <c r="K112" s="1936" t="s">
        <v>928</v>
      </c>
      <c r="L112" s="1936"/>
      <c r="M112" s="826" t="s">
        <v>929</v>
      </c>
      <c r="N112" s="835"/>
      <c r="O112" s="804"/>
      <c r="P112" s="804"/>
      <c r="Q112" s="804"/>
      <c r="R112" s="804"/>
      <c r="S112" s="804"/>
      <c r="T112" s="804"/>
    </row>
    <row r="113" spans="1:20" s="565" customFormat="1" ht="17.25" customHeight="1">
      <c r="A113" s="813">
        <v>111</v>
      </c>
      <c r="B113" s="1938" t="s">
        <v>930</v>
      </c>
      <c r="C113" s="1939"/>
      <c r="D113" s="815" t="s">
        <v>431</v>
      </c>
      <c r="E113" s="820" t="s">
        <v>726</v>
      </c>
      <c r="F113" s="820">
        <f>附表!N14*2+MAX(附表!J14*2,附表!K14*2)</f>
        <v>260</v>
      </c>
      <c r="G113" s="821" t="s">
        <v>931</v>
      </c>
      <c r="H113" s="802"/>
      <c r="I113" s="568"/>
      <c r="J113" s="568"/>
      <c r="K113" s="1936" t="s">
        <v>932</v>
      </c>
      <c r="L113" s="1936"/>
      <c r="M113" s="826" t="s">
        <v>933</v>
      </c>
      <c r="N113" s="835"/>
      <c r="O113" s="804"/>
      <c r="P113" s="804"/>
      <c r="Q113" s="804"/>
      <c r="R113" s="804"/>
      <c r="S113" s="804"/>
      <c r="T113" s="804"/>
    </row>
    <row r="114" spans="1:20" s="565" customFormat="1" ht="18">
      <c r="A114" s="808">
        <v>112</v>
      </c>
      <c r="B114" s="1937" t="s">
        <v>934</v>
      </c>
      <c r="C114" s="1937"/>
      <c r="D114" s="568" t="s">
        <v>431</v>
      </c>
      <c r="E114" s="568" t="s">
        <v>454</v>
      </c>
      <c r="F114" s="568">
        <f>附表!N14*4</f>
        <v>260</v>
      </c>
      <c r="G114" s="819" t="s">
        <v>935</v>
      </c>
      <c r="H114" s="802"/>
      <c r="I114" s="568"/>
      <c r="J114" s="568"/>
      <c r="K114" s="1936" t="s">
        <v>936</v>
      </c>
      <c r="L114" s="1936"/>
      <c r="M114" s="826" t="s">
        <v>937</v>
      </c>
      <c r="N114" s="835"/>
      <c r="O114" s="804"/>
      <c r="P114" s="804"/>
      <c r="Q114" s="804"/>
      <c r="R114" s="804"/>
      <c r="S114" s="804"/>
      <c r="T114" s="804"/>
    </row>
    <row r="115" spans="1:20" s="565" customFormat="1" ht="18">
      <c r="A115" s="813">
        <v>113</v>
      </c>
      <c r="B115" s="1938" t="s">
        <v>938</v>
      </c>
      <c r="C115" s="1939"/>
      <c r="D115" s="815" t="s">
        <v>939</v>
      </c>
      <c r="E115" s="820" t="s">
        <v>454</v>
      </c>
      <c r="F115" s="820">
        <f>附表!N14*4</f>
        <v>260</v>
      </c>
      <c r="G115" s="821" t="s">
        <v>940</v>
      </c>
      <c r="H115" s="802"/>
      <c r="I115" s="568"/>
      <c r="J115" s="568"/>
      <c r="K115" s="1936" t="s">
        <v>941</v>
      </c>
      <c r="L115" s="1936"/>
      <c r="M115" s="826" t="s">
        <v>942</v>
      </c>
      <c r="N115" s="835"/>
      <c r="O115" s="804"/>
      <c r="P115" s="804"/>
      <c r="Q115" s="804"/>
      <c r="R115" s="804"/>
      <c r="S115" s="804"/>
      <c r="T115" s="804"/>
    </row>
    <row r="116" spans="1:20" s="565" customFormat="1" ht="16.5" customHeight="1">
      <c r="A116" s="808">
        <v>114</v>
      </c>
      <c r="B116" s="1937" t="s">
        <v>943</v>
      </c>
      <c r="C116" s="1937"/>
      <c r="D116" s="568" t="s">
        <v>782</v>
      </c>
      <c r="E116" s="568" t="s">
        <v>461</v>
      </c>
      <c r="F116" s="568">
        <f>附表!N14*2+MAX(附表!K14*2,附表!M14*2)</f>
        <v>280</v>
      </c>
      <c r="G116" s="819" t="s">
        <v>944</v>
      </c>
      <c r="H116" s="802"/>
      <c r="I116" s="568"/>
      <c r="J116" s="568"/>
      <c r="K116" s="1936" t="s">
        <v>945</v>
      </c>
      <c r="L116" s="1936"/>
      <c r="M116" s="826" t="s">
        <v>946</v>
      </c>
      <c r="N116" s="835"/>
      <c r="O116" s="804"/>
      <c r="P116" s="804"/>
      <c r="Q116" s="804"/>
      <c r="R116" s="804"/>
      <c r="S116" s="804"/>
      <c r="T116" s="804"/>
    </row>
    <row r="117" spans="1:20" s="565" customFormat="1" ht="18">
      <c r="A117" s="839">
        <v>115</v>
      </c>
      <c r="B117" s="1949" t="s">
        <v>947</v>
      </c>
      <c r="C117" s="1950"/>
      <c r="D117" s="840" t="s">
        <v>437</v>
      </c>
      <c r="E117" s="844" t="s">
        <v>454</v>
      </c>
      <c r="F117" s="844">
        <f>附表!N14*4</f>
        <v>260</v>
      </c>
      <c r="G117" s="845" t="s">
        <v>948</v>
      </c>
      <c r="H117" s="802"/>
      <c r="I117" s="568"/>
      <c r="J117" s="568"/>
      <c r="K117" s="1936" t="s">
        <v>949</v>
      </c>
      <c r="L117" s="1936"/>
      <c r="M117" s="826" t="s">
        <v>950</v>
      </c>
      <c r="N117" s="835"/>
      <c r="O117" s="804"/>
      <c r="P117" s="804"/>
      <c r="Q117" s="804"/>
      <c r="R117" s="804"/>
      <c r="S117" s="804"/>
      <c r="T117" s="804"/>
    </row>
    <row r="118" spans="1:20" s="565" customFormat="1" ht="18">
      <c r="A118" s="566">
        <v>116</v>
      </c>
      <c r="B118" s="1951" t="s">
        <v>951</v>
      </c>
      <c r="C118" s="1951"/>
      <c r="D118" s="841" t="s">
        <v>668</v>
      </c>
      <c r="E118" s="846" t="s">
        <v>585</v>
      </c>
      <c r="F118" s="841">
        <f>附表!N14*2+附表!K14*2</f>
        <v>260</v>
      </c>
      <c r="G118" s="847" t="s">
        <v>952</v>
      </c>
      <c r="H118" s="1982" t="s">
        <v>953</v>
      </c>
      <c r="I118" s="1982"/>
      <c r="J118" s="568"/>
      <c r="K118" s="582" t="s">
        <v>954</v>
      </c>
      <c r="L118" s="804"/>
      <c r="M118" s="582" t="s">
        <v>955</v>
      </c>
      <c r="N118" s="804"/>
      <c r="O118" s="804"/>
      <c r="P118" s="804"/>
      <c r="Q118" s="804"/>
      <c r="R118" s="804"/>
      <c r="S118" s="804"/>
      <c r="T118" s="804"/>
    </row>
    <row r="119" spans="1:20" s="565" customFormat="1" ht="18">
      <c r="A119" s="842">
        <v>117</v>
      </c>
      <c r="B119" s="1952" t="s">
        <v>956</v>
      </c>
      <c r="C119" s="1953"/>
      <c r="D119" s="843" t="s">
        <v>431</v>
      </c>
      <c r="E119" s="820" t="s">
        <v>448</v>
      </c>
      <c r="F119" s="848">
        <f>附表!N14*2+MAX(附表!G14*2,附表!J14*2)</f>
        <v>310</v>
      </c>
      <c r="G119" s="821" t="s">
        <v>957</v>
      </c>
      <c r="H119" s="1982"/>
      <c r="I119" s="1982"/>
      <c r="J119" s="568"/>
      <c r="K119" s="582" t="s">
        <v>502</v>
      </c>
      <c r="L119" s="804"/>
      <c r="M119" s="582" t="s">
        <v>955</v>
      </c>
      <c r="N119" s="804"/>
      <c r="O119" s="804"/>
      <c r="P119" s="804"/>
      <c r="Q119" s="804"/>
      <c r="R119" s="804"/>
      <c r="S119" s="804"/>
      <c r="T119" s="804"/>
    </row>
    <row r="120" spans="1:20" s="565" customFormat="1" ht="18">
      <c r="A120" s="567">
        <v>118</v>
      </c>
      <c r="B120" s="1954" t="s">
        <v>958</v>
      </c>
      <c r="C120" s="1954"/>
      <c r="D120" s="565" t="s">
        <v>959</v>
      </c>
      <c r="E120" s="568" t="s">
        <v>448</v>
      </c>
      <c r="F120" s="565">
        <f>附表!N14*2+MAX(附表!G14*2,附表!J14*2)</f>
        <v>310</v>
      </c>
      <c r="G120" s="849" t="s">
        <v>960</v>
      </c>
      <c r="H120" s="1982"/>
      <c r="I120" s="1982"/>
      <c r="J120" s="568"/>
      <c r="K120" s="582" t="s">
        <v>961</v>
      </c>
      <c r="L120" s="804"/>
      <c r="M120" s="582" t="s">
        <v>962</v>
      </c>
      <c r="N120" s="804"/>
      <c r="O120" s="804"/>
      <c r="P120" s="804"/>
      <c r="Q120" s="804"/>
      <c r="R120" s="804"/>
      <c r="S120" s="804"/>
      <c r="T120" s="804"/>
    </row>
    <row r="121" spans="1:20" s="565" customFormat="1" ht="18">
      <c r="A121" s="842">
        <v>119</v>
      </c>
      <c r="B121" s="1952" t="s">
        <v>963</v>
      </c>
      <c r="C121" s="1953"/>
      <c r="D121" s="843" t="s">
        <v>425</v>
      </c>
      <c r="E121" s="820" t="s">
        <v>448</v>
      </c>
      <c r="F121" s="848">
        <f>附表!N14*2+MAX(附表!G14*2,附表!J14*2)</f>
        <v>310</v>
      </c>
      <c r="G121" s="821" t="s">
        <v>964</v>
      </c>
      <c r="H121" s="1982"/>
      <c r="I121" s="1982"/>
      <c r="J121" s="568"/>
      <c r="K121" s="582" t="s">
        <v>965</v>
      </c>
      <c r="L121" s="804"/>
      <c r="M121" s="582" t="s">
        <v>955</v>
      </c>
      <c r="N121" s="804"/>
      <c r="O121" s="804"/>
      <c r="P121" s="804"/>
      <c r="Q121" s="804"/>
      <c r="R121" s="804"/>
      <c r="S121" s="804"/>
      <c r="T121" s="804"/>
    </row>
    <row r="122" spans="1:20" s="565" customFormat="1" ht="18">
      <c r="A122" s="567">
        <v>120</v>
      </c>
      <c r="B122" s="1954" t="s">
        <v>966</v>
      </c>
      <c r="C122" s="1954"/>
      <c r="D122" s="565" t="s">
        <v>431</v>
      </c>
      <c r="E122" s="568" t="s">
        <v>448</v>
      </c>
      <c r="F122" s="565">
        <f>附表!N14*2+MAX(附表!G14*2,附表!J14*2)</f>
        <v>310</v>
      </c>
      <c r="G122" s="849" t="s">
        <v>967</v>
      </c>
      <c r="H122" s="1982"/>
      <c r="I122" s="1982"/>
      <c r="J122" s="568"/>
      <c r="K122" s="582" t="s">
        <v>968</v>
      </c>
      <c r="L122" s="804"/>
      <c r="M122" s="582" t="s">
        <v>962</v>
      </c>
      <c r="N122" s="804"/>
      <c r="O122" s="804"/>
      <c r="P122" s="804"/>
      <c r="Q122" s="804"/>
      <c r="R122" s="804"/>
      <c r="S122" s="804"/>
      <c r="T122" s="804"/>
    </row>
    <row r="123" spans="1:20" s="565" customFormat="1" ht="18">
      <c r="A123" s="842">
        <v>121</v>
      </c>
      <c r="B123" s="1952" t="s">
        <v>969</v>
      </c>
      <c r="C123" s="1953"/>
      <c r="D123" s="843" t="s">
        <v>745</v>
      </c>
      <c r="E123" s="820" t="s">
        <v>454</v>
      </c>
      <c r="F123" s="848">
        <f>附表!N14*4</f>
        <v>260</v>
      </c>
      <c r="G123" s="821" t="s">
        <v>970</v>
      </c>
      <c r="H123" s="1982"/>
      <c r="I123" s="1982"/>
      <c r="J123" s="568"/>
      <c r="K123" s="582" t="s">
        <v>971</v>
      </c>
      <c r="L123" s="804"/>
      <c r="M123" s="582" t="s">
        <v>962</v>
      </c>
      <c r="N123" s="804"/>
      <c r="O123" s="804"/>
      <c r="P123" s="804"/>
      <c r="Q123" s="804"/>
      <c r="R123" s="804"/>
      <c r="S123" s="804"/>
      <c r="T123" s="804"/>
    </row>
    <row r="124" spans="1:20" s="565" customFormat="1" ht="18">
      <c r="A124" s="567">
        <v>122</v>
      </c>
      <c r="B124" s="1954" t="s">
        <v>972</v>
      </c>
      <c r="C124" s="1954"/>
      <c r="D124" s="565" t="s">
        <v>745</v>
      </c>
      <c r="E124" s="568" t="s">
        <v>454</v>
      </c>
      <c r="F124" s="565">
        <f>附表!N14*4</f>
        <v>260</v>
      </c>
      <c r="G124" s="849" t="s">
        <v>973</v>
      </c>
      <c r="H124" s="1955" t="s">
        <v>974</v>
      </c>
      <c r="I124" s="1955"/>
      <c r="J124" s="568"/>
      <c r="K124" s="582" t="s">
        <v>975</v>
      </c>
      <c r="L124" s="804"/>
      <c r="M124" s="582" t="s">
        <v>962</v>
      </c>
      <c r="N124" s="804"/>
      <c r="O124" s="804"/>
      <c r="P124" s="804"/>
      <c r="Q124" s="804"/>
      <c r="R124" s="804"/>
      <c r="S124" s="804"/>
      <c r="T124" s="804"/>
    </row>
    <row r="125" spans="1:20" s="565" customFormat="1" ht="18">
      <c r="A125" s="842">
        <v>123</v>
      </c>
      <c r="B125" s="1952" t="s">
        <v>976</v>
      </c>
      <c r="C125" s="1953"/>
      <c r="D125" s="843" t="s">
        <v>777</v>
      </c>
      <c r="E125" s="820" t="s">
        <v>454</v>
      </c>
      <c r="F125" s="848">
        <f>附表!N14*4</f>
        <v>260</v>
      </c>
      <c r="G125" s="821" t="s">
        <v>977</v>
      </c>
      <c r="H125" s="1955" t="s">
        <v>978</v>
      </c>
      <c r="I125" s="1955"/>
      <c r="J125" s="568"/>
      <c r="K125" s="582" t="s">
        <v>541</v>
      </c>
      <c r="L125" s="804"/>
      <c r="M125" s="582" t="s">
        <v>962</v>
      </c>
      <c r="N125" s="804"/>
      <c r="O125" s="804"/>
      <c r="P125" s="804"/>
      <c r="Q125" s="804"/>
      <c r="R125" s="804"/>
      <c r="S125" s="804"/>
      <c r="T125" s="804"/>
    </row>
    <row r="126" spans="1:20" s="565" customFormat="1" ht="18">
      <c r="A126" s="567">
        <v>124</v>
      </c>
      <c r="B126" s="1954" t="s">
        <v>979</v>
      </c>
      <c r="C126" s="1954"/>
      <c r="D126" s="565" t="s">
        <v>530</v>
      </c>
      <c r="E126" s="568" t="s">
        <v>454</v>
      </c>
      <c r="F126" s="565">
        <f>附表!N14*4</f>
        <v>260</v>
      </c>
      <c r="G126" s="849" t="s">
        <v>539</v>
      </c>
      <c r="H126" s="802"/>
      <c r="I126" s="568"/>
      <c r="J126" s="568"/>
      <c r="K126" s="582" t="s">
        <v>541</v>
      </c>
      <c r="L126" s="804"/>
      <c r="M126" s="582" t="s">
        <v>962</v>
      </c>
      <c r="N126" s="804"/>
      <c r="O126" s="804"/>
      <c r="P126" s="804"/>
      <c r="Q126" s="804"/>
      <c r="R126" s="804"/>
      <c r="S126" s="804"/>
      <c r="T126" s="804"/>
    </row>
    <row r="127" spans="1:20" s="565" customFormat="1" ht="18">
      <c r="A127" s="842">
        <v>125</v>
      </c>
      <c r="B127" s="1952" t="s">
        <v>980</v>
      </c>
      <c r="C127" s="1953"/>
      <c r="D127" s="843" t="s">
        <v>530</v>
      </c>
      <c r="E127" s="820" t="s">
        <v>454</v>
      </c>
      <c r="F127" s="848">
        <f>附表!N14*4</f>
        <v>260</v>
      </c>
      <c r="G127" s="821" t="s">
        <v>981</v>
      </c>
      <c r="H127" s="802"/>
      <c r="I127" s="568"/>
      <c r="J127" s="568"/>
      <c r="K127" s="582" t="s">
        <v>982</v>
      </c>
      <c r="L127" s="804"/>
      <c r="M127" s="582" t="s">
        <v>962</v>
      </c>
      <c r="N127" s="804"/>
      <c r="O127" s="804"/>
      <c r="P127" s="804"/>
      <c r="Q127" s="804"/>
      <c r="R127" s="804"/>
      <c r="S127" s="804"/>
      <c r="T127" s="804"/>
    </row>
    <row r="128" spans="1:20" s="565" customFormat="1" ht="18">
      <c r="A128" s="567">
        <v>126</v>
      </c>
      <c r="B128" s="1954" t="s">
        <v>983</v>
      </c>
      <c r="C128" s="1954"/>
      <c r="D128" s="565" t="s">
        <v>425</v>
      </c>
      <c r="E128" s="568" t="s">
        <v>454</v>
      </c>
      <c r="F128" s="565">
        <f>附表!N14*4</f>
        <v>260</v>
      </c>
      <c r="G128" s="849" t="s">
        <v>984</v>
      </c>
      <c r="H128" s="802"/>
      <c r="I128" s="568"/>
      <c r="J128" s="568"/>
      <c r="K128" s="582" t="s">
        <v>985</v>
      </c>
      <c r="L128" s="804"/>
      <c r="M128" s="582" t="s">
        <v>962</v>
      </c>
      <c r="N128" s="804"/>
      <c r="O128" s="804"/>
      <c r="P128" s="804"/>
      <c r="Q128" s="804"/>
      <c r="R128" s="804"/>
      <c r="S128" s="804"/>
      <c r="T128" s="804"/>
    </row>
    <row r="129" spans="1:20" s="565" customFormat="1" ht="18">
      <c r="A129" s="842">
        <v>127</v>
      </c>
      <c r="B129" s="1952" t="s">
        <v>986</v>
      </c>
      <c r="C129" s="1953"/>
      <c r="D129" s="843" t="s">
        <v>782</v>
      </c>
      <c r="E129" s="820" t="s">
        <v>461</v>
      </c>
      <c r="F129" s="848">
        <f>附表!N14*2+MAX(附表!K14*2,附表!M14*2)</f>
        <v>280</v>
      </c>
      <c r="G129" s="821" t="s">
        <v>987</v>
      </c>
      <c r="H129" s="802"/>
      <c r="I129" s="568"/>
      <c r="J129" s="568"/>
      <c r="K129" s="582" t="s">
        <v>988</v>
      </c>
      <c r="L129" s="804"/>
      <c r="M129" s="582" t="s">
        <v>962</v>
      </c>
      <c r="N129" s="804"/>
      <c r="O129" s="804"/>
      <c r="P129" s="804"/>
      <c r="Q129" s="804"/>
      <c r="R129" s="804"/>
      <c r="S129" s="804"/>
      <c r="T129" s="804"/>
    </row>
    <row r="130" spans="1:20" s="565" customFormat="1" ht="18">
      <c r="A130" s="567">
        <v>128</v>
      </c>
      <c r="B130" s="1954" t="s">
        <v>989</v>
      </c>
      <c r="C130" s="1954"/>
      <c r="D130" s="565" t="s">
        <v>604</v>
      </c>
      <c r="E130" s="568" t="s">
        <v>454</v>
      </c>
      <c r="F130" s="565">
        <f>附表!N14*4</f>
        <v>260</v>
      </c>
      <c r="G130" s="849" t="s">
        <v>990</v>
      </c>
      <c r="H130" s="802"/>
      <c r="I130" s="568"/>
      <c r="J130" s="568"/>
      <c r="K130" s="582" t="s">
        <v>991</v>
      </c>
      <c r="L130" s="804"/>
      <c r="M130" s="582" t="s">
        <v>962</v>
      </c>
      <c r="N130" s="804"/>
      <c r="O130" s="804"/>
      <c r="P130" s="804"/>
      <c r="Q130" s="804"/>
      <c r="R130" s="804"/>
      <c r="S130" s="804"/>
      <c r="T130" s="804"/>
    </row>
    <row r="131" spans="1:20" s="565" customFormat="1" ht="18">
      <c r="A131" s="842">
        <v>129</v>
      </c>
      <c r="B131" s="1952" t="s">
        <v>992</v>
      </c>
      <c r="C131" s="1953"/>
      <c r="D131" s="843" t="s">
        <v>745</v>
      </c>
      <c r="E131" s="820" t="s">
        <v>993</v>
      </c>
      <c r="F131" s="848">
        <f>附表!N14*2+MAX(附表!J14*2,附表!K14*2)</f>
        <v>260</v>
      </c>
      <c r="G131" s="821" t="s">
        <v>994</v>
      </c>
      <c r="H131" s="802"/>
      <c r="I131" s="568"/>
      <c r="J131" s="568"/>
      <c r="K131" s="582" t="s">
        <v>995</v>
      </c>
      <c r="L131" s="804"/>
      <c r="M131" s="582" t="s">
        <v>962</v>
      </c>
      <c r="N131" s="804"/>
      <c r="O131" s="804"/>
      <c r="P131" s="804"/>
      <c r="Q131" s="804"/>
      <c r="R131" s="804"/>
      <c r="S131" s="804"/>
      <c r="T131" s="804"/>
    </row>
    <row r="132" spans="1:20" s="565" customFormat="1" ht="18">
      <c r="A132" s="567">
        <v>130</v>
      </c>
      <c r="B132" s="1954" t="s">
        <v>996</v>
      </c>
      <c r="C132" s="1954"/>
      <c r="D132" s="565" t="s">
        <v>745</v>
      </c>
      <c r="E132" s="568" t="s">
        <v>892</v>
      </c>
      <c r="F132" s="565">
        <f>附表!N14*2+MAX(附表!J14*2,附表!K14*2)</f>
        <v>260</v>
      </c>
      <c r="G132" s="849" t="s">
        <v>997</v>
      </c>
      <c r="H132" s="802"/>
      <c r="I132" s="568"/>
      <c r="J132" s="568"/>
      <c r="K132" s="582" t="s">
        <v>998</v>
      </c>
      <c r="L132" s="804"/>
      <c r="M132" s="582" t="s">
        <v>962</v>
      </c>
      <c r="N132" s="804"/>
      <c r="O132" s="804"/>
      <c r="P132" s="804"/>
      <c r="Q132" s="804"/>
      <c r="R132" s="804"/>
      <c r="S132" s="804"/>
      <c r="T132" s="804"/>
    </row>
    <row r="133" spans="1:20" s="565" customFormat="1" ht="18">
      <c r="A133" s="842">
        <v>131</v>
      </c>
      <c r="B133" s="1952" t="s">
        <v>999</v>
      </c>
      <c r="C133" s="1953"/>
      <c r="D133" s="843" t="s">
        <v>505</v>
      </c>
      <c r="E133" s="820" t="s">
        <v>557</v>
      </c>
      <c r="F133" s="848">
        <f>附表!N14*2+附表!J14*2</f>
        <v>210</v>
      </c>
      <c r="G133" s="821" t="s">
        <v>1000</v>
      </c>
      <c r="H133" s="802"/>
      <c r="I133" s="568"/>
      <c r="J133" s="568"/>
      <c r="K133" s="582" t="s">
        <v>1001</v>
      </c>
      <c r="L133" s="804"/>
      <c r="M133" s="582" t="s">
        <v>962</v>
      </c>
      <c r="N133" s="804"/>
      <c r="O133" s="804"/>
      <c r="P133" s="804"/>
      <c r="Q133" s="804"/>
      <c r="R133" s="804"/>
      <c r="S133" s="804"/>
      <c r="T133" s="804"/>
    </row>
    <row r="134" spans="1:20" s="565" customFormat="1" ht="18">
      <c r="A134" s="567">
        <v>132</v>
      </c>
      <c r="B134" s="1954" t="s">
        <v>1002</v>
      </c>
      <c r="C134" s="1954"/>
      <c r="D134" s="565" t="s">
        <v>425</v>
      </c>
      <c r="E134" s="568" t="s">
        <v>426</v>
      </c>
      <c r="F134" s="565">
        <f>附表!N14*4</f>
        <v>260</v>
      </c>
      <c r="G134" s="849" t="s">
        <v>1003</v>
      </c>
      <c r="H134" s="802"/>
      <c r="I134" s="568"/>
      <c r="J134" s="568"/>
      <c r="K134" s="582" t="s">
        <v>1004</v>
      </c>
      <c r="L134" s="804"/>
      <c r="M134" s="582" t="s">
        <v>962</v>
      </c>
      <c r="N134" s="804"/>
      <c r="O134" s="804"/>
      <c r="P134" s="804"/>
      <c r="Q134" s="804"/>
      <c r="R134" s="804"/>
      <c r="S134" s="804"/>
      <c r="T134" s="804"/>
    </row>
    <row r="135" spans="1:20" s="565" customFormat="1" ht="18">
      <c r="A135" s="842">
        <v>133</v>
      </c>
      <c r="B135" s="1952" t="s">
        <v>1005</v>
      </c>
      <c r="C135" s="1953"/>
      <c r="D135" s="843" t="s">
        <v>640</v>
      </c>
      <c r="E135" s="820" t="s">
        <v>454</v>
      </c>
      <c r="F135" s="848">
        <f>附表!N14*4</f>
        <v>260</v>
      </c>
      <c r="G135" s="821" t="s">
        <v>764</v>
      </c>
      <c r="H135" s="802"/>
      <c r="I135" s="568"/>
      <c r="J135" s="568"/>
      <c r="K135" s="582" t="s">
        <v>1004</v>
      </c>
      <c r="L135" s="804"/>
      <c r="M135" s="582" t="s">
        <v>962</v>
      </c>
      <c r="N135" s="804"/>
      <c r="O135" s="804"/>
      <c r="P135" s="804"/>
      <c r="Q135" s="804"/>
      <c r="R135" s="804"/>
      <c r="S135" s="804"/>
      <c r="T135" s="804"/>
    </row>
    <row r="136" spans="1:20" s="565" customFormat="1" ht="18">
      <c r="A136" s="567">
        <v>134</v>
      </c>
      <c r="B136" s="1954" t="s">
        <v>1006</v>
      </c>
      <c r="C136" s="1954"/>
      <c r="D136" s="565" t="s">
        <v>425</v>
      </c>
      <c r="E136" s="568" t="s">
        <v>454</v>
      </c>
      <c r="F136" s="565">
        <f>附表!N14*4</f>
        <v>260</v>
      </c>
      <c r="G136" s="849" t="s">
        <v>641</v>
      </c>
      <c r="H136" s="802"/>
      <c r="I136" s="568"/>
      <c r="J136" s="568"/>
      <c r="K136" s="582" t="s">
        <v>642</v>
      </c>
      <c r="L136" s="804"/>
      <c r="M136" s="582" t="s">
        <v>962</v>
      </c>
      <c r="N136" s="804"/>
      <c r="O136" s="804"/>
      <c r="P136" s="804"/>
      <c r="Q136" s="804"/>
      <c r="R136" s="804"/>
      <c r="S136" s="804"/>
      <c r="T136" s="804"/>
    </row>
    <row r="137" spans="1:20" s="565" customFormat="1" ht="18">
      <c r="A137" s="842">
        <v>135</v>
      </c>
      <c r="B137" s="1952" t="s">
        <v>1007</v>
      </c>
      <c r="C137" s="1953"/>
      <c r="D137" s="843" t="s">
        <v>745</v>
      </c>
      <c r="E137" s="820" t="s">
        <v>454</v>
      </c>
      <c r="F137" s="848">
        <f>附表!N14*4</f>
        <v>260</v>
      </c>
      <c r="G137" s="821" t="s">
        <v>641</v>
      </c>
      <c r="H137" s="802"/>
      <c r="I137" s="568"/>
      <c r="J137" s="568"/>
      <c r="K137" s="582" t="s">
        <v>642</v>
      </c>
      <c r="L137" s="804"/>
      <c r="M137" s="582" t="s">
        <v>962</v>
      </c>
      <c r="N137" s="804"/>
      <c r="O137" s="804"/>
      <c r="P137" s="804"/>
      <c r="Q137" s="804"/>
      <c r="R137" s="804"/>
      <c r="S137" s="804"/>
      <c r="T137" s="804"/>
    </row>
    <row r="138" spans="1:20" s="565" customFormat="1" ht="18">
      <c r="A138" s="567">
        <v>136</v>
      </c>
      <c r="B138" s="1954" t="s">
        <v>1008</v>
      </c>
      <c r="C138" s="1954"/>
      <c r="D138" s="565" t="s">
        <v>640</v>
      </c>
      <c r="E138" s="568" t="s">
        <v>454</v>
      </c>
      <c r="F138" s="565">
        <f>附表!N14*4</f>
        <v>260</v>
      </c>
      <c r="G138" s="849" t="s">
        <v>641</v>
      </c>
      <c r="H138" s="802"/>
      <c r="I138" s="568"/>
      <c r="J138" s="568"/>
      <c r="K138" s="582" t="s">
        <v>1009</v>
      </c>
      <c r="L138" s="804"/>
      <c r="M138" s="582" t="s">
        <v>962</v>
      </c>
      <c r="N138" s="804"/>
      <c r="O138" s="804"/>
      <c r="P138" s="804"/>
      <c r="Q138" s="804"/>
      <c r="R138" s="804"/>
      <c r="S138" s="804"/>
      <c r="T138" s="804"/>
    </row>
    <row r="139" spans="1:20" s="565" customFormat="1" ht="18">
      <c r="A139" s="842">
        <v>137</v>
      </c>
      <c r="B139" s="1952" t="s">
        <v>1010</v>
      </c>
      <c r="C139" s="1953"/>
      <c r="D139" s="843" t="s">
        <v>471</v>
      </c>
      <c r="E139" s="820" t="s">
        <v>557</v>
      </c>
      <c r="F139" s="848">
        <f>附表!N14*2+附表!J14*2</f>
        <v>210</v>
      </c>
      <c r="G139" s="821" t="s">
        <v>1011</v>
      </c>
      <c r="H139" s="802"/>
      <c r="I139" s="568"/>
      <c r="J139" s="568"/>
      <c r="K139" s="582" t="s">
        <v>1012</v>
      </c>
      <c r="L139" s="804"/>
      <c r="M139" s="582" t="s">
        <v>962</v>
      </c>
      <c r="N139" s="804"/>
      <c r="O139" s="804"/>
      <c r="P139" s="804"/>
      <c r="Q139" s="804"/>
      <c r="R139" s="804"/>
      <c r="S139" s="804"/>
      <c r="T139" s="804"/>
    </row>
    <row r="140" spans="1:20" s="565" customFormat="1" ht="18">
      <c r="A140" s="567">
        <v>138</v>
      </c>
      <c r="B140" s="1954" t="s">
        <v>1013</v>
      </c>
      <c r="C140" s="1954"/>
      <c r="D140" s="565" t="s">
        <v>505</v>
      </c>
      <c r="E140" s="568" t="s">
        <v>454</v>
      </c>
      <c r="F140" s="565">
        <f>附表!N14*4</f>
        <v>260</v>
      </c>
      <c r="G140" s="849" t="s">
        <v>1014</v>
      </c>
      <c r="H140" s="802"/>
      <c r="I140" s="568"/>
      <c r="J140" s="568"/>
      <c r="K140" s="582" t="s">
        <v>1015</v>
      </c>
      <c r="L140" s="804"/>
      <c r="M140" s="582" t="s">
        <v>962</v>
      </c>
      <c r="N140" s="804"/>
      <c r="O140" s="804"/>
      <c r="P140" s="804"/>
      <c r="Q140" s="804"/>
      <c r="R140" s="804"/>
      <c r="S140" s="804"/>
      <c r="T140" s="804"/>
    </row>
    <row r="141" spans="1:20" s="565" customFormat="1" ht="18">
      <c r="A141" s="842">
        <v>139</v>
      </c>
      <c r="B141" s="1952" t="s">
        <v>1016</v>
      </c>
      <c r="C141" s="1953"/>
      <c r="D141" s="843" t="s">
        <v>505</v>
      </c>
      <c r="E141" s="820" t="s">
        <v>795</v>
      </c>
      <c r="F141" s="848">
        <f>附表!N14*2+MAX(附表!J14*2,附表!M14*2)</f>
        <v>280</v>
      </c>
      <c r="G141" s="821" t="s">
        <v>1017</v>
      </c>
      <c r="H141" s="802"/>
      <c r="I141" s="568"/>
      <c r="J141" s="568"/>
      <c r="K141" s="582" t="s">
        <v>1018</v>
      </c>
      <c r="L141" s="804"/>
      <c r="M141" s="582" t="s">
        <v>962</v>
      </c>
      <c r="N141" s="804"/>
      <c r="O141" s="804"/>
      <c r="P141" s="804"/>
      <c r="Q141" s="804"/>
      <c r="R141" s="804"/>
      <c r="S141" s="804"/>
      <c r="T141" s="804"/>
    </row>
    <row r="142" spans="1:20" s="565" customFormat="1" ht="18">
      <c r="A142" s="567">
        <v>140</v>
      </c>
      <c r="B142" s="1954" t="s">
        <v>1019</v>
      </c>
      <c r="C142" s="1954"/>
      <c r="D142" s="565" t="s">
        <v>471</v>
      </c>
      <c r="E142" s="568" t="s">
        <v>454</v>
      </c>
      <c r="F142" s="565">
        <f>附表!N14*4</f>
        <v>260</v>
      </c>
      <c r="G142" s="849" t="s">
        <v>1020</v>
      </c>
      <c r="H142" s="802"/>
      <c r="I142" s="568"/>
      <c r="J142" s="568"/>
      <c r="K142" s="582" t="s">
        <v>1021</v>
      </c>
      <c r="L142" s="804"/>
      <c r="M142" s="582" t="s">
        <v>962</v>
      </c>
      <c r="N142" s="804"/>
      <c r="O142" s="804"/>
      <c r="P142" s="804"/>
      <c r="Q142" s="804"/>
      <c r="R142" s="804"/>
      <c r="S142" s="804"/>
      <c r="T142" s="804"/>
    </row>
    <row r="143" spans="1:20" s="565" customFormat="1" ht="18">
      <c r="A143" s="842">
        <v>141</v>
      </c>
      <c r="B143" s="1952" t="s">
        <v>1022</v>
      </c>
      <c r="C143" s="1953"/>
      <c r="D143" s="843" t="s">
        <v>777</v>
      </c>
      <c r="E143" s="820" t="s">
        <v>448</v>
      </c>
      <c r="F143" s="848">
        <f>附表!N14*2+MAX(附表!G14*2,附表!J14*2)</f>
        <v>310</v>
      </c>
      <c r="G143" s="821" t="s">
        <v>1023</v>
      </c>
      <c r="H143" s="802"/>
      <c r="I143" s="568"/>
      <c r="J143" s="568"/>
      <c r="K143" s="582" t="s">
        <v>1024</v>
      </c>
      <c r="L143" s="804"/>
      <c r="M143" s="582" t="s">
        <v>962</v>
      </c>
      <c r="N143" s="804"/>
      <c r="O143" s="804"/>
      <c r="P143" s="804"/>
      <c r="Q143" s="804"/>
      <c r="R143" s="804"/>
      <c r="S143" s="804"/>
      <c r="T143" s="804"/>
    </row>
    <row r="144" spans="1:20" s="565" customFormat="1" ht="18">
      <c r="A144" s="567">
        <v>142</v>
      </c>
      <c r="B144" s="1954" t="s">
        <v>1025</v>
      </c>
      <c r="C144" s="1954"/>
      <c r="D144" s="565" t="s">
        <v>1026</v>
      </c>
      <c r="E144" s="568" t="s">
        <v>448</v>
      </c>
      <c r="F144" s="565">
        <f>附表!N14*2+MAX(附表!G14*2,附表!J14*2)</f>
        <v>310</v>
      </c>
      <c r="G144" s="849" t="s">
        <v>1027</v>
      </c>
      <c r="H144" s="802"/>
      <c r="I144" s="568"/>
      <c r="J144" s="568"/>
      <c r="K144" s="582" t="s">
        <v>1028</v>
      </c>
      <c r="L144" s="804"/>
      <c r="M144" s="582" t="s">
        <v>962</v>
      </c>
      <c r="N144" s="804"/>
      <c r="O144" s="804"/>
      <c r="P144" s="804"/>
      <c r="Q144" s="804"/>
      <c r="R144" s="804"/>
      <c r="S144" s="804"/>
      <c r="T144" s="804"/>
    </row>
    <row r="145" spans="1:20" s="565" customFormat="1" ht="18">
      <c r="A145" s="842">
        <v>143</v>
      </c>
      <c r="B145" s="1952" t="s">
        <v>1029</v>
      </c>
      <c r="C145" s="1953"/>
      <c r="D145" s="843" t="s">
        <v>505</v>
      </c>
      <c r="E145" s="820" t="s">
        <v>795</v>
      </c>
      <c r="F145" s="848">
        <f>附表!N14*2+MAX(附表!M14*2,附表!J14*2)</f>
        <v>280</v>
      </c>
      <c r="G145" s="821" t="s">
        <v>1030</v>
      </c>
      <c r="H145" s="802"/>
      <c r="I145" s="568"/>
      <c r="J145" s="568"/>
      <c r="K145" s="582" t="s">
        <v>1031</v>
      </c>
      <c r="L145" s="804"/>
      <c r="M145" s="582" t="s">
        <v>962</v>
      </c>
      <c r="N145" s="804"/>
      <c r="O145" s="804"/>
      <c r="P145" s="804"/>
      <c r="Q145" s="804"/>
      <c r="R145" s="804"/>
      <c r="S145" s="804"/>
      <c r="T145" s="804"/>
    </row>
    <row r="146" spans="1:20" s="565" customFormat="1" ht="18">
      <c r="A146" s="567">
        <v>144</v>
      </c>
      <c r="B146" s="1954" t="s">
        <v>1032</v>
      </c>
      <c r="C146" s="1954"/>
      <c r="D146" s="565" t="s">
        <v>425</v>
      </c>
      <c r="E146" s="568" t="s">
        <v>580</v>
      </c>
      <c r="F146" s="565">
        <f>附表!N14*2+附表!J14*2</f>
        <v>210</v>
      </c>
      <c r="G146" s="849" t="s">
        <v>1033</v>
      </c>
      <c r="H146" s="802"/>
      <c r="I146" s="568"/>
      <c r="J146" s="568"/>
      <c r="K146" s="582" t="s">
        <v>1034</v>
      </c>
      <c r="L146" s="804"/>
      <c r="M146" s="582" t="s">
        <v>962</v>
      </c>
      <c r="N146" s="804"/>
      <c r="O146" s="804"/>
      <c r="P146" s="804"/>
      <c r="Q146" s="804"/>
      <c r="R146" s="804"/>
      <c r="S146" s="804"/>
      <c r="T146" s="804"/>
    </row>
    <row r="147" spans="1:20" s="565" customFormat="1" ht="18">
      <c r="A147" s="842">
        <v>145</v>
      </c>
      <c r="B147" s="1952" t="s">
        <v>1035</v>
      </c>
      <c r="C147" s="1953"/>
      <c r="D147" s="843" t="s">
        <v>745</v>
      </c>
      <c r="E147" s="820" t="s">
        <v>454</v>
      </c>
      <c r="F147" s="848">
        <f>附表!N14*4</f>
        <v>260</v>
      </c>
      <c r="G147" s="821" t="s">
        <v>1036</v>
      </c>
      <c r="H147" s="802"/>
      <c r="I147" s="568"/>
      <c r="J147" s="568"/>
      <c r="K147" s="582" t="s">
        <v>1037</v>
      </c>
      <c r="L147" s="804"/>
      <c r="M147" s="582" t="s">
        <v>962</v>
      </c>
      <c r="N147" s="804"/>
      <c r="O147" s="804"/>
      <c r="P147" s="804"/>
      <c r="Q147" s="804"/>
      <c r="R147" s="804"/>
      <c r="S147" s="804"/>
      <c r="T147" s="804"/>
    </row>
    <row r="148" spans="1:20" s="565" customFormat="1" ht="18">
      <c r="A148" s="567">
        <v>146</v>
      </c>
      <c r="B148" s="1954" t="s">
        <v>1038</v>
      </c>
      <c r="C148" s="1954"/>
      <c r="D148" s="565" t="s">
        <v>437</v>
      </c>
      <c r="E148" s="568" t="s">
        <v>585</v>
      </c>
      <c r="F148" s="565">
        <f>附表!N14*2+附表!K14*2</f>
        <v>260</v>
      </c>
      <c r="G148" s="849" t="s">
        <v>884</v>
      </c>
      <c r="H148" s="802"/>
      <c r="I148" s="568"/>
      <c r="J148" s="568"/>
      <c r="K148" s="582" t="s">
        <v>1039</v>
      </c>
      <c r="L148" s="804"/>
      <c r="M148" s="582" t="s">
        <v>962</v>
      </c>
      <c r="N148" s="804"/>
      <c r="O148" s="804"/>
      <c r="P148" s="804"/>
      <c r="Q148" s="804"/>
      <c r="R148" s="804"/>
      <c r="S148" s="804"/>
      <c r="T148" s="804"/>
    </row>
    <row r="149" spans="1:20" s="565" customFormat="1" ht="18">
      <c r="A149" s="842">
        <v>147</v>
      </c>
      <c r="B149" s="1952" t="s">
        <v>1040</v>
      </c>
      <c r="C149" s="1953"/>
      <c r="D149" s="843" t="s">
        <v>505</v>
      </c>
      <c r="E149" s="820" t="s">
        <v>438</v>
      </c>
      <c r="F149" s="848">
        <f>附表!N14*2+附表!K14*2</f>
        <v>260</v>
      </c>
      <c r="G149" s="821" t="s">
        <v>1041</v>
      </c>
      <c r="H149" s="802"/>
      <c r="I149" s="568"/>
      <c r="J149" s="568"/>
      <c r="K149" s="582" t="s">
        <v>1012</v>
      </c>
      <c r="L149" s="804"/>
      <c r="M149" s="582" t="s">
        <v>962</v>
      </c>
      <c r="N149" s="804"/>
      <c r="O149" s="804"/>
      <c r="P149" s="804"/>
      <c r="Q149" s="804"/>
      <c r="R149" s="804"/>
      <c r="S149" s="804"/>
      <c r="T149" s="804"/>
    </row>
    <row r="150" spans="1:20" s="565" customFormat="1" ht="18">
      <c r="A150" s="567">
        <v>148</v>
      </c>
      <c r="B150" s="1954" t="s">
        <v>1042</v>
      </c>
      <c r="C150" s="1954"/>
      <c r="D150" s="565" t="s">
        <v>959</v>
      </c>
      <c r="E150" s="568" t="s">
        <v>454</v>
      </c>
      <c r="F150" s="565">
        <f>附表!N14*4</f>
        <v>260</v>
      </c>
      <c r="G150" s="849" t="s">
        <v>1043</v>
      </c>
      <c r="H150" s="802"/>
      <c r="I150" s="568"/>
      <c r="J150" s="568"/>
      <c r="K150" s="582" t="s">
        <v>1044</v>
      </c>
      <c r="L150" s="804"/>
      <c r="M150" s="582" t="s">
        <v>962</v>
      </c>
      <c r="N150" s="804"/>
      <c r="O150" s="804"/>
      <c r="P150" s="804"/>
      <c r="Q150" s="804"/>
      <c r="R150" s="804"/>
      <c r="S150" s="804"/>
      <c r="T150" s="804"/>
    </row>
    <row r="151" spans="1:20" s="565" customFormat="1" ht="18">
      <c r="A151" s="842">
        <v>149</v>
      </c>
      <c r="B151" s="1952" t="s">
        <v>1045</v>
      </c>
      <c r="C151" s="1953"/>
      <c r="D151" s="843" t="s">
        <v>431</v>
      </c>
      <c r="E151" s="820" t="s">
        <v>448</v>
      </c>
      <c r="F151" s="848">
        <f>附表!N14*2+MAX(附表!G14*2,附表!J14*2)</f>
        <v>310</v>
      </c>
      <c r="G151" s="821" t="s">
        <v>1046</v>
      </c>
      <c r="H151" s="802"/>
      <c r="I151" s="568"/>
      <c r="J151" s="568"/>
      <c r="K151" s="582" t="s">
        <v>1047</v>
      </c>
      <c r="L151" s="804"/>
      <c r="M151" s="582" t="s">
        <v>962</v>
      </c>
      <c r="N151" s="804"/>
      <c r="O151" s="804"/>
      <c r="P151" s="804"/>
      <c r="Q151" s="804"/>
      <c r="R151" s="804"/>
      <c r="S151" s="804"/>
      <c r="T151" s="804"/>
    </row>
    <row r="152" spans="1:20" s="565" customFormat="1" ht="18">
      <c r="A152" s="567">
        <v>150</v>
      </c>
      <c r="B152" s="1954" t="s">
        <v>1048</v>
      </c>
      <c r="C152" s="1954"/>
      <c r="D152" s="565" t="s">
        <v>1049</v>
      </c>
      <c r="E152" s="568" t="s">
        <v>454</v>
      </c>
      <c r="F152" s="565">
        <f>附表!N14*4</f>
        <v>260</v>
      </c>
      <c r="G152" s="849" t="s">
        <v>1050</v>
      </c>
      <c r="H152" s="802"/>
      <c r="I152" s="568"/>
      <c r="J152" s="568"/>
      <c r="K152" s="582" t="s">
        <v>1051</v>
      </c>
      <c r="L152" s="804"/>
      <c r="M152" s="582" t="s">
        <v>962</v>
      </c>
      <c r="N152" s="804"/>
      <c r="O152" s="804"/>
      <c r="P152" s="804"/>
      <c r="Q152" s="804"/>
      <c r="R152" s="804"/>
      <c r="S152" s="804"/>
      <c r="T152" s="804"/>
    </row>
    <row r="153" spans="1:20" s="565" customFormat="1" ht="18">
      <c r="A153" s="842">
        <v>151</v>
      </c>
      <c r="B153" s="1952" t="s">
        <v>1052</v>
      </c>
      <c r="C153" s="1953"/>
      <c r="D153" s="843" t="s">
        <v>604</v>
      </c>
      <c r="E153" s="820" t="s">
        <v>454</v>
      </c>
      <c r="F153" s="848">
        <f>附表!N14*4</f>
        <v>260</v>
      </c>
      <c r="G153" s="821" t="s">
        <v>1053</v>
      </c>
      <c r="H153" s="802"/>
      <c r="I153" s="568"/>
      <c r="J153" s="568"/>
      <c r="K153" s="582" t="s">
        <v>1054</v>
      </c>
      <c r="L153" s="804"/>
      <c r="M153" s="582" t="s">
        <v>962</v>
      </c>
      <c r="N153" s="804"/>
      <c r="O153" s="804"/>
      <c r="P153" s="804"/>
      <c r="Q153" s="804"/>
      <c r="R153" s="804"/>
      <c r="S153" s="804"/>
      <c r="T153" s="804"/>
    </row>
    <row r="154" spans="1:20" s="565" customFormat="1" ht="18">
      <c r="A154" s="567">
        <v>152</v>
      </c>
      <c r="B154" s="1954" t="s">
        <v>1055</v>
      </c>
      <c r="C154" s="1954"/>
      <c r="D154" s="565" t="s">
        <v>515</v>
      </c>
      <c r="E154" s="568" t="s">
        <v>454</v>
      </c>
      <c r="F154" s="565">
        <f>附表!N14*4</f>
        <v>260</v>
      </c>
      <c r="G154" s="849" t="s">
        <v>1056</v>
      </c>
      <c r="H154" s="802"/>
      <c r="I154" s="568"/>
      <c r="J154" s="568"/>
      <c r="K154" s="582" t="s">
        <v>1057</v>
      </c>
      <c r="L154" s="804"/>
      <c r="M154" s="582" t="s">
        <v>962</v>
      </c>
      <c r="N154" s="804"/>
      <c r="O154" s="804"/>
      <c r="P154" s="804"/>
      <c r="Q154" s="804"/>
      <c r="R154" s="804"/>
      <c r="S154" s="804"/>
      <c r="T154" s="804"/>
    </row>
    <row r="155" spans="1:20" s="565" customFormat="1" ht="18">
      <c r="A155" s="842">
        <v>153</v>
      </c>
      <c r="B155" s="1952" t="s">
        <v>1058</v>
      </c>
      <c r="C155" s="1953"/>
      <c r="D155" s="843" t="s">
        <v>505</v>
      </c>
      <c r="E155" s="820" t="s">
        <v>454</v>
      </c>
      <c r="F155" s="848">
        <f>附表!N14*4</f>
        <v>260</v>
      </c>
      <c r="G155" s="821" t="s">
        <v>1059</v>
      </c>
      <c r="H155" s="802"/>
      <c r="I155" s="568"/>
      <c r="J155" s="568"/>
      <c r="K155" s="582" t="s">
        <v>1060</v>
      </c>
      <c r="L155" s="804"/>
      <c r="M155" s="582" t="s">
        <v>962</v>
      </c>
      <c r="N155" s="804"/>
      <c r="O155" s="804"/>
      <c r="P155" s="804"/>
      <c r="Q155" s="804"/>
      <c r="R155" s="804"/>
      <c r="S155" s="804"/>
      <c r="T155" s="804"/>
    </row>
    <row r="156" spans="1:20" s="565" customFormat="1" ht="14" customHeight="1">
      <c r="A156" s="567">
        <v>154</v>
      </c>
      <c r="B156" s="1954" t="s">
        <v>1061</v>
      </c>
      <c r="C156" s="1954"/>
      <c r="D156" s="565" t="s">
        <v>562</v>
      </c>
      <c r="E156" s="568" t="s">
        <v>454</v>
      </c>
      <c r="F156" s="565">
        <f>附表!N14*4</f>
        <v>260</v>
      </c>
      <c r="G156" s="849" t="s">
        <v>1062</v>
      </c>
      <c r="H156" s="802"/>
      <c r="I156" s="568"/>
      <c r="J156" s="568"/>
      <c r="K156" s="587" t="s">
        <v>1063</v>
      </c>
      <c r="L156" s="804"/>
      <c r="M156" s="582" t="s">
        <v>962</v>
      </c>
      <c r="N156" s="804"/>
      <c r="O156" s="804"/>
      <c r="P156" s="804"/>
      <c r="Q156" s="804"/>
      <c r="R156" s="804"/>
      <c r="S156" s="804"/>
      <c r="T156" s="804"/>
    </row>
    <row r="157" spans="1:20" s="565" customFormat="1" ht="18">
      <c r="A157" s="842">
        <v>155</v>
      </c>
      <c r="B157" s="1952" t="s">
        <v>1064</v>
      </c>
      <c r="C157" s="1953"/>
      <c r="D157" s="843" t="s">
        <v>505</v>
      </c>
      <c r="E157" s="820" t="s">
        <v>454</v>
      </c>
      <c r="F157" s="848">
        <f>附表!N14*4</f>
        <v>260</v>
      </c>
      <c r="G157" s="821" t="s">
        <v>1065</v>
      </c>
      <c r="H157" s="802"/>
      <c r="I157" s="568"/>
      <c r="J157" s="568"/>
      <c r="K157" s="582" t="s">
        <v>1066</v>
      </c>
      <c r="L157" s="804"/>
      <c r="M157" s="582" t="s">
        <v>962</v>
      </c>
      <c r="N157" s="804"/>
      <c r="O157" s="1956" t="s">
        <v>1067</v>
      </c>
      <c r="P157" s="1957"/>
      <c r="Q157" s="866" t="s">
        <v>1068</v>
      </c>
      <c r="R157" s="804"/>
      <c r="S157" s="804"/>
      <c r="T157" s="804"/>
    </row>
    <row r="158" spans="1:20" s="565" customFormat="1" ht="18">
      <c r="A158" s="571">
        <v>156</v>
      </c>
      <c r="B158" s="1958" t="s">
        <v>1069</v>
      </c>
      <c r="C158" s="1958"/>
      <c r="D158" s="570" t="s">
        <v>505</v>
      </c>
      <c r="E158" s="854" t="s">
        <v>448</v>
      </c>
      <c r="F158" s="570">
        <f>附表!N14*2+MAX(附表!G14*2,附表!J14*2)</f>
        <v>310</v>
      </c>
      <c r="G158" s="855" t="s">
        <v>1070</v>
      </c>
      <c r="H158" s="802"/>
      <c r="I158" s="568"/>
      <c r="J158" s="568"/>
      <c r="K158" s="582" t="s">
        <v>1071</v>
      </c>
      <c r="L158" s="804"/>
      <c r="M158" s="582" t="s">
        <v>962</v>
      </c>
      <c r="N158" s="804"/>
      <c r="O158" s="1959" t="s">
        <v>1072</v>
      </c>
      <c r="P158" s="1960"/>
      <c r="Q158" s="867" t="s">
        <v>1073</v>
      </c>
      <c r="R158" s="804"/>
      <c r="S158" s="804"/>
      <c r="T158" s="804"/>
    </row>
    <row r="159" spans="1:20" s="565" customFormat="1" ht="18">
      <c r="A159" s="850">
        <v>157</v>
      </c>
      <c r="B159" s="1961" t="s">
        <v>1074</v>
      </c>
      <c r="C159" s="1962"/>
      <c r="D159" s="851" t="s">
        <v>515</v>
      </c>
      <c r="E159" s="856" t="s">
        <v>448</v>
      </c>
      <c r="F159" s="857">
        <f>附表!N14*2+MAX(附表!G14*2,附表!J14*2)</f>
        <v>310</v>
      </c>
      <c r="G159" s="858" t="s">
        <v>1075</v>
      </c>
      <c r="H159" s="1982" t="s">
        <v>1076</v>
      </c>
      <c r="I159" s="1982"/>
      <c r="K159" s="860" t="s">
        <v>1077</v>
      </c>
      <c r="L159" s="861"/>
      <c r="M159" s="860" t="s">
        <v>1078</v>
      </c>
      <c r="N159" s="864"/>
      <c r="O159" s="1963" t="s">
        <v>1079</v>
      </c>
      <c r="P159" s="1964"/>
      <c r="Q159" s="868" t="s">
        <v>1080</v>
      </c>
      <c r="R159" s="804"/>
      <c r="S159" s="804"/>
      <c r="T159" s="804"/>
    </row>
    <row r="160" spans="1:20" s="565" customFormat="1" ht="18">
      <c r="A160" s="567">
        <v>158</v>
      </c>
      <c r="B160" s="1954" t="s">
        <v>1081</v>
      </c>
      <c r="C160" s="1954"/>
      <c r="D160" s="565" t="s">
        <v>908</v>
      </c>
      <c r="E160" s="568" t="s">
        <v>448</v>
      </c>
      <c r="F160" s="565">
        <f>附表!N14*2+MAX(附表!G14*2,附表!J14*2)</f>
        <v>310</v>
      </c>
      <c r="G160" s="849" t="s">
        <v>1082</v>
      </c>
      <c r="H160" s="1982"/>
      <c r="I160" s="1982"/>
      <c r="K160" s="860" t="s">
        <v>1083</v>
      </c>
      <c r="L160" s="861"/>
      <c r="M160" s="860" t="s">
        <v>1078</v>
      </c>
      <c r="N160" s="864"/>
      <c r="O160" s="1959" t="s">
        <v>1084</v>
      </c>
      <c r="P160" s="1960"/>
      <c r="Q160" s="867" t="s">
        <v>1073</v>
      </c>
      <c r="R160" s="804"/>
      <c r="S160" s="804"/>
      <c r="T160" s="804"/>
    </row>
    <row r="161" spans="1:20" s="565" customFormat="1" ht="18">
      <c r="A161" s="842">
        <v>159</v>
      </c>
      <c r="B161" s="1952" t="s">
        <v>1085</v>
      </c>
      <c r="C161" s="1953"/>
      <c r="D161" s="843" t="s">
        <v>1086</v>
      </c>
      <c r="E161" s="820" t="s">
        <v>454</v>
      </c>
      <c r="F161" s="848">
        <f>附表!N14*4</f>
        <v>260</v>
      </c>
      <c r="G161" s="821" t="s">
        <v>1087</v>
      </c>
      <c r="H161" s="1982"/>
      <c r="I161" s="1982"/>
      <c r="K161" s="860" t="s">
        <v>1088</v>
      </c>
      <c r="L161" s="861"/>
      <c r="M161" s="860" t="s">
        <v>1078</v>
      </c>
      <c r="N161" s="864"/>
      <c r="O161" s="1963" t="s">
        <v>1089</v>
      </c>
      <c r="P161" s="1964"/>
      <c r="Q161" s="868" t="s">
        <v>1073</v>
      </c>
      <c r="R161" s="804"/>
      <c r="S161" s="804"/>
      <c r="T161" s="804"/>
    </row>
    <row r="162" spans="1:20" s="565" customFormat="1" ht="18">
      <c r="A162" s="567">
        <v>160</v>
      </c>
      <c r="B162" s="1954" t="s">
        <v>1090</v>
      </c>
      <c r="C162" s="1954"/>
      <c r="D162" s="565" t="s">
        <v>604</v>
      </c>
      <c r="E162" s="568" t="s">
        <v>454</v>
      </c>
      <c r="F162" s="565">
        <f>附表!N14*4</f>
        <v>260</v>
      </c>
      <c r="G162" s="849" t="s">
        <v>1091</v>
      </c>
      <c r="H162" s="1982"/>
      <c r="I162" s="1982"/>
      <c r="K162" s="860" t="s">
        <v>541</v>
      </c>
      <c r="L162" s="861"/>
      <c r="M162" s="860" t="s">
        <v>1078</v>
      </c>
      <c r="N162" s="864"/>
      <c r="O162" s="1959" t="s">
        <v>1092</v>
      </c>
      <c r="P162" s="1960"/>
      <c r="Q162" s="867" t="s">
        <v>1093</v>
      </c>
      <c r="R162" s="804"/>
      <c r="S162" s="804"/>
      <c r="T162" s="804"/>
    </row>
    <row r="163" spans="1:20" s="565" customFormat="1" ht="18">
      <c r="A163" s="842">
        <v>161</v>
      </c>
      <c r="B163" s="1952" t="s">
        <v>1094</v>
      </c>
      <c r="C163" s="1953"/>
      <c r="D163" s="843" t="s">
        <v>515</v>
      </c>
      <c r="E163" s="820" t="s">
        <v>454</v>
      </c>
      <c r="F163" s="848">
        <f>附表!N14*4</f>
        <v>260</v>
      </c>
      <c r="G163" s="821" t="s">
        <v>1095</v>
      </c>
      <c r="H163" s="1982"/>
      <c r="I163" s="1982"/>
      <c r="K163" s="860"/>
      <c r="L163" s="861"/>
      <c r="M163" s="860" t="s">
        <v>1078</v>
      </c>
      <c r="N163" s="864"/>
      <c r="O163" s="1963" t="s">
        <v>1096</v>
      </c>
      <c r="P163" s="1964"/>
      <c r="Q163" s="868" t="s">
        <v>1080</v>
      </c>
      <c r="R163" s="804"/>
      <c r="S163" s="804"/>
      <c r="T163" s="804"/>
    </row>
    <row r="164" spans="1:20" s="565" customFormat="1" ht="18">
      <c r="A164" s="567">
        <v>162</v>
      </c>
      <c r="B164" s="1954" t="s">
        <v>1097</v>
      </c>
      <c r="C164" s="1954"/>
      <c r="D164" s="565" t="s">
        <v>431</v>
      </c>
      <c r="E164" s="568" t="s">
        <v>448</v>
      </c>
      <c r="F164" s="565">
        <f>附表!N14*2+MAX(附表!G14*2,附表!J14*2)</f>
        <v>310</v>
      </c>
      <c r="G164" s="849" t="s">
        <v>1098</v>
      </c>
      <c r="H164" s="1982"/>
      <c r="I164" s="1982"/>
      <c r="K164" s="860"/>
      <c r="L164" s="861"/>
      <c r="M164" s="860" t="s">
        <v>1078</v>
      </c>
      <c r="N164" s="864"/>
      <c r="O164" s="1959" t="s">
        <v>1099</v>
      </c>
      <c r="P164" s="1960"/>
      <c r="Q164" s="867" t="s">
        <v>1100</v>
      </c>
      <c r="R164" s="804"/>
      <c r="S164" s="804"/>
      <c r="T164" s="804"/>
    </row>
    <row r="165" spans="1:20" s="565" customFormat="1" ht="18">
      <c r="A165" s="842">
        <v>163</v>
      </c>
      <c r="B165" s="1952" t="s">
        <v>1101</v>
      </c>
      <c r="C165" s="1953"/>
      <c r="D165" s="843" t="s">
        <v>908</v>
      </c>
      <c r="E165" s="820" t="s">
        <v>454</v>
      </c>
      <c r="F165" s="848">
        <f>附表!N14*4</f>
        <v>260</v>
      </c>
      <c r="G165" s="821" t="s">
        <v>1102</v>
      </c>
      <c r="H165" s="1955" t="s">
        <v>974</v>
      </c>
      <c r="I165" s="1955"/>
      <c r="K165" s="860" t="s">
        <v>1103</v>
      </c>
      <c r="L165" s="861"/>
      <c r="M165" s="860" t="s">
        <v>1078</v>
      </c>
      <c r="N165" s="864"/>
      <c r="O165" s="1965" t="s">
        <v>1104</v>
      </c>
      <c r="P165" s="1966"/>
      <c r="Q165" s="869" t="s">
        <v>1073</v>
      </c>
      <c r="R165" s="804"/>
      <c r="S165" s="804"/>
      <c r="T165" s="804"/>
    </row>
    <row r="166" spans="1:20" s="565" customFormat="1" ht="18" customHeight="1">
      <c r="A166" s="567">
        <v>164</v>
      </c>
      <c r="B166" s="1954" t="s">
        <v>1105</v>
      </c>
      <c r="C166" s="1954"/>
      <c r="D166" s="565" t="s">
        <v>573</v>
      </c>
      <c r="E166" s="568" t="s">
        <v>454</v>
      </c>
      <c r="F166" s="565">
        <f>附表!N14*4</f>
        <v>260</v>
      </c>
      <c r="G166" s="819" t="s">
        <v>1106</v>
      </c>
      <c r="H166" s="802"/>
      <c r="I166" s="568"/>
      <c r="K166" s="860"/>
      <c r="L166" s="861"/>
      <c r="M166" s="860" t="s">
        <v>1078</v>
      </c>
      <c r="N166" s="861"/>
      <c r="O166" s="1981" t="s">
        <v>1107</v>
      </c>
      <c r="P166" s="1981"/>
      <c r="Q166" s="1981"/>
      <c r="R166" s="804"/>
      <c r="S166" s="804"/>
      <c r="T166" s="804"/>
    </row>
    <row r="167" spans="1:20" s="565" customFormat="1" ht="18">
      <c r="A167" s="842">
        <v>165</v>
      </c>
      <c r="B167" s="1952" t="s">
        <v>1108</v>
      </c>
      <c r="C167" s="1953"/>
      <c r="D167" s="843" t="s">
        <v>431</v>
      </c>
      <c r="E167" s="820" t="s">
        <v>454</v>
      </c>
      <c r="F167" s="848">
        <f>附表!N14*4</f>
        <v>260</v>
      </c>
      <c r="G167" s="821" t="s">
        <v>1109</v>
      </c>
      <c r="H167" s="802"/>
      <c r="I167" s="568"/>
      <c r="K167" s="862"/>
      <c r="L167" s="863"/>
      <c r="M167" s="862" t="s">
        <v>1078</v>
      </c>
      <c r="N167" s="863"/>
      <c r="O167" s="1981"/>
      <c r="P167" s="1981"/>
      <c r="Q167" s="1981"/>
      <c r="R167" s="804"/>
      <c r="S167" s="804"/>
      <c r="T167" s="804"/>
    </row>
    <row r="168" spans="1:20" s="565" customFormat="1" ht="18">
      <c r="A168" s="567">
        <v>166</v>
      </c>
      <c r="B168" s="1954" t="s">
        <v>1110</v>
      </c>
      <c r="C168" s="1954"/>
      <c r="D168" s="565" t="s">
        <v>471</v>
      </c>
      <c r="E168" s="568" t="s">
        <v>454</v>
      </c>
      <c r="F168" s="565">
        <f>附表!N14*4</f>
        <v>260</v>
      </c>
      <c r="G168" s="849" t="s">
        <v>1111</v>
      </c>
      <c r="H168" s="802"/>
      <c r="I168" s="568"/>
      <c r="J168" s="568"/>
      <c r="K168" s="582"/>
      <c r="L168" s="804"/>
      <c r="M168" s="582" t="s">
        <v>1078</v>
      </c>
      <c r="N168" s="804"/>
      <c r="O168" s="1981"/>
      <c r="P168" s="1981"/>
      <c r="Q168" s="1981"/>
      <c r="R168" s="804"/>
      <c r="S168" s="804"/>
      <c r="T168" s="804"/>
    </row>
    <row r="169" spans="1:20" s="565" customFormat="1" ht="18">
      <c r="A169" s="842">
        <v>167</v>
      </c>
      <c r="B169" s="1952" t="s">
        <v>1112</v>
      </c>
      <c r="C169" s="1953"/>
      <c r="D169" s="843" t="s">
        <v>562</v>
      </c>
      <c r="E169" s="820" t="s">
        <v>454</v>
      </c>
      <c r="F169" s="848">
        <f>附表!N14*4</f>
        <v>260</v>
      </c>
      <c r="G169" s="821" t="s">
        <v>1113</v>
      </c>
      <c r="H169" s="802"/>
      <c r="I169" s="568"/>
      <c r="J169" s="568"/>
      <c r="K169" s="582" t="s">
        <v>1114</v>
      </c>
      <c r="L169" s="804"/>
      <c r="M169" s="582" t="s">
        <v>1078</v>
      </c>
      <c r="N169" s="804"/>
      <c r="O169" s="1980" t="s">
        <v>1115</v>
      </c>
      <c r="P169" s="1980"/>
      <c r="Q169" s="1980"/>
      <c r="R169" s="804"/>
      <c r="S169" s="804"/>
      <c r="T169" s="804"/>
    </row>
    <row r="170" spans="1:20" s="565" customFormat="1" ht="18">
      <c r="A170" s="567">
        <v>168</v>
      </c>
      <c r="B170" s="1954" t="s">
        <v>1116</v>
      </c>
      <c r="C170" s="1954"/>
      <c r="D170" s="565" t="s">
        <v>645</v>
      </c>
      <c r="E170" s="568" t="s">
        <v>448</v>
      </c>
      <c r="F170" s="565">
        <f>附表!N14*2+MAX(附表!G14*2,附表!J14*2)</f>
        <v>310</v>
      </c>
      <c r="G170" s="849" t="s">
        <v>1117</v>
      </c>
      <c r="H170" s="802"/>
      <c r="I170" s="568"/>
      <c r="J170" s="568"/>
      <c r="K170" s="582" t="s">
        <v>1118</v>
      </c>
      <c r="L170" s="804"/>
      <c r="M170" s="582" t="s">
        <v>1078</v>
      </c>
      <c r="N170" s="804"/>
      <c r="O170" s="1980"/>
      <c r="P170" s="1980"/>
      <c r="Q170" s="1980"/>
      <c r="R170" s="804"/>
      <c r="S170" s="804"/>
      <c r="T170" s="804"/>
    </row>
    <row r="171" spans="1:20" s="565" customFormat="1" ht="18">
      <c r="A171" s="852">
        <v>169</v>
      </c>
      <c r="B171" s="1967" t="s">
        <v>1119</v>
      </c>
      <c r="C171" s="1968"/>
      <c r="D171" s="853" t="s">
        <v>530</v>
      </c>
      <c r="E171" s="844" t="s">
        <v>531</v>
      </c>
      <c r="F171" s="859">
        <f>附表!N14*2+附表!G14*2</f>
        <v>310</v>
      </c>
      <c r="G171" s="845" t="s">
        <v>1120</v>
      </c>
      <c r="H171" s="802"/>
      <c r="I171" s="568"/>
      <c r="J171" s="568"/>
      <c r="K171" s="582"/>
      <c r="L171" s="804"/>
      <c r="M171" s="582" t="s">
        <v>1078</v>
      </c>
      <c r="N171" s="804"/>
      <c r="O171" s="1980" t="s">
        <v>1121</v>
      </c>
      <c r="P171" s="1980"/>
      <c r="Q171" s="1980"/>
      <c r="R171" s="804"/>
      <c r="S171" s="804"/>
      <c r="T171" s="804"/>
    </row>
    <row r="172" spans="1:20" s="565" customFormat="1" ht="18">
      <c r="A172" s="567">
        <v>170</v>
      </c>
      <c r="B172" s="1954" t="s">
        <v>1122</v>
      </c>
      <c r="C172" s="1954"/>
      <c r="D172" s="565" t="s">
        <v>505</v>
      </c>
      <c r="E172" s="568" t="s">
        <v>448</v>
      </c>
      <c r="F172" s="565">
        <f>附表!N14*2+MAX(附表!G14*2,附表!J14*2)</f>
        <v>310</v>
      </c>
      <c r="G172" s="849" t="s">
        <v>1123</v>
      </c>
      <c r="H172" s="1982" t="s">
        <v>1124</v>
      </c>
      <c r="I172" s="1982"/>
      <c r="J172" s="568"/>
      <c r="K172" s="582" t="s">
        <v>1125</v>
      </c>
      <c r="L172" s="804"/>
      <c r="M172" s="582" t="s">
        <v>1126</v>
      </c>
      <c r="N172" s="804"/>
      <c r="O172" s="1980"/>
      <c r="P172" s="1980"/>
      <c r="Q172" s="1980"/>
      <c r="R172" s="804"/>
      <c r="S172" s="804"/>
      <c r="T172" s="804"/>
    </row>
    <row r="173" spans="1:20" s="565" customFormat="1" ht="18">
      <c r="A173" s="842">
        <v>171</v>
      </c>
      <c r="B173" s="1952" t="s">
        <v>1127</v>
      </c>
      <c r="C173" s="1953"/>
      <c r="D173" s="843" t="s">
        <v>471</v>
      </c>
      <c r="E173" s="820" t="s">
        <v>454</v>
      </c>
      <c r="F173" s="848">
        <f>附表!N14*4</f>
        <v>260</v>
      </c>
      <c r="G173" s="821" t="s">
        <v>1128</v>
      </c>
      <c r="H173" s="1982"/>
      <c r="I173" s="1982"/>
      <c r="J173" s="568"/>
      <c r="K173" s="582" t="s">
        <v>1129</v>
      </c>
      <c r="L173" s="804"/>
      <c r="M173" s="582" t="s">
        <v>1126</v>
      </c>
      <c r="N173" s="804"/>
      <c r="R173" s="804"/>
      <c r="S173" s="804"/>
      <c r="T173" s="804"/>
    </row>
    <row r="174" spans="1:20" s="565" customFormat="1" ht="18">
      <c r="A174" s="567">
        <v>172</v>
      </c>
      <c r="B174" s="1954" t="s">
        <v>1130</v>
      </c>
      <c r="C174" s="1954"/>
      <c r="D174" s="565" t="s">
        <v>908</v>
      </c>
      <c r="E174" s="568" t="s">
        <v>454</v>
      </c>
      <c r="F174" s="565">
        <f>附表!N14*4</f>
        <v>260</v>
      </c>
      <c r="G174" s="849" t="s">
        <v>1131</v>
      </c>
      <c r="H174" s="1982"/>
      <c r="I174" s="1982"/>
      <c r="J174" s="568"/>
      <c r="K174" s="582"/>
      <c r="L174" s="804"/>
      <c r="M174" s="582" t="s">
        <v>1132</v>
      </c>
      <c r="N174" s="804"/>
      <c r="R174" s="804"/>
      <c r="S174" s="804"/>
      <c r="T174" s="804"/>
    </row>
    <row r="175" spans="1:20" s="565" customFormat="1" ht="18">
      <c r="A175" s="842">
        <v>173</v>
      </c>
      <c r="B175" s="1952" t="s">
        <v>1133</v>
      </c>
      <c r="C175" s="1953"/>
      <c r="D175" s="843" t="s">
        <v>908</v>
      </c>
      <c r="E175" s="820" t="s">
        <v>454</v>
      </c>
      <c r="F175" s="848">
        <f>附表!N14*4</f>
        <v>260</v>
      </c>
      <c r="G175" s="821" t="s">
        <v>1134</v>
      </c>
      <c r="H175" s="1982"/>
      <c r="I175" s="1982"/>
      <c r="J175" s="568"/>
      <c r="K175" s="582" t="s">
        <v>1135</v>
      </c>
      <c r="L175" s="804"/>
      <c r="M175" s="582" t="s">
        <v>1132</v>
      </c>
      <c r="N175" s="804"/>
      <c r="O175" s="804"/>
      <c r="P175" s="804"/>
      <c r="Q175" s="804"/>
      <c r="R175" s="804"/>
      <c r="S175" s="804"/>
      <c r="T175" s="804"/>
    </row>
    <row r="176" spans="1:20" s="565" customFormat="1" ht="18">
      <c r="A176" s="567">
        <v>174</v>
      </c>
      <c r="B176" s="1954" t="s">
        <v>1136</v>
      </c>
      <c r="C176" s="1954"/>
      <c r="D176" s="565" t="s">
        <v>471</v>
      </c>
      <c r="E176" s="568" t="s">
        <v>461</v>
      </c>
      <c r="F176" s="565">
        <f>附表!N14*2+MAX(附表!K14*2,附表!M14*2)</f>
        <v>280</v>
      </c>
      <c r="G176" s="849" t="s">
        <v>1137</v>
      </c>
      <c r="H176" s="1982"/>
      <c r="I176" s="1982"/>
      <c r="J176" s="568"/>
      <c r="K176" s="582"/>
      <c r="L176" s="804"/>
      <c r="M176" s="582" t="s">
        <v>1138</v>
      </c>
      <c r="N176" s="804"/>
      <c r="O176" s="1983" t="s">
        <v>1139</v>
      </c>
      <c r="P176" s="1983"/>
      <c r="Q176" s="1983"/>
      <c r="R176" s="804"/>
      <c r="S176" s="804"/>
      <c r="T176" s="804"/>
    </row>
    <row r="177" spans="1:20" s="565" customFormat="1" ht="18">
      <c r="A177" s="842">
        <v>175</v>
      </c>
      <c r="B177" s="1952" t="s">
        <v>1140</v>
      </c>
      <c r="C177" s="1953"/>
      <c r="D177" s="843" t="s">
        <v>913</v>
      </c>
      <c r="E177" s="820" t="s">
        <v>454</v>
      </c>
      <c r="F177" s="848">
        <f>附表!N14*4</f>
        <v>260</v>
      </c>
      <c r="G177" s="821" t="s">
        <v>1141</v>
      </c>
      <c r="H177" s="1982"/>
      <c r="I177" s="1982"/>
      <c r="J177" s="568"/>
      <c r="K177" s="582"/>
      <c r="L177" s="804"/>
      <c r="M177" s="582" t="s">
        <v>1138</v>
      </c>
      <c r="N177" s="804"/>
      <c r="O177" s="1983"/>
      <c r="P177" s="1983"/>
      <c r="Q177" s="1983"/>
      <c r="R177" s="804"/>
      <c r="S177" s="804"/>
      <c r="T177" s="804"/>
    </row>
    <row r="178" spans="1:20" s="565" customFormat="1" ht="18">
      <c r="A178" s="567">
        <v>176</v>
      </c>
      <c r="B178" s="1954" t="s">
        <v>1142</v>
      </c>
      <c r="C178" s="1954"/>
      <c r="D178" s="565" t="s">
        <v>544</v>
      </c>
      <c r="E178" s="568" t="s">
        <v>454</v>
      </c>
      <c r="F178" s="565">
        <f>附表!N14*4</f>
        <v>260</v>
      </c>
      <c r="G178" s="849" t="s">
        <v>1143</v>
      </c>
      <c r="H178" s="1955" t="s">
        <v>974</v>
      </c>
      <c r="I178" s="1955"/>
      <c r="J178" s="568"/>
      <c r="K178" s="582"/>
      <c r="L178" s="804"/>
      <c r="M178" s="582" t="s">
        <v>1138</v>
      </c>
      <c r="N178" s="804"/>
      <c r="O178" s="1983"/>
      <c r="P178" s="1983"/>
      <c r="Q178" s="1983"/>
      <c r="R178" s="804"/>
      <c r="S178" s="804"/>
      <c r="T178" s="804"/>
    </row>
    <row r="179" spans="1:20" s="565" customFormat="1" ht="18">
      <c r="A179" s="842">
        <v>177</v>
      </c>
      <c r="B179" s="1952" t="s">
        <v>1144</v>
      </c>
      <c r="C179" s="1953"/>
      <c r="D179" s="843" t="s">
        <v>471</v>
      </c>
      <c r="E179" s="848" t="s">
        <v>454</v>
      </c>
      <c r="F179" s="848">
        <f>附表!N14*4</f>
        <v>260</v>
      </c>
      <c r="G179" s="821" t="s">
        <v>1020</v>
      </c>
      <c r="J179" s="568"/>
      <c r="K179" s="582" t="s">
        <v>1021</v>
      </c>
      <c r="L179" s="804"/>
      <c r="M179" s="582" t="s">
        <v>1138</v>
      </c>
      <c r="N179" s="804"/>
      <c r="O179" s="1983"/>
      <c r="P179" s="1983"/>
      <c r="Q179" s="1983"/>
      <c r="R179" s="804"/>
      <c r="S179" s="804"/>
      <c r="T179" s="804"/>
    </row>
    <row r="180" spans="1:20" s="565" customFormat="1" ht="18">
      <c r="A180" s="567">
        <v>178</v>
      </c>
      <c r="B180" s="1954" t="s">
        <v>1145</v>
      </c>
      <c r="C180" s="1954"/>
      <c r="D180" s="565" t="s">
        <v>913</v>
      </c>
      <c r="E180" s="568" t="s">
        <v>448</v>
      </c>
      <c r="F180" s="565">
        <f>附表!N14*2+MAX(附表!G14*2,附表!J14*2)</f>
        <v>310</v>
      </c>
      <c r="G180" s="849" t="s">
        <v>1146</v>
      </c>
      <c r="H180" s="1955" t="s">
        <v>1147</v>
      </c>
      <c r="I180" s="1955"/>
      <c r="J180" s="568"/>
      <c r="K180" s="582"/>
      <c r="L180" s="804"/>
      <c r="M180" s="582" t="s">
        <v>1138</v>
      </c>
      <c r="N180" s="804"/>
      <c r="O180" s="804"/>
      <c r="P180" s="804"/>
      <c r="Q180" s="804"/>
      <c r="R180" s="804"/>
      <c r="S180" s="804"/>
      <c r="T180" s="804"/>
    </row>
    <row r="181" spans="1:20" s="565" customFormat="1" ht="18">
      <c r="A181" s="842">
        <v>179</v>
      </c>
      <c r="B181" s="1952" t="s">
        <v>1148</v>
      </c>
      <c r="C181" s="1953"/>
      <c r="D181" s="843" t="s">
        <v>500</v>
      </c>
      <c r="E181" s="820" t="s">
        <v>438</v>
      </c>
      <c r="F181" s="848">
        <f>附表!N14*2+附表!K14*2</f>
        <v>260</v>
      </c>
      <c r="G181" s="821" t="s">
        <v>677</v>
      </c>
      <c r="H181" s="1955"/>
      <c r="I181" s="1955"/>
      <c r="J181" s="568"/>
      <c r="K181" s="582"/>
      <c r="L181" s="804"/>
      <c r="M181" s="582" t="s">
        <v>1138</v>
      </c>
      <c r="N181" s="804"/>
      <c r="O181" s="804"/>
      <c r="P181" s="804"/>
      <c r="Q181" s="804"/>
      <c r="R181" s="804"/>
      <c r="S181" s="804"/>
      <c r="T181" s="804"/>
    </row>
    <row r="182" spans="1:20" s="565" customFormat="1" ht="15" customHeight="1">
      <c r="A182" s="567">
        <v>180</v>
      </c>
      <c r="B182" s="1954" t="s">
        <v>1149</v>
      </c>
      <c r="C182" s="1954"/>
      <c r="D182" s="565" t="s">
        <v>604</v>
      </c>
      <c r="E182" s="568" t="s">
        <v>454</v>
      </c>
      <c r="F182" s="565">
        <f>附表!N14*4</f>
        <v>260</v>
      </c>
      <c r="G182" s="819" t="s">
        <v>1150</v>
      </c>
      <c r="H182" s="1955"/>
      <c r="I182" s="1955"/>
      <c r="J182" s="568"/>
      <c r="K182" s="582"/>
      <c r="L182" s="804"/>
      <c r="M182" s="582" t="s">
        <v>1138</v>
      </c>
      <c r="N182" s="804"/>
      <c r="O182" s="804"/>
      <c r="P182" s="804"/>
      <c r="Q182" s="804"/>
      <c r="R182" s="804"/>
      <c r="S182" s="804"/>
      <c r="T182" s="804"/>
    </row>
    <row r="183" spans="1:20" s="565" customFormat="1" ht="18">
      <c r="A183" s="842">
        <v>181</v>
      </c>
      <c r="B183" s="1952" t="s">
        <v>1151</v>
      </c>
      <c r="C183" s="1953"/>
      <c r="D183" s="843" t="s">
        <v>505</v>
      </c>
      <c r="E183" s="820" t="s">
        <v>454</v>
      </c>
      <c r="F183" s="848">
        <f>附表!N14*4</f>
        <v>260</v>
      </c>
      <c r="G183" s="821" t="s">
        <v>1152</v>
      </c>
      <c r="H183" s="1955"/>
      <c r="I183" s="1955"/>
      <c r="J183" s="568"/>
      <c r="K183" s="582"/>
      <c r="L183" s="804"/>
      <c r="M183" s="582" t="s">
        <v>1138</v>
      </c>
      <c r="N183" s="804"/>
      <c r="O183" s="804"/>
      <c r="P183" s="804"/>
      <c r="Q183" s="804"/>
      <c r="R183" s="804"/>
      <c r="S183" s="804"/>
      <c r="T183" s="804"/>
    </row>
    <row r="184" spans="1:20" s="565" customFormat="1" ht="18">
      <c r="A184" s="567">
        <v>182</v>
      </c>
      <c r="B184" s="1954" t="s">
        <v>1153</v>
      </c>
      <c r="C184" s="1954"/>
      <c r="D184" s="565" t="s">
        <v>520</v>
      </c>
      <c r="E184" s="568" t="s">
        <v>454</v>
      </c>
      <c r="F184" s="565">
        <f>附表!N14*4</f>
        <v>260</v>
      </c>
      <c r="G184" s="849" t="s">
        <v>1154</v>
      </c>
      <c r="H184" s="802"/>
      <c r="I184" s="568"/>
      <c r="J184" s="568"/>
      <c r="K184" s="582"/>
      <c r="L184" s="804"/>
      <c r="M184" s="582" t="s">
        <v>1138</v>
      </c>
      <c r="N184" s="804"/>
      <c r="O184" s="804"/>
      <c r="P184" s="804"/>
      <c r="Q184" s="804"/>
      <c r="R184" s="804"/>
      <c r="S184" s="804"/>
      <c r="T184" s="804"/>
    </row>
    <row r="185" spans="1:20" s="565" customFormat="1" ht="18">
      <c r="A185" s="842">
        <v>183</v>
      </c>
      <c r="B185" s="1952" t="s">
        <v>1155</v>
      </c>
      <c r="C185" s="1953"/>
      <c r="D185" s="843" t="s">
        <v>505</v>
      </c>
      <c r="E185" s="820" t="s">
        <v>448</v>
      </c>
      <c r="F185" s="848">
        <f>附表!N14*2+MAX(附表!G14*2,附表!J14*2)</f>
        <v>310</v>
      </c>
      <c r="G185" s="821" t="s">
        <v>901</v>
      </c>
      <c r="H185" s="802"/>
      <c r="I185" s="568"/>
      <c r="J185" s="568"/>
      <c r="K185" s="582"/>
      <c r="L185" s="804"/>
      <c r="M185" s="582" t="s">
        <v>1138</v>
      </c>
      <c r="N185" s="804"/>
      <c r="Q185" s="804"/>
      <c r="R185" s="804"/>
      <c r="S185" s="804"/>
      <c r="T185" s="804"/>
    </row>
    <row r="186" spans="1:20" s="565" customFormat="1" ht="18">
      <c r="A186" s="567">
        <v>184</v>
      </c>
      <c r="B186" s="1954" t="s">
        <v>1156</v>
      </c>
      <c r="C186" s="1954"/>
      <c r="D186" s="565" t="s">
        <v>505</v>
      </c>
      <c r="E186" s="568" t="s">
        <v>448</v>
      </c>
      <c r="F186" s="565">
        <f>附表!N14*2+MAX(附表!G14*2,附表!J14*2)</f>
        <v>310</v>
      </c>
      <c r="G186" s="849" t="s">
        <v>901</v>
      </c>
      <c r="H186" s="802"/>
      <c r="I186" s="568"/>
      <c r="J186" s="568"/>
      <c r="K186" s="582"/>
      <c r="L186" s="804"/>
      <c r="M186" s="582" t="s">
        <v>1138</v>
      </c>
      <c r="N186" s="804"/>
      <c r="Q186" s="804"/>
      <c r="R186" s="804"/>
      <c r="S186" s="804"/>
      <c r="T186" s="804"/>
    </row>
    <row r="187" spans="1:20" s="565" customFormat="1" ht="13" customHeight="1">
      <c r="A187" s="842">
        <v>185</v>
      </c>
      <c r="B187" s="1952" t="s">
        <v>1157</v>
      </c>
      <c r="C187" s="1953"/>
      <c r="D187" s="843" t="s">
        <v>681</v>
      </c>
      <c r="E187" s="820" t="s">
        <v>646</v>
      </c>
      <c r="F187" s="848">
        <f>附表!N14*2+MAX(附表!J14*2,附表!K14*2,附表!G14*2)</f>
        <v>310</v>
      </c>
      <c r="G187" s="821" t="s">
        <v>1158</v>
      </c>
      <c r="H187" s="802"/>
      <c r="I187" s="568"/>
      <c r="J187" s="568"/>
      <c r="K187" s="582"/>
      <c r="L187" s="804"/>
      <c r="M187" s="582" t="s">
        <v>1138</v>
      </c>
      <c r="N187" s="804"/>
      <c r="Q187" s="804"/>
      <c r="R187" s="804"/>
      <c r="S187" s="804"/>
      <c r="T187" s="804"/>
    </row>
    <row r="188" spans="1:20" s="565" customFormat="1" ht="18">
      <c r="A188" s="567">
        <v>186</v>
      </c>
      <c r="B188" s="1954" t="s">
        <v>1159</v>
      </c>
      <c r="C188" s="1954"/>
      <c r="D188" s="565" t="s">
        <v>425</v>
      </c>
      <c r="E188" s="568" t="s">
        <v>454</v>
      </c>
      <c r="F188" s="565">
        <f>附表!N14*4</f>
        <v>260</v>
      </c>
      <c r="G188" s="849" t="s">
        <v>984</v>
      </c>
      <c r="H188" s="802"/>
      <c r="I188" s="568"/>
      <c r="J188" s="568"/>
      <c r="K188" s="582"/>
      <c r="L188" s="804"/>
      <c r="M188" s="582" t="s">
        <v>1138</v>
      </c>
      <c r="N188" s="804"/>
      <c r="O188" s="804"/>
      <c r="P188" s="804"/>
      <c r="Q188" s="804"/>
      <c r="R188" s="804"/>
      <c r="S188" s="804"/>
      <c r="T188" s="804"/>
    </row>
    <row r="189" spans="1:20" s="565" customFormat="1" ht="18">
      <c r="A189" s="842">
        <v>187</v>
      </c>
      <c r="B189" s="1952" t="s">
        <v>1160</v>
      </c>
      <c r="C189" s="1953"/>
      <c r="D189" s="843" t="s">
        <v>500</v>
      </c>
      <c r="E189" s="820" t="s">
        <v>438</v>
      </c>
      <c r="F189" s="848">
        <f>附表!N14*2+附表!K14*2</f>
        <v>260</v>
      </c>
      <c r="G189" s="821" t="s">
        <v>1161</v>
      </c>
      <c r="H189" s="802"/>
      <c r="I189" s="568"/>
      <c r="J189" s="568"/>
      <c r="K189" s="582"/>
      <c r="L189" s="804"/>
      <c r="M189" s="582" t="s">
        <v>1138</v>
      </c>
      <c r="N189" s="804"/>
      <c r="O189" s="804"/>
      <c r="P189" s="804"/>
      <c r="Q189" s="804"/>
      <c r="R189" s="804"/>
      <c r="S189" s="804"/>
      <c r="T189" s="804"/>
    </row>
    <row r="190" spans="1:20" s="565" customFormat="1" ht="18">
      <c r="A190" s="567">
        <v>188</v>
      </c>
      <c r="B190" s="1954" t="s">
        <v>1162</v>
      </c>
      <c r="C190" s="1954"/>
      <c r="D190" s="565" t="s">
        <v>500</v>
      </c>
      <c r="E190" s="568" t="s">
        <v>438</v>
      </c>
      <c r="F190" s="565">
        <f>附表!N14*2+附表!K14*2</f>
        <v>260</v>
      </c>
      <c r="G190" s="849" t="s">
        <v>1163</v>
      </c>
      <c r="H190" s="802"/>
      <c r="I190" s="568"/>
      <c r="J190" s="568"/>
      <c r="K190" s="582"/>
      <c r="L190" s="804"/>
      <c r="M190" s="582" t="s">
        <v>1138</v>
      </c>
      <c r="N190" s="804"/>
      <c r="O190" s="804"/>
      <c r="P190" s="804"/>
      <c r="Q190" s="804"/>
      <c r="R190" s="804"/>
      <c r="S190" s="804"/>
      <c r="T190" s="804"/>
    </row>
    <row r="191" spans="1:20" s="565" customFormat="1" ht="18">
      <c r="A191" s="842">
        <v>189</v>
      </c>
      <c r="B191" s="1952" t="s">
        <v>1164</v>
      </c>
      <c r="C191" s="1953"/>
      <c r="D191" s="843" t="s">
        <v>500</v>
      </c>
      <c r="E191" s="820" t="s">
        <v>438</v>
      </c>
      <c r="F191" s="848">
        <f>附表!N14*2+附表!K14*2</f>
        <v>260</v>
      </c>
      <c r="G191" s="821" t="s">
        <v>1165</v>
      </c>
      <c r="H191" s="802"/>
      <c r="I191" s="568"/>
      <c r="J191" s="568"/>
      <c r="K191" s="582"/>
      <c r="L191" s="804"/>
      <c r="M191" s="582" t="s">
        <v>1138</v>
      </c>
      <c r="N191" s="804"/>
      <c r="O191" s="804"/>
      <c r="P191" s="804"/>
      <c r="Q191" s="804"/>
      <c r="R191" s="804"/>
      <c r="S191" s="804"/>
      <c r="T191" s="804"/>
    </row>
    <row r="192" spans="1:20" s="565" customFormat="1" ht="18">
      <c r="A192" s="567">
        <v>190</v>
      </c>
      <c r="B192" s="1954" t="s">
        <v>1166</v>
      </c>
      <c r="C192" s="1954"/>
      <c r="D192" s="565" t="s">
        <v>431</v>
      </c>
      <c r="E192" s="568" t="s">
        <v>580</v>
      </c>
      <c r="F192" s="565">
        <f>附表!N14*2+附表!J14*2</f>
        <v>210</v>
      </c>
      <c r="G192" s="849" t="s">
        <v>1167</v>
      </c>
      <c r="H192" s="802"/>
      <c r="I192" s="568"/>
      <c r="J192" s="568"/>
      <c r="K192" s="582"/>
      <c r="L192" s="804"/>
      <c r="M192" s="582" t="s">
        <v>1138</v>
      </c>
      <c r="N192" s="804"/>
      <c r="O192" s="804"/>
      <c r="P192" s="804"/>
      <c r="Q192" s="804"/>
      <c r="R192" s="804"/>
      <c r="S192" s="804"/>
      <c r="T192" s="804"/>
    </row>
    <row r="193" spans="1:20" s="565" customFormat="1" ht="18">
      <c r="A193" s="842">
        <v>191</v>
      </c>
      <c r="B193" s="1952" t="s">
        <v>1168</v>
      </c>
      <c r="C193" s="1953"/>
      <c r="D193" s="843" t="s">
        <v>745</v>
      </c>
      <c r="E193" s="820" t="s">
        <v>454</v>
      </c>
      <c r="F193" s="848">
        <f>附表!N14*4</f>
        <v>260</v>
      </c>
      <c r="G193" s="821" t="s">
        <v>1036</v>
      </c>
      <c r="H193" s="802"/>
      <c r="I193" s="568"/>
      <c r="J193" s="568"/>
      <c r="K193" s="582"/>
      <c r="L193" s="804"/>
      <c r="M193" s="582" t="s">
        <v>1138</v>
      </c>
      <c r="N193" s="804"/>
      <c r="O193" s="804"/>
      <c r="P193" s="804"/>
      <c r="Q193" s="804"/>
      <c r="R193" s="804"/>
      <c r="S193" s="804"/>
      <c r="T193" s="804"/>
    </row>
    <row r="194" spans="1:20" s="565" customFormat="1" ht="18">
      <c r="A194" s="567">
        <v>192</v>
      </c>
      <c r="B194" s="1954" t="s">
        <v>1169</v>
      </c>
      <c r="C194" s="1954"/>
      <c r="D194" s="565" t="s">
        <v>745</v>
      </c>
      <c r="E194" s="568" t="s">
        <v>454</v>
      </c>
      <c r="F194" s="565">
        <f>附表!N14*4</f>
        <v>260</v>
      </c>
      <c r="G194" s="849" t="s">
        <v>1036</v>
      </c>
      <c r="H194" s="802"/>
      <c r="I194" s="568"/>
      <c r="J194" s="568"/>
      <c r="K194" s="582"/>
      <c r="L194" s="804"/>
      <c r="M194" s="582" t="s">
        <v>1138</v>
      </c>
      <c r="N194" s="804"/>
      <c r="O194" s="804"/>
      <c r="P194" s="804"/>
      <c r="Q194" s="804"/>
      <c r="R194" s="804"/>
      <c r="S194" s="804"/>
      <c r="T194" s="804"/>
    </row>
    <row r="195" spans="1:20" s="565" customFormat="1" ht="18">
      <c r="A195" s="842">
        <v>193</v>
      </c>
      <c r="B195" s="1952" t="s">
        <v>1170</v>
      </c>
      <c r="C195" s="1953"/>
      <c r="D195" s="843" t="s">
        <v>745</v>
      </c>
      <c r="E195" s="820" t="s">
        <v>454</v>
      </c>
      <c r="F195" s="848">
        <f>附表!N14*4</f>
        <v>260</v>
      </c>
      <c r="G195" s="821" t="s">
        <v>1036</v>
      </c>
      <c r="H195" s="802"/>
      <c r="I195" s="568"/>
      <c r="J195" s="568"/>
      <c r="K195" s="582"/>
      <c r="L195" s="804"/>
      <c r="M195" s="582" t="s">
        <v>1138</v>
      </c>
      <c r="N195" s="804"/>
      <c r="O195" s="804"/>
      <c r="P195" s="804"/>
      <c r="Q195" s="804"/>
      <c r="R195" s="804"/>
      <c r="S195" s="804"/>
      <c r="T195" s="804"/>
    </row>
    <row r="196" spans="1:20" s="565" customFormat="1" ht="18">
      <c r="A196" s="567">
        <v>194</v>
      </c>
      <c r="B196" s="1954" t="s">
        <v>1171</v>
      </c>
      <c r="C196" s="1954"/>
      <c r="D196" s="565" t="s">
        <v>500</v>
      </c>
      <c r="E196" s="568" t="s">
        <v>438</v>
      </c>
      <c r="F196" s="565">
        <f>附表!N14*2+附表!K14*2</f>
        <v>260</v>
      </c>
      <c r="G196" s="849" t="s">
        <v>1172</v>
      </c>
      <c r="H196" s="802"/>
      <c r="I196" s="568"/>
      <c r="J196" s="568"/>
      <c r="K196" s="582"/>
      <c r="L196" s="804"/>
      <c r="M196" s="582" t="s">
        <v>1138</v>
      </c>
      <c r="N196" s="804"/>
      <c r="O196" s="804"/>
      <c r="P196" s="804"/>
      <c r="Q196" s="804"/>
      <c r="R196" s="804"/>
      <c r="S196" s="804"/>
      <c r="T196" s="804"/>
    </row>
    <row r="197" spans="1:20" s="565" customFormat="1" ht="18">
      <c r="A197" s="842">
        <v>195</v>
      </c>
      <c r="B197" s="1952" t="s">
        <v>1173</v>
      </c>
      <c r="C197" s="1953"/>
      <c r="D197" s="843" t="s">
        <v>425</v>
      </c>
      <c r="E197" s="820" t="s">
        <v>454</v>
      </c>
      <c r="F197" s="848">
        <f>附表!N14*4</f>
        <v>260</v>
      </c>
      <c r="G197" s="821" t="s">
        <v>1174</v>
      </c>
      <c r="H197" s="802"/>
      <c r="I197" s="568"/>
      <c r="J197" s="568"/>
      <c r="K197" s="582"/>
      <c r="L197" s="804"/>
      <c r="M197" s="582" t="s">
        <v>1138</v>
      </c>
      <c r="N197" s="804"/>
      <c r="O197" s="804"/>
      <c r="P197" s="804"/>
      <c r="Q197" s="804"/>
      <c r="R197" s="804"/>
      <c r="S197" s="804"/>
      <c r="T197" s="804"/>
    </row>
    <row r="198" spans="1:20" s="565" customFormat="1" ht="18">
      <c r="A198" s="567">
        <v>196</v>
      </c>
      <c r="B198" s="1954" t="s">
        <v>1175</v>
      </c>
      <c r="C198" s="1954"/>
      <c r="D198" s="565" t="s">
        <v>505</v>
      </c>
      <c r="E198" s="568" t="s">
        <v>580</v>
      </c>
      <c r="F198" s="565">
        <f>附表!N14*2+附表!J14*2</f>
        <v>210</v>
      </c>
      <c r="G198" s="849" t="s">
        <v>1176</v>
      </c>
      <c r="H198" s="802"/>
      <c r="I198" s="568"/>
      <c r="J198" s="568"/>
      <c r="K198" s="582"/>
      <c r="L198" s="804"/>
      <c r="M198" s="582" t="s">
        <v>1138</v>
      </c>
      <c r="N198" s="804"/>
      <c r="O198" s="804"/>
      <c r="P198" s="804"/>
      <c r="Q198" s="804"/>
      <c r="R198" s="804"/>
      <c r="S198" s="804"/>
      <c r="T198" s="804"/>
    </row>
    <row r="199" spans="1:20" s="565" customFormat="1" ht="18">
      <c r="A199" s="842">
        <v>197</v>
      </c>
      <c r="B199" s="1952" t="s">
        <v>1177</v>
      </c>
      <c r="C199" s="1953"/>
      <c r="D199" s="843" t="s">
        <v>505</v>
      </c>
      <c r="E199" s="820" t="s">
        <v>1178</v>
      </c>
      <c r="F199" s="848">
        <f>附表!N14*2+MAX(附表!N14*2,附表!K14*2)</f>
        <v>260</v>
      </c>
      <c r="G199" s="821" t="s">
        <v>1179</v>
      </c>
      <c r="H199" s="802"/>
      <c r="I199" s="568"/>
      <c r="J199" s="568"/>
      <c r="K199" s="582"/>
      <c r="L199" s="804"/>
      <c r="M199" s="582" t="s">
        <v>1138</v>
      </c>
      <c r="N199" s="804"/>
      <c r="O199" s="804"/>
      <c r="P199" s="804"/>
      <c r="Q199" s="804"/>
      <c r="R199" s="804"/>
      <c r="S199" s="804"/>
      <c r="T199" s="804"/>
    </row>
    <row r="200" spans="1:20" s="565" customFormat="1" ht="18">
      <c r="A200" s="567">
        <v>198</v>
      </c>
      <c r="B200" s="1954" t="s">
        <v>1180</v>
      </c>
      <c r="C200" s="1954"/>
      <c r="D200" s="565" t="s">
        <v>437</v>
      </c>
      <c r="E200" s="568" t="s">
        <v>454</v>
      </c>
      <c r="F200" s="565">
        <f>附表!N14*4</f>
        <v>260</v>
      </c>
      <c r="G200" s="849" t="s">
        <v>773</v>
      </c>
      <c r="H200" s="802"/>
      <c r="I200" s="568"/>
      <c r="J200" s="568"/>
      <c r="K200" s="582"/>
      <c r="L200" s="804"/>
      <c r="M200" s="582" t="s">
        <v>1138</v>
      </c>
      <c r="N200" s="804"/>
      <c r="O200" s="804"/>
      <c r="P200" s="804"/>
      <c r="Q200" s="804"/>
      <c r="R200" s="804"/>
      <c r="S200" s="804"/>
      <c r="T200" s="804"/>
    </row>
    <row r="201" spans="1:20" s="565" customFormat="1" ht="18">
      <c r="A201" s="842">
        <v>199</v>
      </c>
      <c r="B201" s="1952" t="s">
        <v>1181</v>
      </c>
      <c r="C201" s="1953"/>
      <c r="D201" s="843" t="s">
        <v>505</v>
      </c>
      <c r="E201" s="820" t="s">
        <v>557</v>
      </c>
      <c r="F201" s="848">
        <f>附表!N14*2+附表!J14*2</f>
        <v>210</v>
      </c>
      <c r="G201" s="821" t="s">
        <v>1182</v>
      </c>
      <c r="H201" s="802"/>
      <c r="I201" s="568"/>
      <c r="J201" s="568"/>
      <c r="K201" s="582"/>
      <c r="L201" s="804"/>
      <c r="M201" s="582" t="s">
        <v>1138</v>
      </c>
      <c r="N201" s="804"/>
      <c r="O201" s="804"/>
      <c r="P201" s="804"/>
      <c r="Q201" s="804"/>
      <c r="R201" s="804"/>
      <c r="S201" s="804"/>
      <c r="T201" s="804"/>
    </row>
    <row r="202" spans="1:20" s="565" customFormat="1" ht="18">
      <c r="A202" s="567">
        <v>200</v>
      </c>
      <c r="B202" s="1954" t="s">
        <v>1183</v>
      </c>
      <c r="C202" s="1954"/>
      <c r="D202" s="565" t="s">
        <v>544</v>
      </c>
      <c r="E202" s="568" t="s">
        <v>454</v>
      </c>
      <c r="F202" s="565">
        <f>附表!N14*4</f>
        <v>260</v>
      </c>
      <c r="G202" s="849" t="s">
        <v>1184</v>
      </c>
      <c r="H202" s="802"/>
      <c r="I202" s="568"/>
      <c r="J202" s="568"/>
      <c r="K202" s="582"/>
      <c r="L202" s="804"/>
      <c r="M202" s="582" t="s">
        <v>1138</v>
      </c>
      <c r="N202" s="804"/>
      <c r="O202" s="804"/>
      <c r="P202" s="804"/>
      <c r="Q202" s="804"/>
      <c r="R202" s="804"/>
      <c r="S202" s="804"/>
      <c r="T202" s="804"/>
    </row>
    <row r="203" spans="1:20" s="565" customFormat="1" ht="18">
      <c r="A203" s="842">
        <v>201</v>
      </c>
      <c r="B203" s="1952" t="s">
        <v>1185</v>
      </c>
      <c r="C203" s="1953"/>
      <c r="D203" s="843" t="s">
        <v>505</v>
      </c>
      <c r="E203" s="820" t="s">
        <v>448</v>
      </c>
      <c r="F203" s="848">
        <f>附表!N14*2+MAX(附表!G14*2,附表!J14*2)</f>
        <v>310</v>
      </c>
      <c r="G203" s="821" t="s">
        <v>901</v>
      </c>
      <c r="H203" s="802"/>
      <c r="I203" s="568"/>
      <c r="J203" s="568"/>
      <c r="K203" s="582"/>
      <c r="L203" s="804"/>
      <c r="M203" s="582" t="s">
        <v>1138</v>
      </c>
      <c r="N203" s="804"/>
      <c r="O203" s="804"/>
      <c r="P203" s="804"/>
      <c r="Q203" s="804"/>
      <c r="R203" s="804"/>
      <c r="S203" s="804"/>
      <c r="T203" s="804"/>
    </row>
    <row r="204" spans="1:20" s="565" customFormat="1" ht="18">
      <c r="A204" s="567">
        <v>202</v>
      </c>
      <c r="B204" s="1954" t="s">
        <v>1186</v>
      </c>
      <c r="C204" s="1954"/>
      <c r="D204" s="565" t="s">
        <v>1187</v>
      </c>
      <c r="E204" s="568" t="s">
        <v>454</v>
      </c>
      <c r="F204" s="565">
        <f>附表!N14*4</f>
        <v>260</v>
      </c>
      <c r="G204" s="849" t="s">
        <v>1188</v>
      </c>
      <c r="H204" s="802"/>
      <c r="I204" s="568"/>
      <c r="J204" s="568"/>
      <c r="K204" s="582"/>
      <c r="L204" s="804"/>
      <c r="M204" s="582" t="s">
        <v>1138</v>
      </c>
      <c r="N204" s="804"/>
      <c r="O204" s="804"/>
      <c r="P204" s="804"/>
      <c r="Q204" s="804"/>
      <c r="R204" s="804"/>
      <c r="S204" s="804"/>
      <c r="T204" s="804"/>
    </row>
    <row r="205" spans="1:20" s="565" customFormat="1" ht="18">
      <c r="A205" s="842">
        <v>203</v>
      </c>
      <c r="B205" s="1952" t="s">
        <v>1189</v>
      </c>
      <c r="C205" s="1953"/>
      <c r="D205" s="843" t="s">
        <v>505</v>
      </c>
      <c r="E205" s="820" t="s">
        <v>448</v>
      </c>
      <c r="F205" s="848">
        <f>附表!N14*2+MAX(附表!G14*2,附表!J14*2)</f>
        <v>310</v>
      </c>
      <c r="G205" s="821" t="s">
        <v>1190</v>
      </c>
      <c r="H205" s="802"/>
      <c r="I205" s="568"/>
      <c r="J205" s="568"/>
      <c r="K205" s="582"/>
      <c r="L205" s="804"/>
      <c r="M205" s="582" t="s">
        <v>1138</v>
      </c>
      <c r="N205" s="804"/>
      <c r="O205" s="804"/>
      <c r="P205" s="804"/>
      <c r="Q205" s="804"/>
      <c r="R205" s="804"/>
      <c r="S205" s="804"/>
      <c r="T205" s="804"/>
    </row>
    <row r="206" spans="1:20" s="565" customFormat="1" ht="18">
      <c r="A206" s="571">
        <v>204</v>
      </c>
      <c r="B206" s="1958" t="s">
        <v>1191</v>
      </c>
      <c r="C206" s="1958"/>
      <c r="D206" s="570" t="s">
        <v>431</v>
      </c>
      <c r="E206" s="854" t="s">
        <v>454</v>
      </c>
      <c r="F206" s="570">
        <f>附表!N14*4</f>
        <v>260</v>
      </c>
      <c r="G206" s="855" t="s">
        <v>1192</v>
      </c>
      <c r="H206" s="802"/>
      <c r="I206" s="568"/>
      <c r="J206" s="568"/>
      <c r="K206" s="582"/>
      <c r="L206" s="804"/>
      <c r="M206" s="582" t="s">
        <v>1138</v>
      </c>
      <c r="N206" s="804"/>
      <c r="O206" s="804"/>
      <c r="P206" s="804"/>
      <c r="Q206" s="804"/>
      <c r="R206" s="804"/>
      <c r="S206" s="804"/>
      <c r="T206" s="804"/>
    </row>
    <row r="207" spans="1:20" s="565" customFormat="1" ht="36">
      <c r="A207" s="870">
        <v>205</v>
      </c>
      <c r="B207" s="1969" t="s">
        <v>1193</v>
      </c>
      <c r="C207" s="1969"/>
      <c r="D207" s="871" t="s">
        <v>505</v>
      </c>
      <c r="E207" s="879" t="s">
        <v>438</v>
      </c>
      <c r="F207" s="841">
        <f>附表!N14*2+附表!K14*2</f>
        <v>260</v>
      </c>
      <c r="G207" s="880" t="s">
        <v>1194</v>
      </c>
      <c r="H207" s="1982" t="s">
        <v>1195</v>
      </c>
      <c r="I207" s="1982"/>
      <c r="J207" s="568"/>
      <c r="K207" s="582"/>
      <c r="L207" s="804"/>
      <c r="M207" s="582" t="s">
        <v>1196</v>
      </c>
      <c r="N207" s="804"/>
      <c r="O207" s="804"/>
      <c r="P207" s="804"/>
      <c r="Q207" s="804"/>
      <c r="R207" s="804"/>
      <c r="S207" s="804"/>
      <c r="T207" s="804"/>
    </row>
    <row r="208" spans="1:20" s="565" customFormat="1" ht="18">
      <c r="A208" s="872">
        <v>206</v>
      </c>
      <c r="B208" s="1970" t="s">
        <v>1197</v>
      </c>
      <c r="C208" s="1971"/>
      <c r="D208" s="843" t="s">
        <v>562</v>
      </c>
      <c r="E208" s="815" t="s">
        <v>454</v>
      </c>
      <c r="F208" s="848">
        <f>附表!N14*4</f>
        <v>260</v>
      </c>
      <c r="G208" s="881" t="s">
        <v>1198</v>
      </c>
      <c r="H208" s="1982"/>
      <c r="I208" s="1982"/>
      <c r="J208" s="568"/>
      <c r="K208" s="582"/>
      <c r="L208" s="804"/>
      <c r="M208" s="582" t="s">
        <v>1196</v>
      </c>
      <c r="N208" s="804"/>
      <c r="O208" s="804"/>
      <c r="P208" s="804"/>
      <c r="Q208" s="804"/>
      <c r="R208" s="804"/>
      <c r="S208" s="804"/>
      <c r="T208" s="804"/>
    </row>
    <row r="209" spans="1:20" s="565" customFormat="1" ht="18">
      <c r="A209" s="873">
        <v>207</v>
      </c>
      <c r="B209" s="1972" t="s">
        <v>1199</v>
      </c>
      <c r="C209" s="1972"/>
      <c r="D209" s="874" t="s">
        <v>1200</v>
      </c>
      <c r="E209" s="803" t="s">
        <v>1178</v>
      </c>
      <c r="F209" s="565">
        <f>附表!N14*2+MAX(附表!N14*2,附表!K14*2)</f>
        <v>260</v>
      </c>
      <c r="G209" s="882" t="s">
        <v>1201</v>
      </c>
      <c r="H209" s="1982"/>
      <c r="I209" s="1982"/>
      <c r="J209" s="568"/>
      <c r="K209" s="582"/>
      <c r="L209" s="804"/>
      <c r="M209" s="582" t="s">
        <v>1196</v>
      </c>
      <c r="N209" s="804"/>
      <c r="O209" s="804"/>
      <c r="P209" s="804"/>
      <c r="Q209" s="804"/>
      <c r="R209" s="804"/>
      <c r="S209" s="804"/>
      <c r="T209" s="804"/>
    </row>
    <row r="210" spans="1:20" s="565" customFormat="1" ht="18">
      <c r="A210" s="872">
        <v>208</v>
      </c>
      <c r="B210" s="1970" t="s">
        <v>487</v>
      </c>
      <c r="C210" s="1971"/>
      <c r="D210" s="843" t="s">
        <v>460</v>
      </c>
      <c r="E210" s="815" t="s">
        <v>489</v>
      </c>
      <c r="F210" s="848">
        <f>附表!N14*2+MAX(附表!J14*2,附表!M14*2)</f>
        <v>280</v>
      </c>
      <c r="G210" s="881" t="s">
        <v>1202</v>
      </c>
      <c r="H210" s="1982"/>
      <c r="I210" s="1982"/>
      <c r="J210" s="568"/>
      <c r="K210" s="582"/>
      <c r="L210" s="804"/>
      <c r="M210" s="582" t="s">
        <v>1196</v>
      </c>
      <c r="N210" s="804"/>
      <c r="O210" s="804"/>
      <c r="P210" s="804"/>
      <c r="Q210" s="804"/>
      <c r="R210" s="804"/>
      <c r="S210" s="804"/>
      <c r="T210" s="804"/>
    </row>
    <row r="211" spans="1:20" s="565" customFormat="1" ht="18">
      <c r="A211" s="873">
        <v>209</v>
      </c>
      <c r="B211" s="1972" t="s">
        <v>1203</v>
      </c>
      <c r="C211" s="1972"/>
      <c r="D211" s="874" t="s">
        <v>460</v>
      </c>
      <c r="E211" s="803" t="s">
        <v>454</v>
      </c>
      <c r="F211" s="565">
        <f>附表!N14*4</f>
        <v>260</v>
      </c>
      <c r="G211" s="882" t="s">
        <v>1204</v>
      </c>
      <c r="H211" s="1982"/>
      <c r="I211" s="1982"/>
      <c r="J211" s="568"/>
      <c r="K211" s="582"/>
      <c r="L211" s="804"/>
      <c r="M211" s="582" t="s">
        <v>1196</v>
      </c>
      <c r="N211" s="804"/>
      <c r="O211" s="804"/>
      <c r="P211" s="804"/>
      <c r="Q211" s="804"/>
      <c r="R211" s="804"/>
      <c r="S211" s="804"/>
      <c r="T211" s="804"/>
    </row>
    <row r="212" spans="1:20" s="565" customFormat="1" ht="18">
      <c r="A212" s="872">
        <v>210</v>
      </c>
      <c r="B212" s="1970" t="s">
        <v>1205</v>
      </c>
      <c r="C212" s="1971"/>
      <c r="D212" s="843" t="s">
        <v>614</v>
      </c>
      <c r="E212" s="815" t="s">
        <v>557</v>
      </c>
      <c r="F212" s="848">
        <f>附表!N14*2+附表!J14*2</f>
        <v>210</v>
      </c>
      <c r="G212" s="881" t="s">
        <v>1206</v>
      </c>
      <c r="H212" s="1982"/>
      <c r="I212" s="1982"/>
      <c r="J212" s="568"/>
      <c r="K212" s="582"/>
      <c r="L212" s="804"/>
      <c r="M212" s="582" t="s">
        <v>1196</v>
      </c>
      <c r="N212" s="804"/>
      <c r="O212" s="804"/>
      <c r="P212" s="804"/>
      <c r="Q212" s="804"/>
      <c r="R212" s="804"/>
      <c r="S212" s="804"/>
      <c r="T212" s="804"/>
    </row>
    <row r="213" spans="1:20" s="565" customFormat="1" ht="18">
      <c r="A213" s="873">
        <v>211</v>
      </c>
      <c r="B213" s="1972" t="s">
        <v>1207</v>
      </c>
      <c r="C213" s="1972"/>
      <c r="D213" s="874" t="s">
        <v>1208</v>
      </c>
      <c r="E213" s="803" t="s">
        <v>461</v>
      </c>
      <c r="F213" s="565">
        <f>附表!N14*2+MAX(附表!K14*2,附表!M14*2)</f>
        <v>280</v>
      </c>
      <c r="G213" s="882" t="s">
        <v>1209</v>
      </c>
      <c r="H213" s="1955" t="s">
        <v>974</v>
      </c>
      <c r="I213" s="1955"/>
      <c r="J213" s="568"/>
      <c r="K213" s="582"/>
      <c r="L213" s="804"/>
      <c r="M213" s="582" t="s">
        <v>1196</v>
      </c>
      <c r="N213" s="804"/>
      <c r="O213" s="804"/>
      <c r="P213" s="804"/>
      <c r="Q213" s="804"/>
      <c r="R213" s="804"/>
      <c r="S213" s="804"/>
      <c r="T213" s="804"/>
    </row>
    <row r="214" spans="1:20" s="565" customFormat="1" ht="18">
      <c r="A214" s="872">
        <v>212</v>
      </c>
      <c r="B214" s="1970" t="s">
        <v>1210</v>
      </c>
      <c r="C214" s="1971"/>
      <c r="D214" s="843" t="s">
        <v>453</v>
      </c>
      <c r="E214" s="815" t="s">
        <v>454</v>
      </c>
      <c r="F214" s="848">
        <f>附表!N14*4</f>
        <v>260</v>
      </c>
      <c r="G214" s="881" t="s">
        <v>1211</v>
      </c>
      <c r="H214" s="1955" t="s">
        <v>1212</v>
      </c>
      <c r="I214" s="1955"/>
      <c r="J214" s="568"/>
      <c r="K214" s="582"/>
      <c r="L214" s="804"/>
      <c r="M214" s="582" t="s">
        <v>1196</v>
      </c>
      <c r="N214" s="804"/>
      <c r="O214" s="804"/>
      <c r="P214" s="804"/>
      <c r="Q214" s="804"/>
      <c r="R214" s="804"/>
      <c r="S214" s="804"/>
      <c r="T214" s="804"/>
    </row>
    <row r="215" spans="1:20" s="565" customFormat="1" ht="18">
      <c r="A215" s="873">
        <v>213</v>
      </c>
      <c r="B215" s="1972" t="s">
        <v>556</v>
      </c>
      <c r="C215" s="1972"/>
      <c r="D215" s="874" t="s">
        <v>768</v>
      </c>
      <c r="E215" s="803" t="s">
        <v>448</v>
      </c>
      <c r="F215" s="565">
        <f>附表!N14*2+MAX(附表!G14*2,附表!J14*2)</f>
        <v>310</v>
      </c>
      <c r="G215" s="882" t="s">
        <v>1213</v>
      </c>
      <c r="H215" s="802"/>
      <c r="I215" s="568"/>
      <c r="J215" s="568"/>
      <c r="K215" s="582"/>
      <c r="L215" s="804"/>
      <c r="M215" s="582" t="s">
        <v>1196</v>
      </c>
      <c r="N215" s="804"/>
      <c r="O215" s="804"/>
      <c r="P215" s="804"/>
      <c r="Q215" s="804"/>
      <c r="R215" s="804"/>
      <c r="S215" s="804"/>
      <c r="T215" s="804"/>
    </row>
    <row r="216" spans="1:20" s="565" customFormat="1" ht="18">
      <c r="A216" s="872">
        <v>214</v>
      </c>
      <c r="B216" s="1970" t="s">
        <v>1214</v>
      </c>
      <c r="C216" s="1971"/>
      <c r="D216" s="843" t="s">
        <v>505</v>
      </c>
      <c r="E216" s="815" t="s">
        <v>646</v>
      </c>
      <c r="F216" s="848">
        <f>附表!N14*2+MAX(附表!J14*2,附表!K14*2,附表!G14*2)</f>
        <v>310</v>
      </c>
      <c r="G216" s="881" t="s">
        <v>1215</v>
      </c>
      <c r="H216" s="802"/>
      <c r="I216" s="568"/>
      <c r="J216" s="568"/>
      <c r="K216" s="582"/>
      <c r="L216" s="804"/>
      <c r="M216" s="582" t="s">
        <v>1196</v>
      </c>
      <c r="N216" s="804"/>
      <c r="O216" s="804"/>
      <c r="P216" s="804"/>
      <c r="Q216" s="804"/>
      <c r="R216" s="804"/>
      <c r="S216" s="804"/>
      <c r="T216" s="804"/>
    </row>
    <row r="217" spans="1:20" s="565" customFormat="1" ht="18">
      <c r="A217" s="873">
        <v>215</v>
      </c>
      <c r="B217" s="1972" t="s">
        <v>1216</v>
      </c>
      <c r="C217" s="1972"/>
      <c r="D217" s="874" t="s">
        <v>544</v>
      </c>
      <c r="E217" s="803" t="s">
        <v>438</v>
      </c>
      <c r="F217" s="565">
        <f>附表!N14*2+附表!K14*2</f>
        <v>260</v>
      </c>
      <c r="G217" s="882" t="s">
        <v>1217</v>
      </c>
      <c r="H217" s="802"/>
      <c r="I217" s="568"/>
      <c r="J217" s="568"/>
      <c r="K217" s="582"/>
      <c r="L217" s="804"/>
      <c r="M217" s="582" t="s">
        <v>1196</v>
      </c>
      <c r="N217" s="804"/>
      <c r="O217" s="804"/>
      <c r="P217" s="804"/>
      <c r="Q217" s="804"/>
      <c r="R217" s="804"/>
      <c r="S217" s="804"/>
      <c r="T217" s="804"/>
    </row>
    <row r="218" spans="1:20" s="565" customFormat="1" ht="18">
      <c r="A218" s="872">
        <v>216</v>
      </c>
      <c r="B218" s="1970" t="s">
        <v>676</v>
      </c>
      <c r="C218" s="1971"/>
      <c r="D218" s="843" t="s">
        <v>460</v>
      </c>
      <c r="E218" s="815" t="s">
        <v>461</v>
      </c>
      <c r="F218" s="848">
        <f>附表!N14*2+MAX(附表!K14*2,附表!M14*2)</f>
        <v>280</v>
      </c>
      <c r="G218" s="881" t="s">
        <v>1218</v>
      </c>
      <c r="H218" s="802"/>
      <c r="I218" s="568"/>
      <c r="J218" s="568"/>
      <c r="K218" s="582"/>
      <c r="L218" s="804"/>
      <c r="M218" s="582" t="s">
        <v>1196</v>
      </c>
      <c r="N218" s="804"/>
      <c r="O218" s="804"/>
      <c r="P218" s="804"/>
      <c r="Q218" s="804"/>
      <c r="R218" s="804"/>
      <c r="S218" s="804"/>
      <c r="T218" s="804"/>
    </row>
    <row r="219" spans="1:20" s="565" customFormat="1" ht="18">
      <c r="A219" s="873">
        <v>217</v>
      </c>
      <c r="B219" s="1972" t="s">
        <v>1219</v>
      </c>
      <c r="C219" s="1972"/>
      <c r="D219" s="874" t="s">
        <v>1220</v>
      </c>
      <c r="E219" s="803" t="s">
        <v>454</v>
      </c>
      <c r="F219" s="565">
        <f>附表!N14*4</f>
        <v>260</v>
      </c>
      <c r="G219" s="882" t="s">
        <v>1221</v>
      </c>
      <c r="H219" s="802"/>
      <c r="I219" s="568"/>
      <c r="J219" s="568"/>
      <c r="K219" s="582"/>
      <c r="L219" s="804"/>
      <c r="M219" s="582" t="s">
        <v>1196</v>
      </c>
      <c r="N219" s="804"/>
      <c r="O219" s="804"/>
      <c r="P219" s="804"/>
      <c r="Q219" s="804"/>
      <c r="R219" s="804"/>
      <c r="S219" s="804"/>
      <c r="T219" s="804"/>
    </row>
    <row r="220" spans="1:20" s="565" customFormat="1" ht="36">
      <c r="A220" s="872">
        <v>218</v>
      </c>
      <c r="B220" s="1970" t="s">
        <v>1222</v>
      </c>
      <c r="C220" s="1971"/>
      <c r="D220" s="843" t="s">
        <v>1223</v>
      </c>
      <c r="E220" s="815" t="s">
        <v>646</v>
      </c>
      <c r="F220" s="848">
        <f>附表!N14*2+MAX(附表!J14*2,附表!K14*2,附表!G14*2)</f>
        <v>310</v>
      </c>
      <c r="G220" s="881" t="s">
        <v>1224</v>
      </c>
      <c r="H220" s="802"/>
      <c r="I220" s="568"/>
      <c r="J220" s="568"/>
      <c r="K220" s="582"/>
      <c r="L220" s="804"/>
      <c r="M220" s="582" t="s">
        <v>1196</v>
      </c>
      <c r="N220" s="804"/>
      <c r="O220" s="804"/>
      <c r="P220" s="804"/>
      <c r="Q220" s="804"/>
      <c r="R220" s="804"/>
      <c r="S220" s="804"/>
      <c r="T220" s="804"/>
    </row>
    <row r="221" spans="1:20" s="565" customFormat="1" ht="18">
      <c r="A221" s="873">
        <v>219</v>
      </c>
      <c r="B221" s="1972" t="s">
        <v>845</v>
      </c>
      <c r="C221" s="1972"/>
      <c r="D221" s="874" t="s">
        <v>437</v>
      </c>
      <c r="E221" s="803" t="s">
        <v>726</v>
      </c>
      <c r="F221" s="565">
        <f>附表!N14*2+MAX(附表!J14*2,附表!K14*2)</f>
        <v>260</v>
      </c>
      <c r="G221" s="882" t="s">
        <v>1225</v>
      </c>
      <c r="H221" s="802"/>
      <c r="I221" s="568"/>
      <c r="J221" s="568"/>
      <c r="K221" s="582"/>
      <c r="L221" s="804"/>
      <c r="M221" s="582" t="s">
        <v>1196</v>
      </c>
      <c r="N221" s="804"/>
      <c r="O221" s="804"/>
      <c r="P221" s="804"/>
      <c r="Q221" s="804"/>
      <c r="R221" s="804"/>
      <c r="S221" s="804"/>
      <c r="T221" s="804"/>
    </row>
    <row r="222" spans="1:20" s="565" customFormat="1" ht="18">
      <c r="A222" s="872">
        <v>220</v>
      </c>
      <c r="B222" s="1970" t="s">
        <v>1226</v>
      </c>
      <c r="C222" s="1971"/>
      <c r="D222" s="843" t="s">
        <v>505</v>
      </c>
      <c r="E222" s="815" t="s">
        <v>726</v>
      </c>
      <c r="F222" s="848">
        <f>附表!N14*2+MAX(附表!J14*2,附表!K14*2)</f>
        <v>260</v>
      </c>
      <c r="G222" s="881" t="s">
        <v>1227</v>
      </c>
      <c r="H222" s="802"/>
      <c r="I222" s="568"/>
      <c r="J222" s="568"/>
      <c r="K222" s="582"/>
      <c r="L222" s="804"/>
      <c r="M222" s="582" t="s">
        <v>1196</v>
      </c>
      <c r="N222" s="804"/>
      <c r="O222" s="804"/>
      <c r="P222" s="804"/>
      <c r="Q222" s="804"/>
      <c r="R222" s="804"/>
      <c r="S222" s="804"/>
      <c r="T222" s="804"/>
    </row>
    <row r="223" spans="1:20" s="565" customFormat="1" ht="36">
      <c r="A223" s="873">
        <v>221</v>
      </c>
      <c r="B223" s="1972" t="s">
        <v>1228</v>
      </c>
      <c r="C223" s="1972"/>
      <c r="D223" s="874" t="s">
        <v>854</v>
      </c>
      <c r="E223" s="803" t="s">
        <v>531</v>
      </c>
      <c r="F223" s="565">
        <f>附表!N14*2+附表!G14*2</f>
        <v>310</v>
      </c>
      <c r="G223" s="883" t="s">
        <v>1229</v>
      </c>
      <c r="H223" s="802"/>
      <c r="I223" s="568"/>
      <c r="J223" s="568"/>
      <c r="K223" s="582"/>
      <c r="L223" s="804"/>
      <c r="M223" s="582" t="s">
        <v>1196</v>
      </c>
      <c r="N223" s="804"/>
      <c r="O223" s="1979"/>
      <c r="P223" s="1979"/>
      <c r="Q223" s="1979"/>
      <c r="R223" s="804"/>
      <c r="S223" s="804"/>
      <c r="T223" s="804"/>
    </row>
    <row r="224" spans="1:20" s="565" customFormat="1" ht="18">
      <c r="A224" s="872">
        <v>222</v>
      </c>
      <c r="B224" s="1970" t="s">
        <v>763</v>
      </c>
      <c r="C224" s="1971"/>
      <c r="D224" s="843" t="s">
        <v>939</v>
      </c>
      <c r="E224" s="815" t="s">
        <v>454</v>
      </c>
      <c r="F224" s="848">
        <f>附表!N14*4</f>
        <v>260</v>
      </c>
      <c r="G224" s="881" t="s">
        <v>1230</v>
      </c>
      <c r="H224" s="802"/>
      <c r="I224" s="568"/>
      <c r="J224" s="568"/>
      <c r="K224" s="582"/>
      <c r="L224" s="804"/>
      <c r="M224" s="582" t="s">
        <v>1196</v>
      </c>
      <c r="N224" s="804"/>
      <c r="O224" s="1979"/>
      <c r="P224" s="1979"/>
      <c r="Q224" s="1979"/>
      <c r="R224" s="804"/>
      <c r="S224" s="804"/>
      <c r="T224" s="804"/>
    </row>
    <row r="225" spans="1:20" s="565" customFormat="1" ht="18">
      <c r="A225" s="873">
        <v>223</v>
      </c>
      <c r="B225" s="1972" t="s">
        <v>1231</v>
      </c>
      <c r="C225" s="1972"/>
      <c r="D225" s="874" t="s">
        <v>425</v>
      </c>
      <c r="E225" s="803" t="s">
        <v>454</v>
      </c>
      <c r="F225" s="565">
        <f>附表!N14*4</f>
        <v>260</v>
      </c>
      <c r="G225" s="882" t="s">
        <v>1232</v>
      </c>
      <c r="H225" s="802"/>
      <c r="I225" s="568"/>
      <c r="J225" s="568"/>
      <c r="K225" s="582"/>
      <c r="L225" s="804"/>
      <c r="M225" s="582" t="s">
        <v>1196</v>
      </c>
      <c r="N225" s="804"/>
      <c r="O225" s="804"/>
      <c r="P225" s="804"/>
      <c r="Q225" s="804"/>
      <c r="R225" s="804"/>
      <c r="S225" s="804"/>
      <c r="T225" s="804"/>
    </row>
    <row r="226" spans="1:20" s="565" customFormat="1" ht="18">
      <c r="A226" s="872">
        <v>224</v>
      </c>
      <c r="B226" s="1970" t="s">
        <v>1233</v>
      </c>
      <c r="C226" s="1971"/>
      <c r="D226" s="843" t="s">
        <v>505</v>
      </c>
      <c r="E226" s="815" t="s">
        <v>448</v>
      </c>
      <c r="F226" s="848">
        <f>附表!N14*2+MAX(附表!G14*2,附表!J14*2)</f>
        <v>310</v>
      </c>
      <c r="G226" s="881" t="s">
        <v>1234</v>
      </c>
      <c r="H226" s="802"/>
      <c r="I226" s="568"/>
      <c r="J226" s="568"/>
      <c r="K226" s="582"/>
      <c r="L226" s="804"/>
      <c r="M226" s="582" t="s">
        <v>1196</v>
      </c>
      <c r="N226" s="804"/>
      <c r="O226" s="804"/>
      <c r="P226" s="804"/>
      <c r="Q226" s="804"/>
      <c r="R226" s="804"/>
      <c r="S226" s="804"/>
      <c r="T226" s="804"/>
    </row>
    <row r="227" spans="1:20" s="565" customFormat="1" ht="18">
      <c r="A227" s="873">
        <v>225</v>
      </c>
      <c r="B227" s="1972" t="s">
        <v>1235</v>
      </c>
      <c r="C227" s="1972"/>
      <c r="D227" s="874" t="s">
        <v>515</v>
      </c>
      <c r="E227" s="803" t="s">
        <v>454</v>
      </c>
      <c r="F227" s="565">
        <f>附表!N14*4</f>
        <v>260</v>
      </c>
      <c r="G227" s="882" t="s">
        <v>1236</v>
      </c>
      <c r="H227" s="802"/>
      <c r="I227" s="568"/>
      <c r="J227" s="568"/>
      <c r="K227" s="582"/>
      <c r="L227" s="804"/>
      <c r="M227" s="582" t="s">
        <v>1196</v>
      </c>
      <c r="N227" s="804"/>
      <c r="O227" s="804"/>
      <c r="P227" s="804"/>
      <c r="Q227" s="804"/>
      <c r="R227" s="804"/>
      <c r="S227" s="804"/>
      <c r="T227" s="804"/>
    </row>
    <row r="228" spans="1:20" s="565" customFormat="1" ht="18">
      <c r="A228" s="872">
        <v>226</v>
      </c>
      <c r="B228" s="1970" t="s">
        <v>887</v>
      </c>
      <c r="C228" s="1971"/>
      <c r="D228" s="843" t="s">
        <v>453</v>
      </c>
      <c r="E228" s="815" t="s">
        <v>454</v>
      </c>
      <c r="F228" s="848">
        <f>附表!N14*4</f>
        <v>260</v>
      </c>
      <c r="G228" s="881" t="s">
        <v>1237</v>
      </c>
      <c r="H228" s="802"/>
      <c r="I228" s="568"/>
      <c r="J228" s="568"/>
      <c r="K228" s="582"/>
      <c r="L228" s="804"/>
      <c r="M228" s="582" t="s">
        <v>1196</v>
      </c>
      <c r="N228" s="804"/>
      <c r="O228" s="804"/>
      <c r="P228" s="804"/>
      <c r="Q228" s="804"/>
      <c r="R228" s="804"/>
      <c r="S228" s="804"/>
      <c r="T228" s="804"/>
    </row>
    <row r="229" spans="1:20" s="565" customFormat="1" ht="18">
      <c r="A229" s="873">
        <v>227</v>
      </c>
      <c r="B229" s="1972" t="s">
        <v>1238</v>
      </c>
      <c r="C229" s="1972"/>
      <c r="D229" s="874" t="s">
        <v>854</v>
      </c>
      <c r="E229" s="803" t="s">
        <v>726</v>
      </c>
      <c r="F229" s="565">
        <f>附表!N14*2+MAX(附表!K14*2,附表!J14*2)</f>
        <v>260</v>
      </c>
      <c r="G229" s="882" t="s">
        <v>1239</v>
      </c>
      <c r="H229" s="802"/>
      <c r="I229" s="568"/>
      <c r="J229" s="568"/>
      <c r="K229" s="582"/>
      <c r="L229" s="804"/>
      <c r="M229" s="582" t="s">
        <v>1196</v>
      </c>
      <c r="N229" s="804"/>
      <c r="O229" s="804"/>
      <c r="P229" s="804"/>
      <c r="Q229" s="804"/>
      <c r="R229" s="804"/>
      <c r="S229" s="804"/>
      <c r="T229" s="804"/>
    </row>
    <row r="230" spans="1:20" s="565" customFormat="1" ht="18">
      <c r="A230" s="872">
        <v>228</v>
      </c>
      <c r="B230" s="1970" t="s">
        <v>1240</v>
      </c>
      <c r="C230" s="1971"/>
      <c r="D230" s="843" t="s">
        <v>505</v>
      </c>
      <c r="E230" s="815" t="s">
        <v>726</v>
      </c>
      <c r="F230" s="848">
        <f>附表!N14*2+MAX(附表!K14*2,附表!J14*2)</f>
        <v>260</v>
      </c>
      <c r="G230" s="881" t="s">
        <v>1241</v>
      </c>
      <c r="H230" s="802"/>
      <c r="I230" s="568"/>
      <c r="J230" s="568"/>
      <c r="K230" s="582"/>
      <c r="L230" s="804"/>
      <c r="M230" s="582" t="s">
        <v>1196</v>
      </c>
      <c r="N230" s="804"/>
      <c r="O230" s="804"/>
      <c r="P230" s="804"/>
      <c r="Q230" s="804"/>
      <c r="R230" s="804"/>
      <c r="S230" s="804"/>
      <c r="T230" s="804"/>
    </row>
    <row r="231" spans="1:20" s="565" customFormat="1" ht="18">
      <c r="A231" s="873">
        <v>229</v>
      </c>
      <c r="B231" s="1972" t="s">
        <v>1242</v>
      </c>
      <c r="C231" s="1972"/>
      <c r="D231" s="874" t="s">
        <v>505</v>
      </c>
      <c r="E231" s="803" t="s">
        <v>448</v>
      </c>
      <c r="F231" s="565">
        <f>附表!N14*2+MAX(附表!G14*2,附表!J14*2)</f>
        <v>310</v>
      </c>
      <c r="G231" s="882" t="s">
        <v>1243</v>
      </c>
      <c r="H231" s="802"/>
      <c r="I231" s="568"/>
      <c r="J231" s="568"/>
      <c r="K231" s="582"/>
      <c r="L231" s="804"/>
      <c r="M231" s="582" t="s">
        <v>1196</v>
      </c>
      <c r="N231" s="804"/>
      <c r="O231" s="804"/>
      <c r="P231" s="804"/>
      <c r="Q231" s="804"/>
      <c r="R231" s="804"/>
      <c r="S231" s="804"/>
      <c r="T231" s="804"/>
    </row>
    <row r="232" spans="1:20" s="565" customFormat="1" ht="18">
      <c r="A232" s="875">
        <v>230</v>
      </c>
      <c r="B232" s="1973" t="s">
        <v>1244</v>
      </c>
      <c r="C232" s="1974"/>
      <c r="D232" s="853" t="s">
        <v>425</v>
      </c>
      <c r="E232" s="840" t="s">
        <v>609</v>
      </c>
      <c r="F232" s="844">
        <f>附表!N14*2+MAX(附表!K14*2,附表!J14*2)</f>
        <v>260</v>
      </c>
      <c r="G232" s="884" t="s">
        <v>1245</v>
      </c>
      <c r="H232" s="802"/>
      <c r="I232" s="568"/>
      <c r="J232" s="568"/>
      <c r="K232" s="582"/>
      <c r="L232" s="804"/>
      <c r="M232" s="582" t="s">
        <v>1196</v>
      </c>
      <c r="N232" s="804"/>
      <c r="O232" s="804"/>
      <c r="P232" s="804"/>
      <c r="Q232" s="804"/>
      <c r="R232" s="804"/>
      <c r="S232" s="804"/>
      <c r="T232" s="804"/>
    </row>
    <row r="233" spans="1:20" s="565" customFormat="1">
      <c r="A233" s="876"/>
      <c r="B233" s="1975"/>
      <c r="C233" s="1975"/>
      <c r="D233" s="876"/>
      <c r="E233" s="885"/>
      <c r="F233" s="876"/>
      <c r="G233" s="877"/>
      <c r="H233" s="865"/>
      <c r="I233" s="886"/>
      <c r="J233" s="886"/>
      <c r="K233" s="563"/>
      <c r="L233" s="804"/>
      <c r="M233" s="582"/>
      <c r="N233" s="804"/>
      <c r="O233" s="804"/>
      <c r="P233" s="804"/>
      <c r="Q233" s="804"/>
      <c r="R233" s="804"/>
      <c r="S233" s="804"/>
      <c r="T233" s="804"/>
    </row>
    <row r="234" spans="1:20" s="565" customFormat="1">
      <c r="A234" s="804"/>
      <c r="B234" s="1976"/>
      <c r="C234" s="1976"/>
      <c r="D234" s="876"/>
      <c r="E234" s="886"/>
      <c r="F234" s="804"/>
      <c r="G234" s="865"/>
      <c r="H234" s="865"/>
      <c r="I234" s="886"/>
      <c r="J234" s="886"/>
      <c r="K234" s="563"/>
      <c r="L234" s="804"/>
      <c r="M234" s="582"/>
      <c r="N234" s="804"/>
      <c r="O234" s="804"/>
      <c r="P234" s="804"/>
      <c r="Q234" s="804"/>
      <c r="R234" s="804"/>
      <c r="S234" s="804"/>
      <c r="T234" s="804"/>
    </row>
    <row r="235" spans="1:20" s="565" customFormat="1">
      <c r="A235" s="804"/>
      <c r="B235" s="1976"/>
      <c r="C235" s="1976"/>
      <c r="D235" s="804"/>
      <c r="E235" s="886"/>
      <c r="F235" s="804"/>
      <c r="G235" s="878"/>
      <c r="H235" s="865"/>
      <c r="I235" s="886"/>
      <c r="J235" s="886"/>
      <c r="K235" s="563"/>
      <c r="L235" s="804"/>
      <c r="M235" s="582"/>
      <c r="N235" s="804"/>
      <c r="O235" s="804"/>
      <c r="P235" s="804"/>
      <c r="Q235" s="804"/>
      <c r="R235" s="804"/>
      <c r="S235" s="804"/>
      <c r="T235" s="804"/>
    </row>
    <row r="236" spans="1:20" s="565" customFormat="1">
      <c r="A236" s="804"/>
      <c r="B236" s="1976"/>
      <c r="C236" s="1976"/>
      <c r="D236" s="876"/>
      <c r="E236" s="886"/>
      <c r="F236" s="804"/>
      <c r="G236" s="865"/>
      <c r="H236" s="865"/>
      <c r="I236" s="886"/>
      <c r="J236" s="886"/>
      <c r="K236" s="563"/>
      <c r="L236" s="804"/>
      <c r="M236" s="582"/>
      <c r="N236" s="804"/>
      <c r="O236" s="804"/>
      <c r="P236" s="804"/>
      <c r="Q236" s="804"/>
      <c r="R236" s="804"/>
      <c r="S236" s="804"/>
      <c r="T236" s="804"/>
    </row>
    <row r="237" spans="1:20" s="565" customFormat="1">
      <c r="A237" s="804"/>
      <c r="B237" s="1976"/>
      <c r="C237" s="1976"/>
      <c r="D237" s="804"/>
      <c r="E237" s="886"/>
      <c r="F237" s="804"/>
      <c r="G237" s="878"/>
      <c r="H237" s="865"/>
      <c r="I237" s="886"/>
      <c r="J237" s="886"/>
      <c r="K237" s="563"/>
      <c r="L237" s="804"/>
      <c r="M237" s="582"/>
      <c r="N237" s="804"/>
      <c r="O237" s="804"/>
      <c r="P237" s="804"/>
      <c r="Q237" s="804"/>
      <c r="R237" s="804"/>
      <c r="S237" s="804"/>
      <c r="T237" s="804"/>
    </row>
  </sheetData>
  <sheetProtection sheet="1" objects="1" formatCells="0"/>
  <protectedRanges>
    <protectedRange sqref="C3 D3 I3:J10 J11 I15:I23" name="自定义职业"/>
  </protectedRanges>
  <mergeCells count="390">
    <mergeCell ref="B233:C233"/>
    <mergeCell ref="B234:C234"/>
    <mergeCell ref="B235:C235"/>
    <mergeCell ref="B236:C236"/>
    <mergeCell ref="B237:C237"/>
    <mergeCell ref="H2:H10"/>
    <mergeCell ref="O223:Q224"/>
    <mergeCell ref="O171:Q172"/>
    <mergeCell ref="O169:Q170"/>
    <mergeCell ref="O166:Q168"/>
    <mergeCell ref="H159:I164"/>
    <mergeCell ref="O176:Q179"/>
    <mergeCell ref="H172:I177"/>
    <mergeCell ref="H180:I183"/>
    <mergeCell ref="H207:I212"/>
    <mergeCell ref="H118:I123"/>
    <mergeCell ref="B224:C224"/>
    <mergeCell ref="B225:C225"/>
    <mergeCell ref="B226:C226"/>
    <mergeCell ref="B227:C227"/>
    <mergeCell ref="B228:C228"/>
    <mergeCell ref="B229:C229"/>
    <mergeCell ref="B230:C230"/>
    <mergeCell ref="B231:C231"/>
    <mergeCell ref="B232:C232"/>
    <mergeCell ref="B215:C215"/>
    <mergeCell ref="B216:C216"/>
    <mergeCell ref="B217:C217"/>
    <mergeCell ref="B218:C218"/>
    <mergeCell ref="B219:C219"/>
    <mergeCell ref="B220:C220"/>
    <mergeCell ref="B221:C221"/>
    <mergeCell ref="B222:C222"/>
    <mergeCell ref="B223:C223"/>
    <mergeCell ref="B207:C207"/>
    <mergeCell ref="B208:C208"/>
    <mergeCell ref="B209:C209"/>
    <mergeCell ref="B210:C210"/>
    <mergeCell ref="B211:C211"/>
    <mergeCell ref="B212:C212"/>
    <mergeCell ref="B213:C213"/>
    <mergeCell ref="H213:I213"/>
    <mergeCell ref="B214:C214"/>
    <mergeCell ref="H214:I214"/>
    <mergeCell ref="B198:C198"/>
    <mergeCell ref="B199:C199"/>
    <mergeCell ref="B200:C200"/>
    <mergeCell ref="B201:C201"/>
    <mergeCell ref="B202:C202"/>
    <mergeCell ref="B203:C203"/>
    <mergeCell ref="B204:C204"/>
    <mergeCell ref="B205:C205"/>
    <mergeCell ref="B206:C206"/>
    <mergeCell ref="B189:C189"/>
    <mergeCell ref="B190:C190"/>
    <mergeCell ref="B191:C191"/>
    <mergeCell ref="B192:C192"/>
    <mergeCell ref="B193:C193"/>
    <mergeCell ref="B194:C194"/>
    <mergeCell ref="B195:C195"/>
    <mergeCell ref="B196:C196"/>
    <mergeCell ref="B197:C197"/>
    <mergeCell ref="B180:C180"/>
    <mergeCell ref="B181:C181"/>
    <mergeCell ref="B182:C182"/>
    <mergeCell ref="B183:C183"/>
    <mergeCell ref="B184:C184"/>
    <mergeCell ref="B185:C185"/>
    <mergeCell ref="B186:C186"/>
    <mergeCell ref="B187:C187"/>
    <mergeCell ref="B188:C188"/>
    <mergeCell ref="B172:C172"/>
    <mergeCell ref="B173:C173"/>
    <mergeCell ref="B174:C174"/>
    <mergeCell ref="B175:C175"/>
    <mergeCell ref="B176:C176"/>
    <mergeCell ref="B177:C177"/>
    <mergeCell ref="B178:C178"/>
    <mergeCell ref="H178:I178"/>
    <mergeCell ref="B179:C179"/>
    <mergeCell ref="B165:C165"/>
    <mergeCell ref="H165:I165"/>
    <mergeCell ref="O165:P165"/>
    <mergeCell ref="B166:C166"/>
    <mergeCell ref="B167:C167"/>
    <mergeCell ref="B168:C168"/>
    <mergeCell ref="B169:C169"/>
    <mergeCell ref="B170:C170"/>
    <mergeCell ref="B171:C171"/>
    <mergeCell ref="B160:C160"/>
    <mergeCell ref="O160:P160"/>
    <mergeCell ref="B161:C161"/>
    <mergeCell ref="O161:P161"/>
    <mergeCell ref="B162:C162"/>
    <mergeCell ref="O162:P162"/>
    <mergeCell ref="B163:C163"/>
    <mergeCell ref="O163:P163"/>
    <mergeCell ref="B164:C164"/>
    <mergeCell ref="O164:P164"/>
    <mergeCell ref="B153:C153"/>
    <mergeCell ref="B154:C154"/>
    <mergeCell ref="B155:C155"/>
    <mergeCell ref="B156:C156"/>
    <mergeCell ref="B157:C157"/>
    <mergeCell ref="O157:P157"/>
    <mergeCell ref="B158:C158"/>
    <mergeCell ref="O158:P158"/>
    <mergeCell ref="B159:C159"/>
    <mergeCell ref="O159:P159"/>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9:C119"/>
    <mergeCell ref="B120:C120"/>
    <mergeCell ref="B121:C121"/>
    <mergeCell ref="B122:C122"/>
    <mergeCell ref="B123:C123"/>
    <mergeCell ref="B124:C124"/>
    <mergeCell ref="H124:I124"/>
    <mergeCell ref="B125:C125"/>
    <mergeCell ref="H125:I125"/>
    <mergeCell ref="B114:C114"/>
    <mergeCell ref="K114:L114"/>
    <mergeCell ref="B115:C115"/>
    <mergeCell ref="K115:L115"/>
    <mergeCell ref="B116:C116"/>
    <mergeCell ref="K116:L116"/>
    <mergeCell ref="B117:C117"/>
    <mergeCell ref="K117:L117"/>
    <mergeCell ref="B118:C118"/>
    <mergeCell ref="B109:C109"/>
    <mergeCell ref="K109:L109"/>
    <mergeCell ref="B110:C110"/>
    <mergeCell ref="K110:L110"/>
    <mergeCell ref="B111:C111"/>
    <mergeCell ref="K111:L111"/>
    <mergeCell ref="B112:C112"/>
    <mergeCell ref="K112:L112"/>
    <mergeCell ref="B113:C113"/>
    <mergeCell ref="K113:L113"/>
    <mergeCell ref="B104:C104"/>
    <mergeCell ref="K104:L104"/>
    <mergeCell ref="B105:C105"/>
    <mergeCell ref="K105:L105"/>
    <mergeCell ref="B106:C106"/>
    <mergeCell ref="K106:L106"/>
    <mergeCell ref="B107:C107"/>
    <mergeCell ref="K107:L107"/>
    <mergeCell ref="B108:C108"/>
    <mergeCell ref="K108:L108"/>
    <mergeCell ref="B99:C99"/>
    <mergeCell ref="K99:L99"/>
    <mergeCell ref="B100:C100"/>
    <mergeCell ref="K100:L100"/>
    <mergeCell ref="B101:C101"/>
    <mergeCell ref="K101:L101"/>
    <mergeCell ref="B102:C102"/>
    <mergeCell ref="K102:L102"/>
    <mergeCell ref="B103:C103"/>
    <mergeCell ref="K103:L103"/>
    <mergeCell ref="B94:C94"/>
    <mergeCell ref="K94:L94"/>
    <mergeCell ref="B95:C95"/>
    <mergeCell ref="K95:L95"/>
    <mergeCell ref="B96:C96"/>
    <mergeCell ref="K96:L96"/>
    <mergeCell ref="B97:C97"/>
    <mergeCell ref="K97:L97"/>
    <mergeCell ref="B98:C98"/>
    <mergeCell ref="K98:L98"/>
    <mergeCell ref="B89:C89"/>
    <mergeCell ref="K89:L89"/>
    <mergeCell ref="B90:C90"/>
    <mergeCell ref="K90:L90"/>
    <mergeCell ref="B91:C91"/>
    <mergeCell ref="K91:L91"/>
    <mergeCell ref="B92:C92"/>
    <mergeCell ref="K92:L92"/>
    <mergeCell ref="B93:C93"/>
    <mergeCell ref="K93:L93"/>
    <mergeCell ref="B84:C84"/>
    <mergeCell ref="K84:L84"/>
    <mergeCell ref="B85:C85"/>
    <mergeCell ref="K85:L85"/>
    <mergeCell ref="B86:C86"/>
    <mergeCell ref="K86:L86"/>
    <mergeCell ref="B87:C87"/>
    <mergeCell ref="K87:L87"/>
    <mergeCell ref="B88:C88"/>
    <mergeCell ref="K88:L88"/>
    <mergeCell ref="B79:C79"/>
    <mergeCell ref="K79:L79"/>
    <mergeCell ref="B80:C80"/>
    <mergeCell ref="K80:L80"/>
    <mergeCell ref="B81:C81"/>
    <mergeCell ref="K81:L81"/>
    <mergeCell ref="B82:C82"/>
    <mergeCell ref="K82:L82"/>
    <mergeCell ref="B83:C83"/>
    <mergeCell ref="K83:L83"/>
    <mergeCell ref="B74:C74"/>
    <mergeCell ref="K74:L74"/>
    <mergeCell ref="B75:C75"/>
    <mergeCell ref="K75:L75"/>
    <mergeCell ref="B76:C76"/>
    <mergeCell ref="K76:L76"/>
    <mergeCell ref="B77:C77"/>
    <mergeCell ref="K77:L77"/>
    <mergeCell ref="B78:C78"/>
    <mergeCell ref="K78:L78"/>
    <mergeCell ref="B69:C69"/>
    <mergeCell ref="K69:L69"/>
    <mergeCell ref="B70:C70"/>
    <mergeCell ref="K70:L70"/>
    <mergeCell ref="B71:C71"/>
    <mergeCell ref="K71:L71"/>
    <mergeCell ref="B72:C72"/>
    <mergeCell ref="K72:L72"/>
    <mergeCell ref="B73:C73"/>
    <mergeCell ref="K73:L73"/>
    <mergeCell ref="B64:C64"/>
    <mergeCell ref="K64:L64"/>
    <mergeCell ref="B65:C65"/>
    <mergeCell ref="K65:L65"/>
    <mergeCell ref="B66:C66"/>
    <mergeCell ref="K66:L66"/>
    <mergeCell ref="B67:C67"/>
    <mergeCell ref="K67:L67"/>
    <mergeCell ref="B68:C68"/>
    <mergeCell ref="K68:L68"/>
    <mergeCell ref="B59:C59"/>
    <mergeCell ref="K59:L59"/>
    <mergeCell ref="B60:C60"/>
    <mergeCell ref="K60:L60"/>
    <mergeCell ref="B61:C61"/>
    <mergeCell ref="K61:L61"/>
    <mergeCell ref="B62:C62"/>
    <mergeCell ref="K62:L62"/>
    <mergeCell ref="B63:C63"/>
    <mergeCell ref="K63:L63"/>
    <mergeCell ref="B54:C54"/>
    <mergeCell ref="K54:L54"/>
    <mergeCell ref="B55:C55"/>
    <mergeCell ref="K55:L55"/>
    <mergeCell ref="B56:C56"/>
    <mergeCell ref="K56:L56"/>
    <mergeCell ref="B57:C57"/>
    <mergeCell ref="K57:L57"/>
    <mergeCell ref="B58:C58"/>
    <mergeCell ref="K58:L58"/>
    <mergeCell ref="B49:C49"/>
    <mergeCell ref="K49:L49"/>
    <mergeCell ref="B50:C50"/>
    <mergeCell ref="K50:L50"/>
    <mergeCell ref="B51:C51"/>
    <mergeCell ref="K51:L51"/>
    <mergeCell ref="B52:C52"/>
    <mergeCell ref="K52:L52"/>
    <mergeCell ref="B53:C53"/>
    <mergeCell ref="K53:L53"/>
    <mergeCell ref="B44:C44"/>
    <mergeCell ref="K44:L44"/>
    <mergeCell ref="B45:C45"/>
    <mergeCell ref="K45:L45"/>
    <mergeCell ref="B46:C46"/>
    <mergeCell ref="K46:L46"/>
    <mergeCell ref="B47:C47"/>
    <mergeCell ref="K47:L47"/>
    <mergeCell ref="B48:C48"/>
    <mergeCell ref="K48:L48"/>
    <mergeCell ref="B39:C39"/>
    <mergeCell ref="K39:L39"/>
    <mergeCell ref="B40:C40"/>
    <mergeCell ref="K40:L40"/>
    <mergeCell ref="B41:C41"/>
    <mergeCell ref="K41:L41"/>
    <mergeCell ref="B42:C42"/>
    <mergeCell ref="K42:L42"/>
    <mergeCell ref="B43:C43"/>
    <mergeCell ref="K43:L43"/>
    <mergeCell ref="B34:C34"/>
    <mergeCell ref="K34:L34"/>
    <mergeCell ref="B35:C35"/>
    <mergeCell ref="K35:L35"/>
    <mergeCell ref="B36:C36"/>
    <mergeCell ref="K36:L36"/>
    <mergeCell ref="B37:C37"/>
    <mergeCell ref="K37:L37"/>
    <mergeCell ref="B38:C38"/>
    <mergeCell ref="K38:L38"/>
    <mergeCell ref="B29:C29"/>
    <mergeCell ref="K29:L29"/>
    <mergeCell ref="B30:C30"/>
    <mergeCell ref="K30:L30"/>
    <mergeCell ref="B31:C31"/>
    <mergeCell ref="K31:L31"/>
    <mergeCell ref="B32:C32"/>
    <mergeCell ref="K32:L32"/>
    <mergeCell ref="B33:C33"/>
    <mergeCell ref="K33:L33"/>
    <mergeCell ref="B25:C25"/>
    <mergeCell ref="H25:J25"/>
    <mergeCell ref="K25:L25"/>
    <mergeCell ref="B26:C26"/>
    <mergeCell ref="K26:L26"/>
    <mergeCell ref="B27:C27"/>
    <mergeCell ref="K27:L27"/>
    <mergeCell ref="B28:C28"/>
    <mergeCell ref="K28:L28"/>
    <mergeCell ref="B20:C20"/>
    <mergeCell ref="K20:L20"/>
    <mergeCell ref="B21:C21"/>
    <mergeCell ref="K21:L21"/>
    <mergeCell ref="B22:C22"/>
    <mergeCell ref="K22:L22"/>
    <mergeCell ref="B23:C23"/>
    <mergeCell ref="K23:L23"/>
    <mergeCell ref="B24:C24"/>
    <mergeCell ref="H24:J24"/>
    <mergeCell ref="B15:C15"/>
    <mergeCell ref="K15:L15"/>
    <mergeCell ref="B16:C16"/>
    <mergeCell ref="K16:L16"/>
    <mergeCell ref="B17:C17"/>
    <mergeCell ref="K17:L17"/>
    <mergeCell ref="B18:C18"/>
    <mergeCell ref="K18:L18"/>
    <mergeCell ref="B19:C19"/>
    <mergeCell ref="K19:L19"/>
    <mergeCell ref="B11:C11"/>
    <mergeCell ref="K11:L11"/>
    <mergeCell ref="B12:C12"/>
    <mergeCell ref="K12:L12"/>
    <mergeCell ref="B13:C13"/>
    <mergeCell ref="H13:J13"/>
    <mergeCell ref="K13:L13"/>
    <mergeCell ref="B14:C14"/>
    <mergeCell ref="K14:L14"/>
    <mergeCell ref="B8:C8"/>
    <mergeCell ref="I8:J8"/>
    <mergeCell ref="K8:L8"/>
    <mergeCell ref="B9:C9"/>
    <mergeCell ref="I9:J9"/>
    <mergeCell ref="K9:L9"/>
    <mergeCell ref="B10:C10"/>
    <mergeCell ref="I10:J10"/>
    <mergeCell ref="K10:L10"/>
    <mergeCell ref="B5:C5"/>
    <mergeCell ref="I5:J5"/>
    <mergeCell ref="K5:L5"/>
    <mergeCell ref="B6:C6"/>
    <mergeCell ref="I6:J6"/>
    <mergeCell ref="K6:L6"/>
    <mergeCell ref="B7:C7"/>
    <mergeCell ref="I7:J7"/>
    <mergeCell ref="K7:L7"/>
    <mergeCell ref="B1:C1"/>
    <mergeCell ref="K1:L1"/>
    <mergeCell ref="M1:N1"/>
    <mergeCell ref="B2:G2"/>
    <mergeCell ref="I2:J2"/>
    <mergeCell ref="I3:J3"/>
    <mergeCell ref="K3:L3"/>
    <mergeCell ref="B4:C4"/>
    <mergeCell ref="I4:J4"/>
    <mergeCell ref="K4:L4"/>
  </mergeCells>
  <conditionalFormatting sqref="I2:J11 H13 H15:J23">
    <cfRule type="expression" dxfId="1" priority="1">
      <formula>"人物卡!$F$5=1"</formula>
    </cfRule>
  </conditionalFormatting>
  <pageMargins left="0.75" right="0.75" top="1" bottom="1" header="0.51180555555555596" footer="0.51180555555555596"/>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附表!$R$6:$R$7</xm:f>
          </x14:formula1>
          <xm:sqref>I15:I23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P19" sqref="P19:Q19"/>
    </sheetView>
  </sheetViews>
  <sheetFormatPr baseColWidth="10" defaultColWidth="9" defaultRowHeight="14"/>
  <cols>
    <col min="1" max="1" width="12.83203125" customWidth="1"/>
    <col min="2" max="3" width="8.83203125" customWidth="1"/>
    <col min="4" max="103" width="18" customWidth="1"/>
  </cols>
  <sheetData>
    <row r="1" spans="1:103" ht="26">
      <c r="A1" s="792"/>
      <c r="B1" s="1984" t="s">
        <v>1246</v>
      </c>
      <c r="C1" s="1984"/>
      <c r="D1" s="1984"/>
      <c r="E1" s="793"/>
      <c r="F1" s="800"/>
      <c r="G1" s="800"/>
      <c r="H1" s="800"/>
      <c r="I1" s="800"/>
      <c r="J1" s="800"/>
      <c r="K1" s="800"/>
      <c r="L1" s="800"/>
      <c r="M1" s="800"/>
      <c r="N1" s="800"/>
      <c r="O1" s="800"/>
      <c r="P1" s="800"/>
      <c r="Q1" s="800"/>
      <c r="R1" s="800"/>
      <c r="S1" s="800"/>
      <c r="T1" s="800"/>
      <c r="U1" s="800"/>
      <c r="V1" s="800"/>
      <c r="W1" s="800"/>
      <c r="X1" s="800"/>
      <c r="Y1" s="800"/>
      <c r="Z1" s="800"/>
      <c r="AA1" s="800"/>
      <c r="AB1" s="800"/>
      <c r="AC1" s="800"/>
      <c r="AD1" s="800"/>
      <c r="AE1" s="800"/>
      <c r="AF1" s="800"/>
      <c r="AG1" s="800"/>
      <c r="AH1" s="800"/>
      <c r="AI1" s="800"/>
      <c r="AJ1" s="800"/>
      <c r="AK1" s="800"/>
      <c r="AL1" s="800"/>
      <c r="AM1" s="800"/>
      <c r="AN1" s="800"/>
      <c r="AO1" s="800"/>
      <c r="AP1" s="800"/>
      <c r="AQ1" s="800"/>
      <c r="AR1" s="800"/>
      <c r="AS1" s="800"/>
      <c r="AT1" s="800"/>
      <c r="AU1" s="800"/>
      <c r="AV1" s="800"/>
      <c r="AW1" s="800"/>
      <c r="AX1" s="800"/>
      <c r="AY1" s="800"/>
      <c r="AZ1" s="800"/>
      <c r="BA1" s="800"/>
      <c r="BB1" s="800"/>
      <c r="BC1" s="800"/>
      <c r="BD1" s="800"/>
      <c r="BE1" s="800"/>
      <c r="BF1" s="800"/>
      <c r="BG1" s="800"/>
      <c r="BH1" s="800"/>
      <c r="BI1" s="800"/>
      <c r="BJ1" s="800"/>
      <c r="BK1" s="800"/>
      <c r="BL1" s="800"/>
      <c r="BM1" s="800"/>
      <c r="BN1" s="800"/>
      <c r="BO1" s="800"/>
      <c r="BP1" s="800"/>
      <c r="BQ1" s="800"/>
      <c r="BR1" s="800"/>
      <c r="BS1" s="800"/>
      <c r="BT1" s="800"/>
      <c r="BU1" s="800"/>
      <c r="BV1" s="800"/>
      <c r="BW1" s="800"/>
      <c r="BX1" s="800"/>
      <c r="BY1" s="800"/>
      <c r="BZ1" s="800"/>
      <c r="CA1" s="800"/>
      <c r="CB1" s="800"/>
      <c r="CC1" s="800"/>
      <c r="CD1" s="800"/>
      <c r="CE1" s="800"/>
      <c r="CF1" s="800"/>
      <c r="CG1" s="800"/>
      <c r="CH1" s="800"/>
      <c r="CI1" s="800"/>
      <c r="CJ1" s="800"/>
      <c r="CK1" s="800"/>
      <c r="CL1" s="800"/>
      <c r="CM1" s="800"/>
      <c r="CN1" s="800"/>
      <c r="CO1" s="800"/>
      <c r="CP1" s="800"/>
      <c r="CQ1" s="800"/>
      <c r="CR1" s="800"/>
      <c r="CS1" s="800"/>
      <c r="CT1" s="800"/>
      <c r="CU1" s="800"/>
      <c r="CV1" s="800"/>
      <c r="CW1" s="800"/>
      <c r="CX1" s="800"/>
      <c r="CY1" s="800"/>
    </row>
    <row r="2" spans="1:103" ht="17">
      <c r="A2" s="794" t="s">
        <v>311</v>
      </c>
      <c r="B2" s="795" t="s">
        <v>1247</v>
      </c>
      <c r="C2" s="795" t="s">
        <v>55</v>
      </c>
      <c r="D2" s="795" t="s">
        <v>1248</v>
      </c>
      <c r="E2" s="795" t="s">
        <v>1249</v>
      </c>
      <c r="F2" s="795" t="s">
        <v>1250</v>
      </c>
      <c r="G2" s="795" t="s">
        <v>1251</v>
      </c>
      <c r="H2" s="795" t="s">
        <v>1252</v>
      </c>
      <c r="I2" s="795" t="s">
        <v>1253</v>
      </c>
      <c r="J2" s="795" t="s">
        <v>1254</v>
      </c>
      <c r="K2" s="795" t="s">
        <v>1255</v>
      </c>
      <c r="L2" s="795" t="s">
        <v>1256</v>
      </c>
      <c r="M2" s="795" t="s">
        <v>1257</v>
      </c>
      <c r="N2" s="795" t="s">
        <v>1258</v>
      </c>
      <c r="O2" s="795" t="s">
        <v>1259</v>
      </c>
      <c r="P2" s="795" t="s">
        <v>1260</v>
      </c>
      <c r="Q2" s="795" t="s">
        <v>1261</v>
      </c>
      <c r="R2" s="795" t="s">
        <v>1262</v>
      </c>
      <c r="S2" s="795" t="s">
        <v>1263</v>
      </c>
      <c r="T2" s="795" t="s">
        <v>1264</v>
      </c>
      <c r="U2" s="795" t="s">
        <v>1265</v>
      </c>
      <c r="V2" s="795" t="s">
        <v>1266</v>
      </c>
      <c r="W2" s="795" t="s">
        <v>1267</v>
      </c>
      <c r="X2" s="795" t="s">
        <v>1268</v>
      </c>
      <c r="Y2" s="795" t="s">
        <v>1269</v>
      </c>
      <c r="Z2" s="795" t="s">
        <v>1270</v>
      </c>
      <c r="AA2" s="795" t="s">
        <v>1271</v>
      </c>
      <c r="AB2" s="795" t="s">
        <v>1272</v>
      </c>
      <c r="AC2" s="795" t="s">
        <v>1273</v>
      </c>
      <c r="AD2" s="795" t="s">
        <v>1274</v>
      </c>
      <c r="AE2" s="795" t="s">
        <v>1275</v>
      </c>
      <c r="AF2" s="795" t="s">
        <v>1276</v>
      </c>
      <c r="AG2" s="795" t="s">
        <v>1277</v>
      </c>
      <c r="AH2" s="795" t="s">
        <v>1278</v>
      </c>
      <c r="AI2" s="795" t="s">
        <v>1279</v>
      </c>
      <c r="AJ2" s="795" t="s">
        <v>1280</v>
      </c>
      <c r="AK2" s="795" t="s">
        <v>1281</v>
      </c>
      <c r="AL2" s="795" t="s">
        <v>1282</v>
      </c>
      <c r="AM2" s="795" t="s">
        <v>1283</v>
      </c>
      <c r="AN2" s="795" t="s">
        <v>1284</v>
      </c>
      <c r="AO2" s="795" t="s">
        <v>1285</v>
      </c>
      <c r="AP2" s="795" t="s">
        <v>1286</v>
      </c>
      <c r="AQ2" s="795" t="s">
        <v>1287</v>
      </c>
      <c r="AR2" s="795" t="s">
        <v>1288</v>
      </c>
      <c r="AS2" s="795" t="s">
        <v>1289</v>
      </c>
      <c r="AT2" s="795" t="s">
        <v>1290</v>
      </c>
      <c r="AU2" s="795" t="s">
        <v>1291</v>
      </c>
      <c r="AV2" s="795" t="s">
        <v>1292</v>
      </c>
      <c r="AW2" s="795" t="s">
        <v>1293</v>
      </c>
      <c r="AX2" s="795" t="s">
        <v>1294</v>
      </c>
      <c r="AY2" s="795" t="s">
        <v>1295</v>
      </c>
      <c r="AZ2" s="795" t="s">
        <v>1296</v>
      </c>
      <c r="BA2" s="795" t="s">
        <v>1297</v>
      </c>
      <c r="BB2" s="795" t="s">
        <v>1298</v>
      </c>
      <c r="BC2" s="795" t="s">
        <v>1299</v>
      </c>
      <c r="BD2" s="795" t="s">
        <v>1300</v>
      </c>
      <c r="BE2" s="795" t="s">
        <v>1301</v>
      </c>
      <c r="BF2" s="795" t="s">
        <v>1302</v>
      </c>
      <c r="BG2" s="795" t="s">
        <v>1303</v>
      </c>
      <c r="BH2" s="795" t="s">
        <v>1304</v>
      </c>
      <c r="BI2" s="795" t="s">
        <v>1305</v>
      </c>
      <c r="BJ2" s="795" t="s">
        <v>1306</v>
      </c>
      <c r="BK2" s="795" t="s">
        <v>1307</v>
      </c>
      <c r="BL2" s="795" t="s">
        <v>1308</v>
      </c>
      <c r="BM2" s="795" t="s">
        <v>1309</v>
      </c>
      <c r="BN2" s="795" t="s">
        <v>1310</v>
      </c>
      <c r="BO2" s="795" t="s">
        <v>1311</v>
      </c>
      <c r="BP2" s="795" t="s">
        <v>1312</v>
      </c>
      <c r="BQ2" s="795" t="s">
        <v>1313</v>
      </c>
      <c r="BR2" s="795" t="s">
        <v>1314</v>
      </c>
      <c r="BS2" s="795" t="s">
        <v>1315</v>
      </c>
      <c r="BT2" s="795" t="s">
        <v>1316</v>
      </c>
      <c r="BU2" s="795" t="s">
        <v>1317</v>
      </c>
      <c r="BV2" s="795" t="s">
        <v>1318</v>
      </c>
      <c r="BW2" s="795" t="s">
        <v>1319</v>
      </c>
      <c r="BX2" s="795" t="s">
        <v>1320</v>
      </c>
      <c r="BY2" s="795" t="s">
        <v>1321</v>
      </c>
      <c r="BZ2" s="795" t="s">
        <v>1322</v>
      </c>
      <c r="CA2" s="795" t="s">
        <v>1323</v>
      </c>
      <c r="CB2" s="795" t="s">
        <v>1324</v>
      </c>
      <c r="CC2" s="795" t="s">
        <v>1325</v>
      </c>
      <c r="CD2" s="795" t="s">
        <v>1326</v>
      </c>
      <c r="CE2" s="795" t="s">
        <v>1327</v>
      </c>
      <c r="CF2" s="795" t="s">
        <v>1328</v>
      </c>
      <c r="CG2" s="795" t="s">
        <v>1329</v>
      </c>
      <c r="CH2" s="795" t="s">
        <v>1330</v>
      </c>
      <c r="CI2" s="795" t="s">
        <v>1331</v>
      </c>
      <c r="CJ2" s="795" t="s">
        <v>1332</v>
      </c>
      <c r="CK2" s="795" t="s">
        <v>1333</v>
      </c>
      <c r="CL2" s="795" t="s">
        <v>1334</v>
      </c>
      <c r="CM2" s="795" t="s">
        <v>1335</v>
      </c>
      <c r="CN2" s="795" t="s">
        <v>1336</v>
      </c>
      <c r="CO2" s="795" t="s">
        <v>1337</v>
      </c>
      <c r="CP2" s="795" t="s">
        <v>1338</v>
      </c>
      <c r="CQ2" s="795" t="s">
        <v>1339</v>
      </c>
      <c r="CR2" s="795" t="s">
        <v>1340</v>
      </c>
      <c r="CS2" s="795" t="s">
        <v>1341</v>
      </c>
      <c r="CT2" s="795" t="s">
        <v>1342</v>
      </c>
      <c r="CU2" s="795" t="s">
        <v>1343</v>
      </c>
      <c r="CV2" s="795" t="s">
        <v>1344</v>
      </c>
      <c r="CW2" s="795" t="s">
        <v>1345</v>
      </c>
      <c r="CX2" s="795" t="s">
        <v>1346</v>
      </c>
      <c r="CY2" s="795" t="s">
        <v>1347</v>
      </c>
    </row>
    <row r="3" spans="1:103" ht="17">
      <c r="A3" s="796" t="s">
        <v>60</v>
      </c>
      <c r="B3" s="797">
        <f t="shared" ref="B3:B66" si="0">SUM(D3:CY3)</f>
        <v>0</v>
      </c>
      <c r="C3" s="798">
        <v>5</v>
      </c>
      <c r="D3" s="799" t="s">
        <v>1348</v>
      </c>
      <c r="E3" s="801"/>
      <c r="F3" s="801"/>
      <c r="G3" s="801"/>
      <c r="H3" s="801"/>
      <c r="I3" s="801"/>
      <c r="J3" s="801"/>
      <c r="K3" s="801"/>
      <c r="L3" s="801"/>
      <c r="M3" s="801"/>
      <c r="N3" s="801"/>
      <c r="O3" s="801"/>
      <c r="P3" s="801"/>
      <c r="Q3" s="801"/>
      <c r="R3" s="801"/>
      <c r="S3" s="801"/>
      <c r="T3" s="801"/>
      <c r="U3" s="801"/>
      <c r="V3" s="801"/>
      <c r="W3" s="801"/>
      <c r="X3" s="801"/>
      <c r="Y3" s="801"/>
      <c r="Z3" s="801"/>
      <c r="AA3" s="801"/>
      <c r="AB3" s="801"/>
      <c r="AC3" s="801"/>
      <c r="AD3" s="801"/>
      <c r="AE3" s="801"/>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c r="BE3" s="801"/>
      <c r="BF3" s="801"/>
      <c r="BG3" s="801"/>
      <c r="BH3" s="801"/>
      <c r="BI3" s="801"/>
      <c r="BJ3" s="801"/>
      <c r="BK3" s="801"/>
      <c r="BL3" s="801"/>
      <c r="BM3" s="801"/>
      <c r="BN3" s="801"/>
      <c r="BO3" s="801"/>
      <c r="BP3" s="801"/>
      <c r="BQ3" s="801"/>
      <c r="BR3" s="801"/>
      <c r="BS3" s="801"/>
      <c r="BT3" s="801"/>
      <c r="BU3" s="801"/>
      <c r="BV3" s="801"/>
      <c r="BW3" s="801"/>
      <c r="BX3" s="801"/>
      <c r="BY3" s="801"/>
      <c r="BZ3" s="801"/>
      <c r="CA3" s="801"/>
      <c r="CB3" s="801"/>
      <c r="CC3" s="801"/>
      <c r="CD3" s="801"/>
      <c r="CE3" s="801"/>
      <c r="CF3" s="801"/>
      <c r="CG3" s="801"/>
      <c r="CH3" s="801"/>
      <c r="CI3" s="801"/>
      <c r="CJ3" s="801"/>
      <c r="CK3" s="801"/>
      <c r="CL3" s="801"/>
      <c r="CM3" s="801"/>
      <c r="CN3" s="801"/>
      <c r="CO3" s="801"/>
      <c r="CP3" s="801"/>
      <c r="CQ3" s="801"/>
      <c r="CR3" s="801"/>
      <c r="CS3" s="801"/>
      <c r="CT3" s="801"/>
      <c r="CU3" s="801"/>
      <c r="CV3" s="801"/>
      <c r="CW3" s="801"/>
      <c r="CX3" s="801"/>
      <c r="CY3" s="801"/>
    </row>
    <row r="4" spans="1:103" ht="17">
      <c r="A4" s="796" t="s">
        <v>62</v>
      </c>
      <c r="B4" s="797">
        <f t="shared" si="0"/>
        <v>0</v>
      </c>
      <c r="C4" s="798">
        <v>1</v>
      </c>
      <c r="D4" s="799" t="s">
        <v>1349</v>
      </c>
      <c r="E4" s="801"/>
      <c r="F4" s="801"/>
      <c r="G4" s="801"/>
      <c r="H4" s="801"/>
      <c r="I4" s="801"/>
      <c r="J4" s="801"/>
      <c r="K4" s="801"/>
      <c r="L4" s="801"/>
      <c r="M4" s="801"/>
      <c r="N4" s="801"/>
      <c r="O4" s="801"/>
      <c r="P4" s="801"/>
      <c r="Q4" s="801"/>
      <c r="R4" s="801"/>
      <c r="S4" s="801"/>
      <c r="T4" s="801"/>
      <c r="U4" s="801"/>
      <c r="V4" s="801"/>
      <c r="W4" s="801"/>
      <c r="X4" s="801"/>
      <c r="Y4" s="801"/>
      <c r="Z4" s="801"/>
      <c r="AA4" s="801"/>
      <c r="AB4" s="801"/>
      <c r="AC4" s="801"/>
      <c r="AD4" s="801"/>
      <c r="AE4" s="801"/>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c r="BE4" s="801"/>
      <c r="BF4" s="801"/>
      <c r="BG4" s="801"/>
      <c r="BH4" s="801"/>
      <c r="BI4" s="801"/>
      <c r="BJ4" s="801"/>
      <c r="BK4" s="801"/>
      <c r="BL4" s="801"/>
      <c r="BM4" s="801"/>
      <c r="BN4" s="801"/>
      <c r="BO4" s="801"/>
      <c r="BP4" s="801"/>
      <c r="BQ4" s="801"/>
      <c r="BR4" s="801"/>
      <c r="BS4" s="801"/>
      <c r="BT4" s="801"/>
      <c r="BU4" s="801"/>
      <c r="BV4" s="801"/>
      <c r="BW4" s="801"/>
      <c r="BX4" s="801"/>
      <c r="BY4" s="801"/>
      <c r="BZ4" s="801"/>
      <c r="CA4" s="801"/>
      <c r="CB4" s="801"/>
      <c r="CC4" s="801"/>
      <c r="CD4" s="801"/>
      <c r="CE4" s="801"/>
      <c r="CF4" s="801"/>
      <c r="CG4" s="801"/>
      <c r="CH4" s="801"/>
      <c r="CI4" s="801"/>
      <c r="CJ4" s="801"/>
      <c r="CK4" s="801"/>
      <c r="CL4" s="801"/>
      <c r="CM4" s="801"/>
      <c r="CN4" s="801"/>
      <c r="CO4" s="801"/>
      <c r="CP4" s="801"/>
      <c r="CQ4" s="801"/>
      <c r="CR4" s="801"/>
      <c r="CS4" s="801"/>
      <c r="CT4" s="801"/>
      <c r="CU4" s="801"/>
      <c r="CV4" s="801"/>
      <c r="CW4" s="801"/>
      <c r="CX4" s="801"/>
      <c r="CY4" s="801"/>
    </row>
    <row r="5" spans="1:103" ht="17">
      <c r="A5" s="796" t="s">
        <v>66</v>
      </c>
      <c r="B5" s="797">
        <f t="shared" si="0"/>
        <v>0</v>
      </c>
      <c r="C5" s="798">
        <v>5</v>
      </c>
      <c r="D5" s="799">
        <v>0</v>
      </c>
      <c r="E5" s="801"/>
      <c r="F5" s="801"/>
      <c r="G5" s="801"/>
      <c r="H5" s="801"/>
      <c r="I5" s="801"/>
      <c r="J5" s="801"/>
      <c r="K5" s="801"/>
      <c r="L5" s="801"/>
      <c r="M5" s="801"/>
      <c r="N5" s="801"/>
      <c r="O5" s="801"/>
      <c r="P5" s="801"/>
      <c r="Q5" s="801"/>
      <c r="R5" s="801"/>
      <c r="S5" s="801"/>
      <c r="T5" s="801"/>
      <c r="U5" s="801"/>
      <c r="V5" s="801"/>
      <c r="W5" s="801"/>
      <c r="X5" s="801"/>
      <c r="Y5" s="801"/>
      <c r="Z5" s="801"/>
      <c r="AA5" s="801"/>
      <c r="AB5" s="801"/>
      <c r="AC5" s="801"/>
      <c r="AD5" s="801"/>
      <c r="AE5" s="801"/>
      <c r="AF5" s="801"/>
      <c r="AG5" s="801"/>
      <c r="AH5" s="801"/>
      <c r="AI5" s="801"/>
      <c r="AJ5" s="801"/>
      <c r="AK5" s="801"/>
      <c r="AL5" s="801"/>
      <c r="AM5" s="801"/>
      <c r="AN5" s="801"/>
      <c r="AO5" s="801"/>
      <c r="AP5" s="801"/>
      <c r="AQ5" s="801"/>
      <c r="AR5" s="801"/>
      <c r="AS5" s="801"/>
      <c r="AT5" s="801"/>
      <c r="AU5" s="801"/>
      <c r="AV5" s="801"/>
      <c r="AW5" s="801"/>
      <c r="AX5" s="801"/>
      <c r="AY5" s="801"/>
      <c r="AZ5" s="801"/>
      <c r="BA5" s="801"/>
      <c r="BB5" s="801"/>
      <c r="BC5" s="801"/>
      <c r="BD5" s="801"/>
      <c r="BE5" s="801"/>
      <c r="BF5" s="801"/>
      <c r="BG5" s="801"/>
      <c r="BH5" s="801"/>
      <c r="BI5" s="801"/>
      <c r="BJ5" s="801"/>
      <c r="BK5" s="801"/>
      <c r="BL5" s="801"/>
      <c r="BM5" s="801"/>
      <c r="BN5" s="801"/>
      <c r="BO5" s="801"/>
      <c r="BP5" s="801"/>
      <c r="BQ5" s="801"/>
      <c r="BR5" s="801"/>
      <c r="BS5" s="801"/>
      <c r="BT5" s="801"/>
      <c r="BU5" s="801"/>
      <c r="BV5" s="801"/>
      <c r="BW5" s="801"/>
      <c r="BX5" s="801"/>
      <c r="BY5" s="801"/>
      <c r="BZ5" s="801"/>
      <c r="CA5" s="801"/>
      <c r="CB5" s="801"/>
      <c r="CC5" s="801"/>
      <c r="CD5" s="801"/>
      <c r="CE5" s="801"/>
      <c r="CF5" s="801"/>
      <c r="CG5" s="801"/>
      <c r="CH5" s="801"/>
      <c r="CI5" s="801"/>
      <c r="CJ5" s="801"/>
      <c r="CK5" s="801"/>
      <c r="CL5" s="801"/>
      <c r="CM5" s="801"/>
      <c r="CN5" s="801"/>
      <c r="CO5" s="801"/>
      <c r="CP5" s="801"/>
      <c r="CQ5" s="801"/>
      <c r="CR5" s="801"/>
      <c r="CS5" s="801"/>
      <c r="CT5" s="801"/>
      <c r="CU5" s="801"/>
      <c r="CV5" s="801"/>
      <c r="CW5" s="801"/>
      <c r="CX5" s="801"/>
      <c r="CY5" s="801"/>
    </row>
    <row r="6" spans="1:103" ht="17">
      <c r="A6" s="796" t="s">
        <v>70</v>
      </c>
      <c r="B6" s="797">
        <f t="shared" si="0"/>
        <v>1</v>
      </c>
      <c r="C6" s="798">
        <v>1</v>
      </c>
      <c r="D6" s="799">
        <v>1</v>
      </c>
      <c r="E6" s="801"/>
      <c r="F6" s="801"/>
      <c r="G6" s="801"/>
      <c r="H6" s="801"/>
      <c r="I6" s="801"/>
      <c r="J6" s="801"/>
      <c r="K6" s="801"/>
      <c r="L6" s="801"/>
      <c r="M6" s="801"/>
      <c r="N6" s="801"/>
      <c r="O6" s="801"/>
      <c r="P6" s="801"/>
      <c r="Q6" s="801"/>
      <c r="R6" s="801"/>
      <c r="S6" s="801"/>
      <c r="T6" s="801"/>
      <c r="U6" s="801"/>
      <c r="V6" s="801"/>
      <c r="W6" s="801"/>
      <c r="X6" s="801"/>
      <c r="Y6" s="801"/>
      <c r="Z6" s="801"/>
      <c r="AA6" s="801"/>
      <c r="AB6" s="801"/>
      <c r="AC6" s="801"/>
      <c r="AD6" s="801"/>
      <c r="AE6" s="801"/>
      <c r="AF6" s="801"/>
      <c r="AG6" s="801"/>
      <c r="AH6" s="801"/>
      <c r="AI6" s="801"/>
      <c r="AJ6" s="801"/>
      <c r="AK6" s="801"/>
      <c r="AL6" s="801"/>
      <c r="AM6" s="801"/>
      <c r="AN6" s="801"/>
      <c r="AO6" s="801"/>
      <c r="AP6" s="801"/>
      <c r="AQ6" s="801"/>
      <c r="AR6" s="801"/>
      <c r="AS6" s="801"/>
      <c r="AT6" s="801"/>
      <c r="AU6" s="801"/>
      <c r="AV6" s="801"/>
      <c r="AW6" s="801"/>
      <c r="AX6" s="801"/>
      <c r="AY6" s="801"/>
      <c r="AZ6" s="801"/>
      <c r="BA6" s="801"/>
      <c r="BB6" s="801"/>
      <c r="BC6" s="801"/>
      <c r="BD6" s="801"/>
      <c r="BE6" s="801"/>
      <c r="BF6" s="801"/>
      <c r="BG6" s="801"/>
      <c r="BH6" s="801"/>
      <c r="BI6" s="801"/>
      <c r="BJ6" s="801"/>
      <c r="BK6" s="801"/>
      <c r="BL6" s="801"/>
      <c r="BM6" s="801"/>
      <c r="BN6" s="801"/>
      <c r="BO6" s="801"/>
      <c r="BP6" s="801"/>
      <c r="BQ6" s="801"/>
      <c r="BR6" s="801"/>
      <c r="BS6" s="801"/>
      <c r="BT6" s="801"/>
      <c r="BU6" s="801"/>
      <c r="BV6" s="801"/>
      <c r="BW6" s="801"/>
      <c r="BX6" s="801"/>
      <c r="BY6" s="801"/>
      <c r="BZ6" s="801"/>
      <c r="CA6" s="801"/>
      <c r="CB6" s="801"/>
      <c r="CC6" s="801"/>
      <c r="CD6" s="801"/>
      <c r="CE6" s="801"/>
      <c r="CF6" s="801"/>
      <c r="CG6" s="801"/>
      <c r="CH6" s="801"/>
      <c r="CI6" s="801"/>
      <c r="CJ6" s="801"/>
      <c r="CK6" s="801"/>
      <c r="CL6" s="801"/>
      <c r="CM6" s="801"/>
      <c r="CN6" s="801"/>
      <c r="CO6" s="801"/>
      <c r="CP6" s="801"/>
      <c r="CQ6" s="801"/>
      <c r="CR6" s="801"/>
      <c r="CS6" s="801"/>
      <c r="CT6" s="801"/>
      <c r="CU6" s="801"/>
      <c r="CV6" s="801"/>
      <c r="CW6" s="801"/>
      <c r="CX6" s="801"/>
      <c r="CY6" s="801"/>
    </row>
    <row r="7" spans="1:103" ht="17">
      <c r="A7" s="796" t="s">
        <v>72</v>
      </c>
      <c r="B7" s="797">
        <f t="shared" si="0"/>
        <v>2</v>
      </c>
      <c r="C7" s="798">
        <v>5</v>
      </c>
      <c r="D7" s="799">
        <v>2</v>
      </c>
      <c r="E7" s="801"/>
      <c r="F7" s="801"/>
      <c r="G7" s="801"/>
      <c r="H7" s="801"/>
      <c r="I7" s="801"/>
      <c r="J7" s="801"/>
      <c r="K7" s="801"/>
      <c r="L7" s="801"/>
      <c r="M7" s="801"/>
      <c r="N7" s="801"/>
      <c r="O7" s="801"/>
      <c r="P7" s="801"/>
      <c r="Q7" s="801"/>
      <c r="R7" s="801"/>
      <c r="S7" s="801"/>
      <c r="T7" s="801"/>
      <c r="U7" s="801"/>
      <c r="V7" s="801"/>
      <c r="W7" s="801"/>
      <c r="X7" s="801"/>
      <c r="Y7" s="801"/>
      <c r="Z7" s="801"/>
      <c r="AA7" s="801"/>
      <c r="AB7" s="801"/>
      <c r="AC7" s="801"/>
      <c r="AD7" s="801"/>
      <c r="AE7" s="801"/>
      <c r="AF7" s="801"/>
      <c r="AG7" s="801"/>
      <c r="AH7" s="801"/>
      <c r="AI7" s="801"/>
      <c r="AJ7" s="801"/>
      <c r="AK7" s="801"/>
      <c r="AL7" s="801"/>
      <c r="AM7" s="801"/>
      <c r="AN7" s="801"/>
      <c r="AO7" s="801"/>
      <c r="AP7" s="801"/>
      <c r="AQ7" s="801"/>
      <c r="AR7" s="801"/>
      <c r="AS7" s="801"/>
      <c r="AT7" s="801"/>
      <c r="AU7" s="801"/>
      <c r="AV7" s="801"/>
      <c r="AW7" s="801"/>
      <c r="AX7" s="801"/>
      <c r="AY7" s="801"/>
      <c r="AZ7" s="801"/>
      <c r="BA7" s="801"/>
      <c r="BB7" s="801"/>
      <c r="BC7" s="801"/>
      <c r="BD7" s="801"/>
      <c r="BE7" s="801"/>
      <c r="BF7" s="801"/>
      <c r="BG7" s="801"/>
      <c r="BH7" s="801"/>
      <c r="BI7" s="801"/>
      <c r="BJ7" s="801"/>
      <c r="BK7" s="801"/>
      <c r="BL7" s="801"/>
      <c r="BM7" s="801"/>
      <c r="BN7" s="801"/>
      <c r="BO7" s="801"/>
      <c r="BP7" s="801"/>
      <c r="BQ7" s="801"/>
      <c r="BR7" s="801"/>
      <c r="BS7" s="801"/>
      <c r="BT7" s="801"/>
      <c r="BU7" s="801"/>
      <c r="BV7" s="801"/>
      <c r="BW7" s="801"/>
      <c r="BX7" s="801"/>
      <c r="BY7" s="801"/>
      <c r="BZ7" s="801"/>
      <c r="CA7" s="801"/>
      <c r="CB7" s="801"/>
      <c r="CC7" s="801"/>
      <c r="CD7" s="801"/>
      <c r="CE7" s="801"/>
      <c r="CF7" s="801"/>
      <c r="CG7" s="801"/>
      <c r="CH7" s="801"/>
      <c r="CI7" s="801"/>
      <c r="CJ7" s="801"/>
      <c r="CK7" s="801"/>
      <c r="CL7" s="801"/>
      <c r="CM7" s="801"/>
      <c r="CN7" s="801"/>
      <c r="CO7" s="801"/>
      <c r="CP7" s="801"/>
      <c r="CQ7" s="801"/>
      <c r="CR7" s="801"/>
      <c r="CS7" s="801"/>
      <c r="CT7" s="801"/>
      <c r="CU7" s="801"/>
      <c r="CV7" s="801"/>
      <c r="CW7" s="801"/>
      <c r="CX7" s="801"/>
      <c r="CY7" s="801"/>
    </row>
    <row r="8" spans="1:103" ht="17">
      <c r="A8" s="796" t="s">
        <v>74</v>
      </c>
      <c r="B8" s="797">
        <f t="shared" si="0"/>
        <v>0</v>
      </c>
      <c r="C8" s="798">
        <v>5</v>
      </c>
      <c r="D8" s="799" t="s">
        <v>1350</v>
      </c>
      <c r="E8" s="801"/>
      <c r="F8" s="801"/>
      <c r="G8" s="801"/>
      <c r="H8" s="801"/>
      <c r="I8" s="801"/>
      <c r="J8" s="801"/>
      <c r="K8" s="801"/>
      <c r="L8" s="801"/>
      <c r="M8" s="801"/>
      <c r="N8" s="801"/>
      <c r="O8" s="801"/>
      <c r="P8" s="801"/>
      <c r="Q8" s="801"/>
      <c r="R8" s="801"/>
      <c r="S8" s="801"/>
      <c r="T8" s="801"/>
      <c r="U8" s="801"/>
      <c r="V8" s="801"/>
      <c r="W8" s="801"/>
      <c r="X8" s="801"/>
      <c r="Y8" s="801"/>
      <c r="Z8" s="801"/>
      <c r="AA8" s="801"/>
      <c r="AB8" s="801"/>
      <c r="AC8" s="801"/>
      <c r="AD8" s="801"/>
      <c r="AE8" s="801"/>
      <c r="AF8" s="801"/>
      <c r="AG8" s="801"/>
      <c r="AH8" s="801"/>
      <c r="AI8" s="801"/>
      <c r="AJ8" s="801"/>
      <c r="AK8" s="801"/>
      <c r="AL8" s="801"/>
      <c r="AM8" s="801"/>
      <c r="AN8" s="801"/>
      <c r="AO8" s="801"/>
      <c r="AP8" s="801"/>
      <c r="AQ8" s="801"/>
      <c r="AR8" s="801"/>
      <c r="AS8" s="801"/>
      <c r="AT8" s="801"/>
      <c r="AU8" s="801"/>
      <c r="AV8" s="801"/>
      <c r="AW8" s="801"/>
      <c r="AX8" s="801"/>
      <c r="AY8" s="801"/>
      <c r="AZ8" s="801"/>
      <c r="BA8" s="801"/>
      <c r="BB8" s="801"/>
      <c r="BC8" s="801"/>
      <c r="BD8" s="801"/>
      <c r="BE8" s="801"/>
      <c r="BF8" s="801"/>
      <c r="BG8" s="801"/>
      <c r="BH8" s="801"/>
      <c r="BI8" s="801"/>
      <c r="BJ8" s="801"/>
      <c r="BK8" s="801"/>
      <c r="BL8" s="801"/>
      <c r="BM8" s="801"/>
      <c r="BN8" s="801"/>
      <c r="BO8" s="801"/>
      <c r="BP8" s="801"/>
      <c r="BQ8" s="801"/>
      <c r="BR8" s="801"/>
      <c r="BS8" s="801"/>
      <c r="BT8" s="801"/>
      <c r="BU8" s="801"/>
      <c r="BV8" s="801"/>
      <c r="BW8" s="801"/>
      <c r="BX8" s="801"/>
      <c r="BY8" s="801"/>
      <c r="BZ8" s="801"/>
      <c r="CA8" s="801"/>
      <c r="CB8" s="801"/>
      <c r="CC8" s="801"/>
      <c r="CD8" s="801"/>
      <c r="CE8" s="801"/>
      <c r="CF8" s="801"/>
      <c r="CG8" s="801"/>
      <c r="CH8" s="801"/>
      <c r="CI8" s="801"/>
      <c r="CJ8" s="801"/>
      <c r="CK8" s="801"/>
      <c r="CL8" s="801"/>
      <c r="CM8" s="801"/>
      <c r="CN8" s="801"/>
      <c r="CO8" s="801"/>
      <c r="CP8" s="801"/>
      <c r="CQ8" s="801"/>
      <c r="CR8" s="801"/>
      <c r="CS8" s="801"/>
      <c r="CT8" s="801"/>
      <c r="CU8" s="801"/>
      <c r="CV8" s="801"/>
      <c r="CW8" s="801"/>
      <c r="CX8" s="801"/>
      <c r="CY8" s="801"/>
    </row>
    <row r="9" spans="1:103" ht="17">
      <c r="A9" s="796" t="s">
        <v>76</v>
      </c>
      <c r="B9" s="797">
        <f t="shared" si="0"/>
        <v>0</v>
      </c>
      <c r="C9" s="798">
        <v>5</v>
      </c>
      <c r="D9" s="799"/>
      <c r="E9" s="801"/>
      <c r="F9" s="801"/>
      <c r="G9" s="801"/>
      <c r="H9" s="801"/>
      <c r="I9" s="801"/>
      <c r="J9" s="801"/>
      <c r="K9" s="801"/>
      <c r="L9" s="801"/>
      <c r="M9" s="801"/>
      <c r="N9" s="801"/>
      <c r="O9" s="801"/>
      <c r="P9" s="801"/>
      <c r="Q9" s="801"/>
      <c r="R9" s="801"/>
      <c r="S9" s="801"/>
      <c r="T9" s="801"/>
      <c r="U9" s="801"/>
      <c r="V9" s="801"/>
      <c r="W9" s="801"/>
      <c r="X9" s="801"/>
      <c r="Y9" s="801"/>
      <c r="Z9" s="801"/>
      <c r="AA9" s="801"/>
      <c r="AB9" s="801"/>
      <c r="AC9" s="801"/>
      <c r="AD9" s="801"/>
      <c r="AE9" s="801"/>
      <c r="AF9" s="801"/>
      <c r="AG9" s="801"/>
      <c r="AH9" s="801"/>
      <c r="AI9" s="801"/>
      <c r="AJ9" s="801"/>
      <c r="AK9" s="801"/>
      <c r="AL9" s="801"/>
      <c r="AM9" s="801"/>
      <c r="AN9" s="801"/>
      <c r="AO9" s="801"/>
      <c r="AP9" s="801"/>
      <c r="AQ9" s="801"/>
      <c r="AR9" s="801"/>
      <c r="AS9" s="801"/>
      <c r="AT9" s="801"/>
      <c r="AU9" s="801"/>
      <c r="AV9" s="801"/>
      <c r="AW9" s="801"/>
      <c r="AX9" s="801"/>
      <c r="AY9" s="801"/>
      <c r="AZ9" s="801"/>
      <c r="BA9" s="801"/>
      <c r="BB9" s="801"/>
      <c r="BC9" s="801"/>
      <c r="BD9" s="801"/>
      <c r="BE9" s="801"/>
      <c r="BF9" s="801"/>
      <c r="BG9" s="801"/>
      <c r="BH9" s="801"/>
      <c r="BI9" s="801"/>
      <c r="BJ9" s="801"/>
      <c r="BK9" s="801"/>
      <c r="BL9" s="801"/>
      <c r="BM9" s="801"/>
      <c r="BN9" s="801"/>
      <c r="BO9" s="801"/>
      <c r="BP9" s="801"/>
      <c r="BQ9" s="801"/>
      <c r="BR9" s="801"/>
      <c r="BS9" s="801"/>
      <c r="BT9" s="801"/>
      <c r="BU9" s="801"/>
      <c r="BV9" s="801"/>
      <c r="BW9" s="801"/>
      <c r="BX9" s="801"/>
      <c r="BY9" s="801"/>
      <c r="BZ9" s="801"/>
      <c r="CA9" s="801"/>
      <c r="CB9" s="801"/>
      <c r="CC9" s="801"/>
      <c r="CD9" s="801"/>
      <c r="CE9" s="801"/>
      <c r="CF9" s="801"/>
      <c r="CG9" s="801"/>
      <c r="CH9" s="801"/>
      <c r="CI9" s="801"/>
      <c r="CJ9" s="801"/>
      <c r="CK9" s="801"/>
      <c r="CL9" s="801"/>
      <c r="CM9" s="801"/>
      <c r="CN9" s="801"/>
      <c r="CO9" s="801"/>
      <c r="CP9" s="801"/>
      <c r="CQ9" s="801"/>
      <c r="CR9" s="801"/>
      <c r="CS9" s="801"/>
      <c r="CT9" s="801"/>
      <c r="CU9" s="801"/>
      <c r="CV9" s="801"/>
      <c r="CW9" s="801"/>
      <c r="CX9" s="801"/>
      <c r="CY9" s="801"/>
    </row>
    <row r="10" spans="1:103" ht="17">
      <c r="A10" s="796" t="s">
        <v>78</v>
      </c>
      <c r="B10" s="797">
        <f t="shared" si="0"/>
        <v>0</v>
      </c>
      <c r="C10" s="798">
        <v>15</v>
      </c>
      <c r="D10" s="799"/>
      <c r="E10" s="801"/>
      <c r="F10" s="801"/>
      <c r="G10" s="801"/>
      <c r="H10" s="801"/>
      <c r="I10" s="801"/>
      <c r="J10" s="801"/>
      <c r="K10" s="801"/>
      <c r="L10" s="801"/>
      <c r="M10" s="801"/>
      <c r="N10" s="801"/>
      <c r="O10" s="801"/>
      <c r="P10" s="801"/>
      <c r="Q10" s="801"/>
      <c r="R10" s="801"/>
      <c r="S10" s="801"/>
      <c r="T10" s="801"/>
      <c r="U10" s="801"/>
      <c r="V10" s="801"/>
      <c r="W10" s="801"/>
      <c r="X10" s="801"/>
      <c r="Y10" s="801"/>
      <c r="Z10" s="801"/>
      <c r="AA10" s="801"/>
      <c r="AB10" s="801"/>
      <c r="AC10" s="801"/>
      <c r="AD10" s="801"/>
      <c r="AE10" s="801"/>
      <c r="AF10" s="801"/>
      <c r="AG10" s="801"/>
      <c r="AH10" s="801"/>
      <c r="AI10" s="801"/>
      <c r="AJ10" s="801"/>
      <c r="AK10" s="801"/>
      <c r="AL10" s="801"/>
      <c r="AM10" s="801"/>
      <c r="AN10" s="801"/>
      <c r="AO10" s="801"/>
      <c r="AP10" s="801"/>
      <c r="AQ10" s="801"/>
      <c r="AR10" s="801"/>
      <c r="AS10" s="801"/>
      <c r="AT10" s="801"/>
      <c r="AU10" s="801"/>
      <c r="AV10" s="801"/>
      <c r="AW10" s="801"/>
      <c r="AX10" s="801"/>
      <c r="AY10" s="801"/>
      <c r="AZ10" s="801"/>
      <c r="BA10" s="801"/>
      <c r="BB10" s="801"/>
      <c r="BC10" s="801"/>
      <c r="BD10" s="801"/>
      <c r="BE10" s="801"/>
      <c r="BF10" s="801"/>
      <c r="BG10" s="801"/>
      <c r="BH10" s="801"/>
      <c r="BI10" s="801"/>
      <c r="BJ10" s="801"/>
      <c r="BK10" s="801"/>
      <c r="BL10" s="801"/>
      <c r="BM10" s="801"/>
      <c r="BN10" s="801"/>
      <c r="BO10" s="801"/>
      <c r="BP10" s="801"/>
      <c r="BQ10" s="801"/>
      <c r="BR10" s="801"/>
      <c r="BS10" s="801"/>
      <c r="BT10" s="801"/>
      <c r="BU10" s="801"/>
      <c r="BV10" s="801"/>
      <c r="BW10" s="801"/>
      <c r="BX10" s="801"/>
      <c r="BY10" s="801"/>
      <c r="BZ10" s="801"/>
      <c r="CA10" s="801"/>
      <c r="CB10" s="801"/>
      <c r="CC10" s="801"/>
      <c r="CD10" s="801"/>
      <c r="CE10" s="801"/>
      <c r="CF10" s="801"/>
      <c r="CG10" s="801"/>
      <c r="CH10" s="801"/>
      <c r="CI10" s="801"/>
      <c r="CJ10" s="801"/>
      <c r="CK10" s="801"/>
      <c r="CL10" s="801"/>
      <c r="CM10" s="801"/>
      <c r="CN10" s="801"/>
      <c r="CO10" s="801"/>
      <c r="CP10" s="801"/>
      <c r="CQ10" s="801"/>
      <c r="CR10" s="801"/>
      <c r="CS10" s="801"/>
      <c r="CT10" s="801"/>
      <c r="CU10" s="801"/>
      <c r="CV10" s="801"/>
      <c r="CW10" s="801"/>
      <c r="CX10" s="801"/>
      <c r="CY10" s="801"/>
    </row>
    <row r="11" spans="1:103" ht="17">
      <c r="A11" s="796" t="s">
        <v>81</v>
      </c>
      <c r="B11" s="797">
        <f t="shared" si="0"/>
        <v>0</v>
      </c>
      <c r="C11" s="798">
        <v>20</v>
      </c>
      <c r="D11" s="799"/>
      <c r="E11" s="801"/>
      <c r="F11" s="801"/>
      <c r="G11" s="801"/>
      <c r="H11" s="801"/>
      <c r="I11" s="801"/>
      <c r="J11" s="801"/>
      <c r="K11" s="801"/>
      <c r="L11" s="801"/>
      <c r="M11" s="801"/>
      <c r="N11" s="801"/>
      <c r="O11" s="801"/>
      <c r="P11" s="801"/>
      <c r="Q11" s="801"/>
      <c r="R11" s="801"/>
      <c r="S11" s="801"/>
      <c r="T11" s="801"/>
      <c r="U11" s="801"/>
      <c r="V11" s="801"/>
      <c r="W11" s="801"/>
      <c r="X11" s="801"/>
      <c r="Y11" s="801"/>
      <c r="Z11" s="801"/>
      <c r="AA11" s="801"/>
      <c r="AB11" s="801"/>
      <c r="AC11" s="801"/>
      <c r="AD11" s="801"/>
      <c r="AE11" s="801"/>
      <c r="AF11" s="801"/>
      <c r="AG11" s="801"/>
      <c r="AH11" s="801"/>
      <c r="AI11" s="801"/>
      <c r="AJ11" s="801"/>
      <c r="AK11" s="801"/>
      <c r="AL11" s="801"/>
      <c r="AM11" s="801"/>
      <c r="AN11" s="801"/>
      <c r="AO11" s="801"/>
      <c r="AP11" s="801"/>
      <c r="AQ11" s="801"/>
      <c r="AR11" s="801"/>
      <c r="AS11" s="801"/>
      <c r="AT11" s="801"/>
      <c r="AU11" s="801"/>
      <c r="AV11" s="801"/>
      <c r="AW11" s="801"/>
      <c r="AX11" s="801"/>
      <c r="AY11" s="801"/>
      <c r="AZ11" s="801"/>
      <c r="BA11" s="801"/>
      <c r="BB11" s="801"/>
      <c r="BC11" s="801"/>
      <c r="BD11" s="801"/>
      <c r="BE11" s="801"/>
      <c r="BF11" s="801"/>
      <c r="BG11" s="801"/>
      <c r="BH11" s="801"/>
      <c r="BI11" s="801"/>
      <c r="BJ11" s="801"/>
      <c r="BK11" s="801"/>
      <c r="BL11" s="801"/>
      <c r="BM11" s="801"/>
      <c r="BN11" s="801"/>
      <c r="BO11" s="801"/>
      <c r="BP11" s="801"/>
      <c r="BQ11" s="801"/>
      <c r="BR11" s="801"/>
      <c r="BS11" s="801"/>
      <c r="BT11" s="801"/>
      <c r="BU11" s="801"/>
      <c r="BV11" s="801"/>
      <c r="BW11" s="801"/>
      <c r="BX11" s="801"/>
      <c r="BY11" s="801"/>
      <c r="BZ11" s="801"/>
      <c r="CA11" s="801"/>
      <c r="CB11" s="801"/>
      <c r="CC11" s="801"/>
      <c r="CD11" s="801"/>
      <c r="CE11" s="801"/>
      <c r="CF11" s="801"/>
      <c r="CG11" s="801"/>
      <c r="CH11" s="801"/>
      <c r="CI11" s="801"/>
      <c r="CJ11" s="801"/>
      <c r="CK11" s="801"/>
      <c r="CL11" s="801"/>
      <c r="CM11" s="801"/>
      <c r="CN11" s="801"/>
      <c r="CO11" s="801"/>
      <c r="CP11" s="801"/>
      <c r="CQ11" s="801"/>
      <c r="CR11" s="801"/>
      <c r="CS11" s="801"/>
      <c r="CT11" s="801"/>
      <c r="CU11" s="801"/>
      <c r="CV11" s="801"/>
      <c r="CW11" s="801"/>
      <c r="CX11" s="801"/>
      <c r="CY11" s="801"/>
    </row>
    <row r="12" spans="1:103" ht="17">
      <c r="A12" s="796" t="s">
        <v>86</v>
      </c>
      <c r="B12" s="797">
        <f t="shared" si="0"/>
        <v>0</v>
      </c>
      <c r="C12" s="798">
        <v>5</v>
      </c>
      <c r="D12" s="799"/>
      <c r="E12" s="801"/>
      <c r="F12" s="801"/>
      <c r="G12" s="801"/>
      <c r="H12" s="801"/>
      <c r="I12" s="801"/>
      <c r="J12" s="801"/>
      <c r="K12" s="801"/>
      <c r="L12" s="801"/>
      <c r="M12" s="801"/>
      <c r="N12" s="801"/>
      <c r="O12" s="801"/>
      <c r="P12" s="801"/>
      <c r="Q12" s="801"/>
      <c r="R12" s="801"/>
      <c r="S12" s="801"/>
      <c r="T12" s="801"/>
      <c r="U12" s="801"/>
      <c r="V12" s="801"/>
      <c r="W12" s="801"/>
      <c r="X12" s="801"/>
      <c r="Y12" s="801"/>
      <c r="Z12" s="801"/>
      <c r="AA12" s="801"/>
      <c r="AB12" s="801"/>
      <c r="AC12" s="801"/>
      <c r="AD12" s="801"/>
      <c r="AE12" s="801"/>
      <c r="AF12" s="801"/>
      <c r="AG12" s="801"/>
      <c r="AH12" s="801"/>
      <c r="AI12" s="801"/>
      <c r="AJ12" s="801"/>
      <c r="AK12" s="801"/>
      <c r="AL12" s="801"/>
      <c r="AM12" s="801"/>
      <c r="AN12" s="801"/>
      <c r="AO12" s="801"/>
      <c r="AP12" s="801"/>
      <c r="AQ12" s="801"/>
      <c r="AR12" s="801"/>
      <c r="AS12" s="801"/>
      <c r="AT12" s="801"/>
      <c r="AU12" s="801"/>
      <c r="AV12" s="801"/>
      <c r="AW12" s="801"/>
      <c r="AX12" s="801"/>
      <c r="AY12" s="801"/>
      <c r="AZ12" s="801"/>
      <c r="BA12" s="801"/>
      <c r="BB12" s="801"/>
      <c r="BC12" s="801"/>
      <c r="BD12" s="801"/>
      <c r="BE12" s="801"/>
      <c r="BF12" s="801"/>
      <c r="BG12" s="801"/>
      <c r="BH12" s="801"/>
      <c r="BI12" s="801"/>
      <c r="BJ12" s="801"/>
      <c r="BK12" s="801"/>
      <c r="BL12" s="801"/>
      <c r="BM12" s="801"/>
      <c r="BN12" s="801"/>
      <c r="BO12" s="801"/>
      <c r="BP12" s="801"/>
      <c r="BQ12" s="801"/>
      <c r="BR12" s="801"/>
      <c r="BS12" s="801"/>
      <c r="BT12" s="801"/>
      <c r="BU12" s="801"/>
      <c r="BV12" s="801"/>
      <c r="BW12" s="801"/>
      <c r="BX12" s="801"/>
      <c r="BY12" s="801"/>
      <c r="BZ12" s="801"/>
      <c r="CA12" s="801"/>
      <c r="CB12" s="801"/>
      <c r="CC12" s="801"/>
      <c r="CD12" s="801"/>
      <c r="CE12" s="801"/>
      <c r="CF12" s="801"/>
      <c r="CG12" s="801"/>
      <c r="CH12" s="801"/>
      <c r="CI12" s="801"/>
      <c r="CJ12" s="801"/>
      <c r="CK12" s="801"/>
      <c r="CL12" s="801"/>
      <c r="CM12" s="801"/>
      <c r="CN12" s="801"/>
      <c r="CO12" s="801"/>
      <c r="CP12" s="801"/>
      <c r="CQ12" s="801"/>
      <c r="CR12" s="801"/>
      <c r="CS12" s="801"/>
      <c r="CT12" s="801"/>
      <c r="CU12" s="801"/>
      <c r="CV12" s="801"/>
      <c r="CW12" s="801"/>
      <c r="CX12" s="801"/>
      <c r="CY12" s="801"/>
    </row>
    <row r="13" spans="1:103" ht="17">
      <c r="A13" s="796" t="s">
        <v>94</v>
      </c>
      <c r="B13" s="797">
        <f t="shared" si="0"/>
        <v>0</v>
      </c>
      <c r="C13" s="798">
        <v>0</v>
      </c>
      <c r="D13" s="799"/>
      <c r="E13" s="801"/>
      <c r="F13" s="801"/>
      <c r="G13" s="801"/>
      <c r="H13" s="801"/>
      <c r="I13" s="801"/>
      <c r="J13" s="801"/>
      <c r="K13" s="801"/>
      <c r="L13" s="801"/>
      <c r="M13" s="801"/>
      <c r="N13" s="801"/>
      <c r="O13" s="801"/>
      <c r="P13" s="801"/>
      <c r="Q13" s="801"/>
      <c r="R13" s="801"/>
      <c r="S13" s="801"/>
      <c r="T13" s="801"/>
      <c r="U13" s="801"/>
      <c r="V13" s="801"/>
      <c r="W13" s="801"/>
      <c r="X13" s="801"/>
      <c r="Y13" s="801"/>
      <c r="Z13" s="801"/>
      <c r="AA13" s="801"/>
      <c r="AB13" s="801"/>
      <c r="AC13" s="801"/>
      <c r="AD13" s="801"/>
      <c r="AE13" s="801"/>
      <c r="AF13" s="801"/>
      <c r="AG13" s="801"/>
      <c r="AH13" s="801"/>
      <c r="AI13" s="801"/>
      <c r="AJ13" s="801"/>
      <c r="AK13" s="801"/>
      <c r="AL13" s="801"/>
      <c r="AM13" s="801"/>
      <c r="AN13" s="801"/>
      <c r="AO13" s="801"/>
      <c r="AP13" s="801"/>
      <c r="AQ13" s="801"/>
      <c r="AR13" s="801"/>
      <c r="AS13" s="801"/>
      <c r="AT13" s="801"/>
      <c r="AU13" s="801"/>
      <c r="AV13" s="801"/>
      <c r="AW13" s="801"/>
      <c r="AX13" s="801"/>
      <c r="AY13" s="801"/>
      <c r="AZ13" s="801"/>
      <c r="BA13" s="801"/>
      <c r="BB13" s="801"/>
      <c r="BC13" s="801"/>
      <c r="BD13" s="801"/>
      <c r="BE13" s="801"/>
      <c r="BF13" s="801"/>
      <c r="BG13" s="801"/>
      <c r="BH13" s="801"/>
      <c r="BI13" s="801"/>
      <c r="BJ13" s="801"/>
      <c r="BK13" s="801"/>
      <c r="BL13" s="801"/>
      <c r="BM13" s="801"/>
      <c r="BN13" s="801"/>
      <c r="BO13" s="801"/>
      <c r="BP13" s="801"/>
      <c r="BQ13" s="801"/>
      <c r="BR13" s="801"/>
      <c r="BS13" s="801"/>
      <c r="BT13" s="801"/>
      <c r="BU13" s="801"/>
      <c r="BV13" s="801"/>
      <c r="BW13" s="801"/>
      <c r="BX13" s="801"/>
      <c r="BY13" s="801"/>
      <c r="BZ13" s="801"/>
      <c r="CA13" s="801"/>
      <c r="CB13" s="801"/>
      <c r="CC13" s="801"/>
      <c r="CD13" s="801"/>
      <c r="CE13" s="801"/>
      <c r="CF13" s="801"/>
      <c r="CG13" s="801"/>
      <c r="CH13" s="801"/>
      <c r="CI13" s="801"/>
      <c r="CJ13" s="801"/>
      <c r="CK13" s="801"/>
      <c r="CL13" s="801"/>
      <c r="CM13" s="801"/>
      <c r="CN13" s="801"/>
      <c r="CO13" s="801"/>
      <c r="CP13" s="801"/>
      <c r="CQ13" s="801"/>
      <c r="CR13" s="801"/>
      <c r="CS13" s="801"/>
      <c r="CT13" s="801"/>
      <c r="CU13" s="801"/>
      <c r="CV13" s="801"/>
      <c r="CW13" s="801"/>
      <c r="CX13" s="801"/>
      <c r="CY13" s="801"/>
    </row>
    <row r="14" spans="1:103" ht="17">
      <c r="A14" s="796" t="s">
        <v>96</v>
      </c>
      <c r="B14" s="797">
        <f t="shared" si="0"/>
        <v>0</v>
      </c>
      <c r="C14" s="798">
        <v>0</v>
      </c>
      <c r="D14" s="799"/>
      <c r="E14" s="801"/>
      <c r="F14" s="801"/>
      <c r="G14" s="801"/>
      <c r="H14" s="801"/>
      <c r="I14" s="801"/>
      <c r="J14" s="801"/>
      <c r="K14" s="801"/>
      <c r="L14" s="801"/>
      <c r="M14" s="801"/>
      <c r="N14" s="801"/>
      <c r="O14" s="801"/>
      <c r="P14" s="801"/>
      <c r="Q14" s="801"/>
      <c r="R14" s="801"/>
      <c r="S14" s="801"/>
      <c r="T14" s="801"/>
      <c r="U14" s="801"/>
      <c r="V14" s="801"/>
      <c r="W14" s="801"/>
      <c r="X14" s="801"/>
      <c r="Y14" s="801"/>
      <c r="Z14" s="801"/>
      <c r="AA14" s="801"/>
      <c r="AB14" s="801"/>
      <c r="AC14" s="801"/>
      <c r="AD14" s="801"/>
      <c r="AE14" s="801"/>
      <c r="AF14" s="801"/>
      <c r="AG14" s="801"/>
      <c r="AH14" s="801"/>
      <c r="AI14" s="801"/>
      <c r="AJ14" s="801"/>
      <c r="AK14" s="801"/>
      <c r="AL14" s="801"/>
      <c r="AM14" s="801"/>
      <c r="AN14" s="801"/>
      <c r="AO14" s="801"/>
      <c r="AP14" s="801"/>
      <c r="AQ14" s="801"/>
      <c r="AR14" s="801"/>
      <c r="AS14" s="801"/>
      <c r="AT14" s="801"/>
      <c r="AU14" s="801"/>
      <c r="AV14" s="801"/>
      <c r="AW14" s="801"/>
      <c r="AX14" s="801"/>
      <c r="AY14" s="801"/>
      <c r="AZ14" s="801"/>
      <c r="BA14" s="801"/>
      <c r="BB14" s="801"/>
      <c r="BC14" s="801"/>
      <c r="BD14" s="801"/>
      <c r="BE14" s="801"/>
      <c r="BF14" s="801"/>
      <c r="BG14" s="801"/>
      <c r="BH14" s="801"/>
      <c r="BI14" s="801"/>
      <c r="BJ14" s="801"/>
      <c r="BK14" s="801"/>
      <c r="BL14" s="801"/>
      <c r="BM14" s="801"/>
      <c r="BN14" s="801"/>
      <c r="BO14" s="801"/>
      <c r="BP14" s="801"/>
      <c r="BQ14" s="801"/>
      <c r="BR14" s="801"/>
      <c r="BS14" s="801"/>
      <c r="BT14" s="801"/>
      <c r="BU14" s="801"/>
      <c r="BV14" s="801"/>
      <c r="BW14" s="801"/>
      <c r="BX14" s="801"/>
      <c r="BY14" s="801"/>
      <c r="BZ14" s="801"/>
      <c r="CA14" s="801"/>
      <c r="CB14" s="801"/>
      <c r="CC14" s="801"/>
      <c r="CD14" s="801"/>
      <c r="CE14" s="801"/>
      <c r="CF14" s="801"/>
      <c r="CG14" s="801"/>
      <c r="CH14" s="801"/>
      <c r="CI14" s="801"/>
      <c r="CJ14" s="801"/>
      <c r="CK14" s="801"/>
      <c r="CL14" s="801"/>
      <c r="CM14" s="801"/>
      <c r="CN14" s="801"/>
      <c r="CO14" s="801"/>
      <c r="CP14" s="801"/>
      <c r="CQ14" s="801"/>
      <c r="CR14" s="801"/>
      <c r="CS14" s="801"/>
      <c r="CT14" s="801"/>
      <c r="CU14" s="801"/>
      <c r="CV14" s="801"/>
      <c r="CW14" s="801"/>
      <c r="CX14" s="801"/>
      <c r="CY14" s="801"/>
    </row>
    <row r="15" spans="1:103" ht="17">
      <c r="A15" s="796" t="s">
        <v>103</v>
      </c>
      <c r="B15" s="797">
        <f t="shared" si="0"/>
        <v>0</v>
      </c>
      <c r="C15" s="798">
        <v>5</v>
      </c>
      <c r="D15" s="799"/>
      <c r="E15" s="801"/>
      <c r="F15" s="801"/>
      <c r="G15" s="801"/>
      <c r="H15" s="801"/>
      <c r="I15" s="801"/>
      <c r="J15" s="801"/>
      <c r="K15" s="801"/>
      <c r="L15" s="801"/>
      <c r="M15" s="801"/>
      <c r="N15" s="801"/>
      <c r="O15" s="801"/>
      <c r="P15" s="801"/>
      <c r="Q15" s="801"/>
      <c r="R15" s="801"/>
      <c r="S15" s="801"/>
      <c r="T15" s="801"/>
      <c r="U15" s="801"/>
      <c r="V15" s="801"/>
      <c r="W15" s="801"/>
      <c r="X15" s="801"/>
      <c r="Y15" s="801"/>
      <c r="Z15" s="801"/>
      <c r="AA15" s="801"/>
      <c r="AB15" s="801"/>
      <c r="AC15" s="801"/>
      <c r="AD15" s="801"/>
      <c r="AE15" s="801"/>
      <c r="AF15" s="801"/>
      <c r="AG15" s="801"/>
      <c r="AH15" s="801"/>
      <c r="AI15" s="801"/>
      <c r="AJ15" s="801"/>
      <c r="AK15" s="801"/>
      <c r="AL15" s="801"/>
      <c r="AM15" s="801"/>
      <c r="AN15" s="801"/>
      <c r="AO15" s="801"/>
      <c r="AP15" s="801"/>
      <c r="AQ15" s="801"/>
      <c r="AR15" s="801"/>
      <c r="AS15" s="801"/>
      <c r="AT15" s="801"/>
      <c r="AU15" s="801"/>
      <c r="AV15" s="801"/>
      <c r="AW15" s="801"/>
      <c r="AX15" s="801"/>
      <c r="AY15" s="801"/>
      <c r="AZ15" s="801"/>
      <c r="BA15" s="801"/>
      <c r="BB15" s="801"/>
      <c r="BC15" s="801"/>
      <c r="BD15" s="801"/>
      <c r="BE15" s="801"/>
      <c r="BF15" s="801"/>
      <c r="BG15" s="801"/>
      <c r="BH15" s="801"/>
      <c r="BI15" s="801"/>
      <c r="BJ15" s="801"/>
      <c r="BK15" s="801"/>
      <c r="BL15" s="801"/>
      <c r="BM15" s="801"/>
      <c r="BN15" s="801"/>
      <c r="BO15" s="801"/>
      <c r="BP15" s="801"/>
      <c r="BQ15" s="801"/>
      <c r="BR15" s="801"/>
      <c r="BS15" s="801"/>
      <c r="BT15" s="801"/>
      <c r="BU15" s="801"/>
      <c r="BV15" s="801"/>
      <c r="BW15" s="801"/>
      <c r="BX15" s="801"/>
      <c r="BY15" s="801"/>
      <c r="BZ15" s="801"/>
      <c r="CA15" s="801"/>
      <c r="CB15" s="801"/>
      <c r="CC15" s="801"/>
      <c r="CD15" s="801"/>
      <c r="CE15" s="801"/>
      <c r="CF15" s="801"/>
      <c r="CG15" s="801"/>
      <c r="CH15" s="801"/>
      <c r="CI15" s="801"/>
      <c r="CJ15" s="801"/>
      <c r="CK15" s="801"/>
      <c r="CL15" s="801"/>
      <c r="CM15" s="801"/>
      <c r="CN15" s="801"/>
      <c r="CO15" s="801"/>
      <c r="CP15" s="801"/>
      <c r="CQ15" s="801"/>
      <c r="CR15" s="801"/>
      <c r="CS15" s="801"/>
      <c r="CT15" s="801"/>
      <c r="CU15" s="801"/>
      <c r="CV15" s="801"/>
      <c r="CW15" s="801"/>
      <c r="CX15" s="801"/>
      <c r="CY15" s="801"/>
    </row>
    <row r="16" spans="1:103" ht="17">
      <c r="A16" s="796" t="s">
        <v>105</v>
      </c>
      <c r="B16" s="797">
        <f t="shared" si="0"/>
        <v>0</v>
      </c>
      <c r="C16" s="798">
        <v>0</v>
      </c>
      <c r="D16" s="799"/>
      <c r="E16" s="801"/>
      <c r="F16" s="801"/>
      <c r="G16" s="801"/>
      <c r="H16" s="801"/>
      <c r="I16" s="801"/>
      <c r="J16" s="801"/>
      <c r="K16" s="801"/>
      <c r="L16" s="801"/>
      <c r="M16" s="801"/>
      <c r="N16" s="801"/>
      <c r="O16" s="801"/>
      <c r="P16" s="801"/>
      <c r="Q16" s="801"/>
      <c r="R16" s="801"/>
      <c r="S16" s="801"/>
      <c r="T16" s="801"/>
      <c r="U16" s="801"/>
      <c r="V16" s="801"/>
      <c r="W16" s="801"/>
      <c r="X16" s="801"/>
      <c r="Y16" s="801"/>
      <c r="Z16" s="801"/>
      <c r="AA16" s="801"/>
      <c r="AB16" s="801"/>
      <c r="AC16" s="801"/>
      <c r="AD16" s="801"/>
      <c r="AE16" s="801"/>
      <c r="AF16" s="801"/>
      <c r="AG16" s="801"/>
      <c r="AH16" s="801"/>
      <c r="AI16" s="801"/>
      <c r="AJ16" s="801"/>
      <c r="AK16" s="801"/>
      <c r="AL16" s="801"/>
      <c r="AM16" s="801"/>
      <c r="AN16" s="801"/>
      <c r="AO16" s="801"/>
      <c r="AP16" s="801"/>
      <c r="AQ16" s="801"/>
      <c r="AR16" s="801"/>
      <c r="AS16" s="801"/>
      <c r="AT16" s="801"/>
      <c r="AU16" s="801"/>
      <c r="AV16" s="801"/>
      <c r="AW16" s="801"/>
      <c r="AX16" s="801"/>
      <c r="AY16" s="801"/>
      <c r="AZ16" s="801"/>
      <c r="BA16" s="801"/>
      <c r="BB16" s="801"/>
      <c r="BC16" s="801"/>
      <c r="BD16" s="801"/>
      <c r="BE16" s="801"/>
      <c r="BF16" s="801"/>
      <c r="BG16" s="801"/>
      <c r="BH16" s="801"/>
      <c r="BI16" s="801"/>
      <c r="BJ16" s="801"/>
      <c r="BK16" s="801"/>
      <c r="BL16" s="801"/>
      <c r="BM16" s="801"/>
      <c r="BN16" s="801"/>
      <c r="BO16" s="801"/>
      <c r="BP16" s="801"/>
      <c r="BQ16" s="801"/>
      <c r="BR16" s="801"/>
      <c r="BS16" s="801"/>
      <c r="BT16" s="801"/>
      <c r="BU16" s="801"/>
      <c r="BV16" s="801"/>
      <c r="BW16" s="801"/>
      <c r="BX16" s="801"/>
      <c r="BY16" s="801"/>
      <c r="BZ16" s="801"/>
      <c r="CA16" s="801"/>
      <c r="CB16" s="801"/>
      <c r="CC16" s="801"/>
      <c r="CD16" s="801"/>
      <c r="CE16" s="801"/>
      <c r="CF16" s="801"/>
      <c r="CG16" s="801"/>
      <c r="CH16" s="801"/>
      <c r="CI16" s="801"/>
      <c r="CJ16" s="801"/>
      <c r="CK16" s="801"/>
      <c r="CL16" s="801"/>
      <c r="CM16" s="801"/>
      <c r="CN16" s="801"/>
      <c r="CO16" s="801"/>
      <c r="CP16" s="801"/>
      <c r="CQ16" s="801"/>
      <c r="CR16" s="801"/>
      <c r="CS16" s="801"/>
      <c r="CT16" s="801"/>
      <c r="CU16" s="801"/>
      <c r="CV16" s="801"/>
      <c r="CW16" s="801"/>
      <c r="CX16" s="801"/>
      <c r="CY16" s="801"/>
    </row>
    <row r="17" spans="1:103" ht="17">
      <c r="A17" s="796" t="s">
        <v>109</v>
      </c>
      <c r="B17" s="797">
        <f t="shared" si="0"/>
        <v>0</v>
      </c>
      <c r="C17" s="798">
        <v>20</v>
      </c>
      <c r="D17" s="799"/>
      <c r="E17" s="801"/>
      <c r="F17" s="801"/>
      <c r="G17" s="801"/>
      <c r="H17" s="801"/>
      <c r="I17" s="801"/>
      <c r="J17" s="801"/>
      <c r="K17" s="801"/>
      <c r="L17" s="801"/>
      <c r="M17" s="801"/>
      <c r="N17" s="801"/>
      <c r="O17" s="801"/>
      <c r="P17" s="801"/>
      <c r="Q17" s="801"/>
      <c r="R17" s="801"/>
      <c r="S17" s="801"/>
      <c r="T17" s="801"/>
      <c r="U17" s="801"/>
      <c r="V17" s="801"/>
      <c r="W17" s="801"/>
      <c r="X17" s="801"/>
      <c r="Y17" s="801"/>
      <c r="Z17" s="801"/>
      <c r="AA17" s="801"/>
      <c r="AB17" s="801"/>
      <c r="AC17" s="801"/>
      <c r="AD17" s="801"/>
      <c r="AE17" s="801"/>
      <c r="AF17" s="801"/>
      <c r="AG17" s="801"/>
      <c r="AH17" s="801"/>
      <c r="AI17" s="801"/>
      <c r="AJ17" s="801"/>
      <c r="AK17" s="801"/>
      <c r="AL17" s="801"/>
      <c r="AM17" s="801"/>
      <c r="AN17" s="801"/>
      <c r="AO17" s="801"/>
      <c r="AP17" s="801"/>
      <c r="AQ17" s="801"/>
      <c r="AR17" s="801"/>
      <c r="AS17" s="801"/>
      <c r="AT17" s="801"/>
      <c r="AU17" s="801"/>
      <c r="AV17" s="801"/>
      <c r="AW17" s="801"/>
      <c r="AX17" s="801"/>
      <c r="AY17" s="801"/>
      <c r="AZ17" s="801"/>
      <c r="BA17" s="801"/>
      <c r="BB17" s="801"/>
      <c r="BC17" s="801"/>
      <c r="BD17" s="801"/>
      <c r="BE17" s="801"/>
      <c r="BF17" s="801"/>
      <c r="BG17" s="801"/>
      <c r="BH17" s="801"/>
      <c r="BI17" s="801"/>
      <c r="BJ17" s="801"/>
      <c r="BK17" s="801"/>
      <c r="BL17" s="801"/>
      <c r="BM17" s="801"/>
      <c r="BN17" s="801"/>
      <c r="BO17" s="801"/>
      <c r="BP17" s="801"/>
      <c r="BQ17" s="801"/>
      <c r="BR17" s="801"/>
      <c r="BS17" s="801"/>
      <c r="BT17" s="801"/>
      <c r="BU17" s="801"/>
      <c r="BV17" s="801"/>
      <c r="BW17" s="801"/>
      <c r="BX17" s="801"/>
      <c r="BY17" s="801"/>
      <c r="BZ17" s="801"/>
      <c r="CA17" s="801"/>
      <c r="CB17" s="801"/>
      <c r="CC17" s="801"/>
      <c r="CD17" s="801"/>
      <c r="CE17" s="801"/>
      <c r="CF17" s="801"/>
      <c r="CG17" s="801"/>
      <c r="CH17" s="801"/>
      <c r="CI17" s="801"/>
      <c r="CJ17" s="801"/>
      <c r="CK17" s="801"/>
      <c r="CL17" s="801"/>
      <c r="CM17" s="801"/>
      <c r="CN17" s="801"/>
      <c r="CO17" s="801"/>
      <c r="CP17" s="801"/>
      <c r="CQ17" s="801"/>
      <c r="CR17" s="801"/>
      <c r="CS17" s="801"/>
      <c r="CT17" s="801"/>
      <c r="CU17" s="801"/>
      <c r="CV17" s="801"/>
      <c r="CW17" s="801"/>
      <c r="CX17" s="801"/>
      <c r="CY17" s="801"/>
    </row>
    <row r="18" spans="1:103" ht="17">
      <c r="A18" s="796" t="s">
        <v>111</v>
      </c>
      <c r="B18" s="797">
        <f t="shared" si="0"/>
        <v>0</v>
      </c>
      <c r="C18" s="798">
        <v>10</v>
      </c>
      <c r="D18" s="799"/>
      <c r="E18" s="801"/>
      <c r="F18" s="801"/>
      <c r="G18" s="801"/>
      <c r="H18" s="801"/>
      <c r="I18" s="801"/>
      <c r="J18" s="801"/>
      <c r="K18" s="801"/>
      <c r="L18" s="801"/>
      <c r="M18" s="801"/>
      <c r="N18" s="801"/>
      <c r="O18" s="801"/>
      <c r="P18" s="801"/>
      <c r="Q18" s="801"/>
      <c r="R18" s="801"/>
      <c r="S18" s="801"/>
      <c r="T18" s="801"/>
      <c r="U18" s="801"/>
      <c r="V18" s="801"/>
      <c r="W18" s="801"/>
      <c r="X18" s="801"/>
      <c r="Y18" s="801"/>
      <c r="Z18" s="801"/>
      <c r="AA18" s="801"/>
      <c r="AB18" s="801"/>
      <c r="AC18" s="801"/>
      <c r="AD18" s="801"/>
      <c r="AE18" s="801"/>
      <c r="AF18" s="801"/>
      <c r="AG18" s="801"/>
      <c r="AH18" s="801"/>
      <c r="AI18" s="801"/>
      <c r="AJ18" s="801"/>
      <c r="AK18" s="801"/>
      <c r="AL18" s="801"/>
      <c r="AM18" s="801"/>
      <c r="AN18" s="801"/>
      <c r="AO18" s="801"/>
      <c r="AP18" s="801"/>
      <c r="AQ18" s="801"/>
      <c r="AR18" s="801"/>
      <c r="AS18" s="801"/>
      <c r="AT18" s="801"/>
      <c r="AU18" s="801"/>
      <c r="AV18" s="801"/>
      <c r="AW18" s="801"/>
      <c r="AX18" s="801"/>
      <c r="AY18" s="801"/>
      <c r="AZ18" s="801"/>
      <c r="BA18" s="801"/>
      <c r="BB18" s="801"/>
      <c r="BC18" s="801"/>
      <c r="BD18" s="801"/>
      <c r="BE18" s="801"/>
      <c r="BF18" s="801"/>
      <c r="BG18" s="801"/>
      <c r="BH18" s="801"/>
      <c r="BI18" s="801"/>
      <c r="BJ18" s="801"/>
      <c r="BK18" s="801"/>
      <c r="BL18" s="801"/>
      <c r="BM18" s="801"/>
      <c r="BN18" s="801"/>
      <c r="BO18" s="801"/>
      <c r="BP18" s="801"/>
      <c r="BQ18" s="801"/>
      <c r="BR18" s="801"/>
      <c r="BS18" s="801"/>
      <c r="BT18" s="801"/>
      <c r="BU18" s="801"/>
      <c r="BV18" s="801"/>
      <c r="BW18" s="801"/>
      <c r="BX18" s="801"/>
      <c r="BY18" s="801"/>
      <c r="BZ18" s="801"/>
      <c r="CA18" s="801"/>
      <c r="CB18" s="801"/>
      <c r="CC18" s="801"/>
      <c r="CD18" s="801"/>
      <c r="CE18" s="801"/>
      <c r="CF18" s="801"/>
      <c r="CG18" s="801"/>
      <c r="CH18" s="801"/>
      <c r="CI18" s="801"/>
      <c r="CJ18" s="801"/>
      <c r="CK18" s="801"/>
      <c r="CL18" s="801"/>
      <c r="CM18" s="801"/>
      <c r="CN18" s="801"/>
      <c r="CO18" s="801"/>
      <c r="CP18" s="801"/>
      <c r="CQ18" s="801"/>
      <c r="CR18" s="801"/>
      <c r="CS18" s="801"/>
      <c r="CT18" s="801"/>
      <c r="CU18" s="801"/>
      <c r="CV18" s="801"/>
      <c r="CW18" s="801"/>
      <c r="CX18" s="801"/>
      <c r="CY18" s="801"/>
    </row>
    <row r="19" spans="1:103" ht="17">
      <c r="A19" s="796" t="s">
        <v>114</v>
      </c>
      <c r="B19" s="797">
        <f t="shared" si="0"/>
        <v>0</v>
      </c>
      <c r="C19" s="798">
        <v>1</v>
      </c>
      <c r="D19" s="799"/>
      <c r="E19" s="801"/>
      <c r="F19" s="801"/>
      <c r="G19" s="801"/>
      <c r="H19" s="801"/>
      <c r="I19" s="801"/>
      <c r="J19" s="801"/>
      <c r="K19" s="801"/>
      <c r="L19" s="801"/>
      <c r="M19" s="801"/>
      <c r="N19" s="801"/>
      <c r="O19" s="801"/>
      <c r="P19" s="801"/>
      <c r="Q19" s="801"/>
      <c r="R19" s="801"/>
      <c r="S19" s="801"/>
      <c r="T19" s="801"/>
      <c r="U19" s="801"/>
      <c r="V19" s="801"/>
      <c r="W19" s="801"/>
      <c r="X19" s="801"/>
      <c r="Y19" s="801"/>
      <c r="Z19" s="801"/>
      <c r="AA19" s="801"/>
      <c r="AB19" s="801"/>
      <c r="AC19" s="801"/>
      <c r="AD19" s="801"/>
      <c r="AE19" s="801"/>
      <c r="AF19" s="801"/>
      <c r="AG19" s="801"/>
      <c r="AH19" s="801"/>
      <c r="AI19" s="801"/>
      <c r="AJ19" s="801"/>
      <c r="AK19" s="801"/>
      <c r="AL19" s="801"/>
      <c r="AM19" s="801"/>
      <c r="AN19" s="801"/>
      <c r="AO19" s="801"/>
      <c r="AP19" s="801"/>
      <c r="AQ19" s="801"/>
      <c r="AR19" s="801"/>
      <c r="AS19" s="801"/>
      <c r="AT19" s="801"/>
      <c r="AU19" s="801"/>
      <c r="AV19" s="801"/>
      <c r="AW19" s="801"/>
      <c r="AX19" s="801"/>
      <c r="AY19" s="801"/>
      <c r="AZ19" s="801"/>
      <c r="BA19" s="801"/>
      <c r="BB19" s="801"/>
      <c r="BC19" s="801"/>
      <c r="BD19" s="801"/>
      <c r="BE19" s="801"/>
      <c r="BF19" s="801"/>
      <c r="BG19" s="801"/>
      <c r="BH19" s="801"/>
      <c r="BI19" s="801"/>
      <c r="BJ19" s="801"/>
      <c r="BK19" s="801"/>
      <c r="BL19" s="801"/>
      <c r="BM19" s="801"/>
      <c r="BN19" s="801"/>
      <c r="BO19" s="801"/>
      <c r="BP19" s="801"/>
      <c r="BQ19" s="801"/>
      <c r="BR19" s="801"/>
      <c r="BS19" s="801"/>
      <c r="BT19" s="801"/>
      <c r="BU19" s="801"/>
      <c r="BV19" s="801"/>
      <c r="BW19" s="801"/>
      <c r="BX19" s="801"/>
      <c r="BY19" s="801"/>
      <c r="BZ19" s="801"/>
      <c r="CA19" s="801"/>
      <c r="CB19" s="801"/>
      <c r="CC19" s="801"/>
      <c r="CD19" s="801"/>
      <c r="CE19" s="801"/>
      <c r="CF19" s="801"/>
      <c r="CG19" s="801"/>
      <c r="CH19" s="801"/>
      <c r="CI19" s="801"/>
      <c r="CJ19" s="801"/>
      <c r="CK19" s="801"/>
      <c r="CL19" s="801"/>
      <c r="CM19" s="801"/>
      <c r="CN19" s="801"/>
      <c r="CO19" s="801"/>
      <c r="CP19" s="801"/>
      <c r="CQ19" s="801"/>
      <c r="CR19" s="801"/>
      <c r="CS19" s="801"/>
      <c r="CT19" s="801"/>
      <c r="CU19" s="801"/>
      <c r="CV19" s="801"/>
      <c r="CW19" s="801"/>
      <c r="CX19" s="801"/>
      <c r="CY19" s="801"/>
    </row>
    <row r="20" spans="1:103" ht="17">
      <c r="A20" s="796" t="s">
        <v>116</v>
      </c>
      <c r="B20" s="797">
        <f t="shared" si="0"/>
        <v>0</v>
      </c>
      <c r="C20" s="798">
        <v>5</v>
      </c>
      <c r="D20" s="799"/>
      <c r="E20" s="801"/>
      <c r="F20" s="801"/>
      <c r="G20" s="801"/>
      <c r="H20" s="801"/>
      <c r="I20" s="801"/>
      <c r="J20" s="801"/>
      <c r="K20" s="801"/>
      <c r="L20" s="801"/>
      <c r="M20" s="801"/>
      <c r="N20" s="801"/>
      <c r="O20" s="801"/>
      <c r="P20" s="801"/>
      <c r="Q20" s="801"/>
      <c r="R20" s="801"/>
      <c r="S20" s="801"/>
      <c r="T20" s="801"/>
      <c r="U20" s="801"/>
      <c r="V20" s="801"/>
      <c r="W20" s="801"/>
      <c r="X20" s="801"/>
      <c r="Y20" s="801"/>
      <c r="Z20" s="801"/>
      <c r="AA20" s="801"/>
      <c r="AB20" s="801"/>
      <c r="AC20" s="801"/>
      <c r="AD20" s="801"/>
      <c r="AE20" s="801"/>
      <c r="AF20" s="801"/>
      <c r="AG20" s="801"/>
      <c r="AH20" s="801"/>
      <c r="AI20" s="801"/>
      <c r="AJ20" s="801"/>
      <c r="AK20" s="801"/>
      <c r="AL20" s="801"/>
      <c r="AM20" s="801"/>
      <c r="AN20" s="801"/>
      <c r="AO20" s="801"/>
      <c r="AP20" s="801"/>
      <c r="AQ20" s="801"/>
      <c r="AR20" s="801"/>
      <c r="AS20" s="801"/>
      <c r="AT20" s="801"/>
      <c r="AU20" s="801"/>
      <c r="AV20" s="801"/>
      <c r="AW20" s="801"/>
      <c r="AX20" s="801"/>
      <c r="AY20" s="801"/>
      <c r="AZ20" s="801"/>
      <c r="BA20" s="801"/>
      <c r="BB20" s="801"/>
      <c r="BC20" s="801"/>
      <c r="BD20" s="801"/>
      <c r="BE20" s="801"/>
      <c r="BF20" s="801"/>
      <c r="BG20" s="801"/>
      <c r="BH20" s="801"/>
      <c r="BI20" s="801"/>
      <c r="BJ20" s="801"/>
      <c r="BK20" s="801"/>
      <c r="BL20" s="801"/>
      <c r="BM20" s="801"/>
      <c r="BN20" s="801"/>
      <c r="BO20" s="801"/>
      <c r="BP20" s="801"/>
      <c r="BQ20" s="801"/>
      <c r="BR20" s="801"/>
      <c r="BS20" s="801"/>
      <c r="BT20" s="801"/>
      <c r="BU20" s="801"/>
      <c r="BV20" s="801"/>
      <c r="BW20" s="801"/>
      <c r="BX20" s="801"/>
      <c r="BY20" s="801"/>
      <c r="BZ20" s="801"/>
      <c r="CA20" s="801"/>
      <c r="CB20" s="801"/>
      <c r="CC20" s="801"/>
      <c r="CD20" s="801"/>
      <c r="CE20" s="801"/>
      <c r="CF20" s="801"/>
      <c r="CG20" s="801"/>
      <c r="CH20" s="801"/>
      <c r="CI20" s="801"/>
      <c r="CJ20" s="801"/>
      <c r="CK20" s="801"/>
      <c r="CL20" s="801"/>
      <c r="CM20" s="801"/>
      <c r="CN20" s="801"/>
      <c r="CO20" s="801"/>
      <c r="CP20" s="801"/>
      <c r="CQ20" s="801"/>
      <c r="CR20" s="801"/>
      <c r="CS20" s="801"/>
      <c r="CT20" s="801"/>
      <c r="CU20" s="801"/>
      <c r="CV20" s="801"/>
      <c r="CW20" s="801"/>
      <c r="CX20" s="801"/>
      <c r="CY20" s="801"/>
    </row>
    <row r="21" spans="1:103" ht="17">
      <c r="A21" s="796" t="s">
        <v>1351</v>
      </c>
      <c r="B21" s="797">
        <f t="shared" si="0"/>
        <v>0</v>
      </c>
      <c r="C21" s="798">
        <v>25</v>
      </c>
      <c r="D21" s="799"/>
      <c r="E21" s="801"/>
      <c r="F21" s="801"/>
      <c r="G21" s="801"/>
      <c r="H21" s="801"/>
      <c r="I21" s="801"/>
      <c r="J21" s="801"/>
      <c r="K21" s="801"/>
      <c r="L21" s="801"/>
      <c r="M21" s="801"/>
      <c r="N21" s="801"/>
      <c r="O21" s="801"/>
      <c r="P21" s="801"/>
      <c r="Q21" s="801"/>
      <c r="R21" s="801"/>
      <c r="S21" s="801"/>
      <c r="T21" s="801"/>
      <c r="U21" s="801"/>
      <c r="V21" s="801"/>
      <c r="W21" s="801"/>
      <c r="X21" s="801"/>
      <c r="Y21" s="801"/>
      <c r="Z21" s="801"/>
      <c r="AA21" s="801"/>
      <c r="AB21" s="801"/>
      <c r="AC21" s="801"/>
      <c r="AD21" s="801"/>
      <c r="AE21" s="801"/>
      <c r="AF21" s="801"/>
      <c r="AG21" s="801"/>
      <c r="AH21" s="801"/>
      <c r="AI21" s="801"/>
      <c r="AJ21" s="801"/>
      <c r="AK21" s="801"/>
      <c r="AL21" s="801"/>
      <c r="AM21" s="801"/>
      <c r="AN21" s="801"/>
      <c r="AO21" s="801"/>
      <c r="AP21" s="801"/>
      <c r="AQ21" s="801"/>
      <c r="AR21" s="801"/>
      <c r="AS21" s="801"/>
      <c r="AT21" s="801"/>
      <c r="AU21" s="801"/>
      <c r="AV21" s="801"/>
      <c r="AW21" s="801"/>
      <c r="AX21" s="801"/>
      <c r="AY21" s="801"/>
      <c r="AZ21" s="801"/>
      <c r="BA21" s="801"/>
      <c r="BB21" s="801"/>
      <c r="BC21" s="801"/>
      <c r="BD21" s="801"/>
      <c r="BE21" s="801"/>
      <c r="BF21" s="801"/>
      <c r="BG21" s="801"/>
      <c r="BH21" s="801"/>
      <c r="BI21" s="801"/>
      <c r="BJ21" s="801"/>
      <c r="BK21" s="801"/>
      <c r="BL21" s="801"/>
      <c r="BM21" s="801"/>
      <c r="BN21" s="801"/>
      <c r="BO21" s="801"/>
      <c r="BP21" s="801"/>
      <c r="BQ21" s="801"/>
      <c r="BR21" s="801"/>
      <c r="BS21" s="801"/>
      <c r="BT21" s="801"/>
      <c r="BU21" s="801"/>
      <c r="BV21" s="801"/>
      <c r="BW21" s="801"/>
      <c r="BX21" s="801"/>
      <c r="BY21" s="801"/>
      <c r="BZ21" s="801"/>
      <c r="CA21" s="801"/>
      <c r="CB21" s="801"/>
      <c r="CC21" s="801"/>
      <c r="CD21" s="801"/>
      <c r="CE21" s="801"/>
      <c r="CF21" s="801"/>
      <c r="CG21" s="801"/>
      <c r="CH21" s="801"/>
      <c r="CI21" s="801"/>
      <c r="CJ21" s="801"/>
      <c r="CK21" s="801"/>
      <c r="CL21" s="801"/>
      <c r="CM21" s="801"/>
      <c r="CN21" s="801"/>
      <c r="CO21" s="801"/>
      <c r="CP21" s="801"/>
      <c r="CQ21" s="801"/>
      <c r="CR21" s="801"/>
      <c r="CS21" s="801"/>
      <c r="CT21" s="801"/>
      <c r="CU21" s="801"/>
      <c r="CV21" s="801"/>
      <c r="CW21" s="801"/>
      <c r="CX21" s="801"/>
      <c r="CY21" s="801"/>
    </row>
    <row r="22" spans="1:103" ht="17">
      <c r="A22" s="796" t="s">
        <v>121</v>
      </c>
      <c r="B22" s="797">
        <f t="shared" si="0"/>
        <v>0</v>
      </c>
      <c r="C22" s="798">
        <v>0</v>
      </c>
      <c r="D22" s="799"/>
      <c r="E22" s="801"/>
      <c r="F22" s="801"/>
      <c r="G22" s="801"/>
      <c r="H22" s="801"/>
      <c r="I22" s="801"/>
      <c r="J22" s="801"/>
      <c r="K22" s="801"/>
      <c r="L22" s="801"/>
      <c r="M22" s="801"/>
      <c r="N22" s="801"/>
      <c r="O22" s="801"/>
      <c r="P22" s="801"/>
      <c r="Q22" s="801"/>
      <c r="R22" s="801"/>
      <c r="S22" s="801"/>
      <c r="T22" s="801"/>
      <c r="U22" s="801"/>
      <c r="V22" s="801"/>
      <c r="W22" s="801"/>
      <c r="X22" s="801"/>
      <c r="Y22" s="801"/>
      <c r="Z22" s="801"/>
      <c r="AA22" s="801"/>
      <c r="AB22" s="801"/>
      <c r="AC22" s="801"/>
      <c r="AD22" s="801"/>
      <c r="AE22" s="801"/>
      <c r="AF22" s="801"/>
      <c r="AG22" s="801"/>
      <c r="AH22" s="801"/>
      <c r="AI22" s="801"/>
      <c r="AJ22" s="801"/>
      <c r="AK22" s="801"/>
      <c r="AL22" s="801"/>
      <c r="AM22" s="801"/>
      <c r="AN22" s="801"/>
      <c r="AO22" s="801"/>
      <c r="AP22" s="801"/>
      <c r="AQ22" s="801"/>
      <c r="AR22" s="801"/>
      <c r="AS22" s="801"/>
      <c r="AT22" s="801"/>
      <c r="AU22" s="801"/>
      <c r="AV22" s="801"/>
      <c r="AW22" s="801"/>
      <c r="AX22" s="801"/>
      <c r="AY22" s="801"/>
      <c r="AZ22" s="801"/>
      <c r="BA22" s="801"/>
      <c r="BB22" s="801"/>
      <c r="BC22" s="801"/>
      <c r="BD22" s="801"/>
      <c r="BE22" s="801"/>
      <c r="BF22" s="801"/>
      <c r="BG22" s="801"/>
      <c r="BH22" s="801"/>
      <c r="BI22" s="801"/>
      <c r="BJ22" s="801"/>
      <c r="BK22" s="801"/>
      <c r="BL22" s="801"/>
      <c r="BM22" s="801"/>
      <c r="BN22" s="801"/>
      <c r="BO22" s="801"/>
      <c r="BP22" s="801"/>
      <c r="BQ22" s="801"/>
      <c r="BR22" s="801"/>
      <c r="BS22" s="801"/>
      <c r="BT22" s="801"/>
      <c r="BU22" s="801"/>
      <c r="BV22" s="801"/>
      <c r="BW22" s="801"/>
      <c r="BX22" s="801"/>
      <c r="BY22" s="801"/>
      <c r="BZ22" s="801"/>
      <c r="CA22" s="801"/>
      <c r="CB22" s="801"/>
      <c r="CC22" s="801"/>
      <c r="CD22" s="801"/>
      <c r="CE22" s="801"/>
      <c r="CF22" s="801"/>
      <c r="CG22" s="801"/>
      <c r="CH22" s="801"/>
      <c r="CI22" s="801"/>
      <c r="CJ22" s="801"/>
      <c r="CK22" s="801"/>
      <c r="CL22" s="801"/>
      <c r="CM22" s="801"/>
      <c r="CN22" s="801"/>
      <c r="CO22" s="801"/>
      <c r="CP22" s="801"/>
      <c r="CQ22" s="801"/>
      <c r="CR22" s="801"/>
      <c r="CS22" s="801"/>
      <c r="CT22" s="801"/>
      <c r="CU22" s="801"/>
      <c r="CV22" s="801"/>
      <c r="CW22" s="801"/>
      <c r="CX22" s="801"/>
      <c r="CY22" s="801"/>
    </row>
    <row r="23" spans="1:103" ht="17">
      <c r="A23" s="796" t="s">
        <v>125</v>
      </c>
      <c r="B23" s="797">
        <f t="shared" si="0"/>
        <v>0</v>
      </c>
      <c r="C23" s="798">
        <v>0</v>
      </c>
      <c r="D23" s="799"/>
      <c r="E23" s="801"/>
      <c r="F23" s="801"/>
      <c r="G23" s="801"/>
      <c r="H23" s="801"/>
      <c r="I23" s="801"/>
      <c r="J23" s="801"/>
      <c r="K23" s="801"/>
      <c r="L23" s="801"/>
      <c r="M23" s="801"/>
      <c r="N23" s="801"/>
      <c r="O23" s="801"/>
      <c r="P23" s="801"/>
      <c r="Q23" s="801"/>
      <c r="R23" s="801"/>
      <c r="S23" s="801"/>
      <c r="T23" s="801"/>
      <c r="U23" s="801"/>
      <c r="V23" s="801"/>
      <c r="W23" s="801"/>
      <c r="X23" s="801"/>
      <c r="Y23" s="801"/>
      <c r="Z23" s="801"/>
      <c r="AA23" s="801"/>
      <c r="AB23" s="801"/>
      <c r="AC23" s="801"/>
      <c r="AD23" s="801"/>
      <c r="AE23" s="801"/>
      <c r="AF23" s="801"/>
      <c r="AG23" s="801"/>
      <c r="AH23" s="801"/>
      <c r="AI23" s="801"/>
      <c r="AJ23" s="801"/>
      <c r="AK23" s="801"/>
      <c r="AL23" s="801"/>
      <c r="AM23" s="801"/>
      <c r="AN23" s="801"/>
      <c r="AO23" s="801"/>
      <c r="AP23" s="801"/>
      <c r="AQ23" s="801"/>
      <c r="AR23" s="801"/>
      <c r="AS23" s="801"/>
      <c r="AT23" s="801"/>
      <c r="AU23" s="801"/>
      <c r="AV23" s="801"/>
      <c r="AW23" s="801"/>
      <c r="AX23" s="801"/>
      <c r="AY23" s="801"/>
      <c r="AZ23" s="801"/>
      <c r="BA23" s="801"/>
      <c r="BB23" s="801"/>
      <c r="BC23" s="801"/>
      <c r="BD23" s="801"/>
      <c r="BE23" s="801"/>
      <c r="BF23" s="801"/>
      <c r="BG23" s="801"/>
      <c r="BH23" s="801"/>
      <c r="BI23" s="801"/>
      <c r="BJ23" s="801"/>
      <c r="BK23" s="801"/>
      <c r="BL23" s="801"/>
      <c r="BM23" s="801"/>
      <c r="BN23" s="801"/>
      <c r="BO23" s="801"/>
      <c r="BP23" s="801"/>
      <c r="BQ23" s="801"/>
      <c r="BR23" s="801"/>
      <c r="BS23" s="801"/>
      <c r="BT23" s="801"/>
      <c r="BU23" s="801"/>
      <c r="BV23" s="801"/>
      <c r="BW23" s="801"/>
      <c r="BX23" s="801"/>
      <c r="BY23" s="801"/>
      <c r="BZ23" s="801"/>
      <c r="CA23" s="801"/>
      <c r="CB23" s="801"/>
      <c r="CC23" s="801"/>
      <c r="CD23" s="801"/>
      <c r="CE23" s="801"/>
      <c r="CF23" s="801"/>
      <c r="CG23" s="801"/>
      <c r="CH23" s="801"/>
      <c r="CI23" s="801"/>
      <c r="CJ23" s="801"/>
      <c r="CK23" s="801"/>
      <c r="CL23" s="801"/>
      <c r="CM23" s="801"/>
      <c r="CN23" s="801"/>
      <c r="CO23" s="801"/>
      <c r="CP23" s="801"/>
      <c r="CQ23" s="801"/>
      <c r="CR23" s="801"/>
      <c r="CS23" s="801"/>
      <c r="CT23" s="801"/>
      <c r="CU23" s="801"/>
      <c r="CV23" s="801"/>
      <c r="CW23" s="801"/>
      <c r="CX23" s="801"/>
      <c r="CY23" s="801"/>
    </row>
    <row r="24" spans="1:103" ht="17">
      <c r="A24" s="796" t="s">
        <v>130</v>
      </c>
      <c r="B24" s="797">
        <f t="shared" si="0"/>
        <v>0</v>
      </c>
      <c r="C24" s="798">
        <v>0</v>
      </c>
      <c r="D24" s="799"/>
      <c r="E24" s="801"/>
      <c r="F24" s="801"/>
      <c r="G24" s="801"/>
      <c r="H24" s="801"/>
      <c r="I24" s="801"/>
      <c r="J24" s="801"/>
      <c r="K24" s="801"/>
      <c r="L24" s="801"/>
      <c r="M24" s="801"/>
      <c r="N24" s="801"/>
      <c r="O24" s="801"/>
      <c r="P24" s="801"/>
      <c r="Q24" s="801"/>
      <c r="R24" s="801"/>
      <c r="S24" s="801"/>
      <c r="T24" s="801"/>
      <c r="U24" s="801"/>
      <c r="V24" s="801"/>
      <c r="W24" s="801"/>
      <c r="X24" s="801"/>
      <c r="Y24" s="801"/>
      <c r="Z24" s="801"/>
      <c r="AA24" s="801"/>
      <c r="AB24" s="801"/>
      <c r="AC24" s="801"/>
      <c r="AD24" s="801"/>
      <c r="AE24" s="801"/>
      <c r="AF24" s="801"/>
      <c r="AG24" s="801"/>
      <c r="AH24" s="801"/>
      <c r="AI24" s="801"/>
      <c r="AJ24" s="801"/>
      <c r="AK24" s="801"/>
      <c r="AL24" s="801"/>
      <c r="AM24" s="801"/>
      <c r="AN24" s="801"/>
      <c r="AO24" s="801"/>
      <c r="AP24" s="801"/>
      <c r="AQ24" s="801"/>
      <c r="AR24" s="801"/>
      <c r="AS24" s="801"/>
      <c r="AT24" s="801"/>
      <c r="AU24" s="801"/>
      <c r="AV24" s="801"/>
      <c r="AW24" s="801"/>
      <c r="AX24" s="801"/>
      <c r="AY24" s="801"/>
      <c r="AZ24" s="801"/>
      <c r="BA24" s="801"/>
      <c r="BB24" s="801"/>
      <c r="BC24" s="801"/>
      <c r="BD24" s="801"/>
      <c r="BE24" s="801"/>
      <c r="BF24" s="801"/>
      <c r="BG24" s="801"/>
      <c r="BH24" s="801"/>
      <c r="BI24" s="801"/>
      <c r="BJ24" s="801"/>
      <c r="BK24" s="801"/>
      <c r="BL24" s="801"/>
      <c r="BM24" s="801"/>
      <c r="BN24" s="801"/>
      <c r="BO24" s="801"/>
      <c r="BP24" s="801"/>
      <c r="BQ24" s="801"/>
      <c r="BR24" s="801"/>
      <c r="BS24" s="801"/>
      <c r="BT24" s="801"/>
      <c r="BU24" s="801"/>
      <c r="BV24" s="801"/>
      <c r="BW24" s="801"/>
      <c r="BX24" s="801"/>
      <c r="BY24" s="801"/>
      <c r="BZ24" s="801"/>
      <c r="CA24" s="801"/>
      <c r="CB24" s="801"/>
      <c r="CC24" s="801"/>
      <c r="CD24" s="801"/>
      <c r="CE24" s="801"/>
      <c r="CF24" s="801"/>
      <c r="CG24" s="801"/>
      <c r="CH24" s="801"/>
      <c r="CI24" s="801"/>
      <c r="CJ24" s="801"/>
      <c r="CK24" s="801"/>
      <c r="CL24" s="801"/>
      <c r="CM24" s="801"/>
      <c r="CN24" s="801"/>
      <c r="CO24" s="801"/>
      <c r="CP24" s="801"/>
      <c r="CQ24" s="801"/>
      <c r="CR24" s="801"/>
      <c r="CS24" s="801"/>
      <c r="CT24" s="801"/>
      <c r="CU24" s="801"/>
      <c r="CV24" s="801"/>
      <c r="CW24" s="801"/>
      <c r="CX24" s="801"/>
      <c r="CY24" s="801"/>
    </row>
    <row r="25" spans="1:103" ht="17">
      <c r="A25" s="796" t="s">
        <v>1352</v>
      </c>
      <c r="B25" s="797">
        <f t="shared" si="0"/>
        <v>0</v>
      </c>
      <c r="C25" s="798">
        <v>20</v>
      </c>
      <c r="D25" s="799"/>
      <c r="E25" s="801"/>
      <c r="F25" s="801"/>
      <c r="G25" s="801"/>
      <c r="H25" s="801"/>
      <c r="I25" s="801"/>
      <c r="J25" s="801"/>
      <c r="K25" s="801"/>
      <c r="L25" s="801"/>
      <c r="M25" s="801"/>
      <c r="N25" s="801"/>
      <c r="O25" s="801"/>
      <c r="P25" s="801"/>
      <c r="Q25" s="801"/>
      <c r="R25" s="801"/>
      <c r="S25" s="801"/>
      <c r="T25" s="801"/>
      <c r="U25" s="801"/>
      <c r="V25" s="801"/>
      <c r="W25" s="801"/>
      <c r="X25" s="801"/>
      <c r="Y25" s="801"/>
      <c r="Z25" s="801"/>
      <c r="AA25" s="801"/>
      <c r="AB25" s="801"/>
      <c r="AC25" s="801"/>
      <c r="AD25" s="801"/>
      <c r="AE25" s="801"/>
      <c r="AF25" s="801"/>
      <c r="AG25" s="801"/>
      <c r="AH25" s="801"/>
      <c r="AI25" s="801"/>
      <c r="AJ25" s="801"/>
      <c r="AK25" s="801"/>
      <c r="AL25" s="801"/>
      <c r="AM25" s="801"/>
      <c r="AN25" s="801"/>
      <c r="AO25" s="801"/>
      <c r="AP25" s="801"/>
      <c r="AQ25" s="801"/>
      <c r="AR25" s="801"/>
      <c r="AS25" s="801"/>
      <c r="AT25" s="801"/>
      <c r="AU25" s="801"/>
      <c r="AV25" s="801"/>
      <c r="AW25" s="801"/>
      <c r="AX25" s="801"/>
      <c r="AY25" s="801"/>
      <c r="AZ25" s="801"/>
      <c r="BA25" s="801"/>
      <c r="BB25" s="801"/>
      <c r="BC25" s="801"/>
      <c r="BD25" s="801"/>
      <c r="BE25" s="801"/>
      <c r="BF25" s="801"/>
      <c r="BG25" s="801"/>
      <c r="BH25" s="801"/>
      <c r="BI25" s="801"/>
      <c r="BJ25" s="801"/>
      <c r="BK25" s="801"/>
      <c r="BL25" s="801"/>
      <c r="BM25" s="801"/>
      <c r="BN25" s="801"/>
      <c r="BO25" s="801"/>
      <c r="BP25" s="801"/>
      <c r="BQ25" s="801"/>
      <c r="BR25" s="801"/>
      <c r="BS25" s="801"/>
      <c r="BT25" s="801"/>
      <c r="BU25" s="801"/>
      <c r="BV25" s="801"/>
      <c r="BW25" s="801"/>
      <c r="BX25" s="801"/>
      <c r="BY25" s="801"/>
      <c r="BZ25" s="801"/>
      <c r="CA25" s="801"/>
      <c r="CB25" s="801"/>
      <c r="CC25" s="801"/>
      <c r="CD25" s="801"/>
      <c r="CE25" s="801"/>
      <c r="CF25" s="801"/>
      <c r="CG25" s="801"/>
      <c r="CH25" s="801"/>
      <c r="CI25" s="801"/>
      <c r="CJ25" s="801"/>
      <c r="CK25" s="801"/>
      <c r="CL25" s="801"/>
      <c r="CM25" s="801"/>
      <c r="CN25" s="801"/>
      <c r="CO25" s="801"/>
      <c r="CP25" s="801"/>
      <c r="CQ25" s="801"/>
      <c r="CR25" s="801"/>
      <c r="CS25" s="801"/>
      <c r="CT25" s="801"/>
      <c r="CU25" s="801"/>
      <c r="CV25" s="801"/>
      <c r="CW25" s="801"/>
      <c r="CX25" s="801"/>
      <c r="CY25" s="801"/>
    </row>
    <row r="26" spans="1:103" ht="17">
      <c r="A26" s="796" t="s">
        <v>136</v>
      </c>
      <c r="B26" s="797">
        <f t="shared" si="0"/>
        <v>0</v>
      </c>
      <c r="C26" s="798">
        <v>25</v>
      </c>
      <c r="D26" s="799"/>
      <c r="E26" s="801"/>
      <c r="F26" s="801"/>
      <c r="G26" s="801"/>
      <c r="H26" s="801"/>
      <c r="I26" s="801"/>
      <c r="J26" s="801"/>
      <c r="K26" s="801"/>
      <c r="L26" s="801"/>
      <c r="M26" s="801"/>
      <c r="N26" s="801"/>
      <c r="O26" s="801"/>
      <c r="P26" s="801"/>
      <c r="Q26" s="801"/>
      <c r="R26" s="801"/>
      <c r="S26" s="801"/>
      <c r="T26" s="801"/>
      <c r="U26" s="801"/>
      <c r="V26" s="801"/>
      <c r="W26" s="801"/>
      <c r="X26" s="801"/>
      <c r="Y26" s="801"/>
      <c r="Z26" s="801"/>
      <c r="AA26" s="801"/>
      <c r="AB26" s="801"/>
      <c r="AC26" s="801"/>
      <c r="AD26" s="801"/>
      <c r="AE26" s="801"/>
      <c r="AF26" s="801"/>
      <c r="AG26" s="801"/>
      <c r="AH26" s="801"/>
      <c r="AI26" s="801"/>
      <c r="AJ26" s="801"/>
      <c r="AK26" s="801"/>
      <c r="AL26" s="801"/>
      <c r="AM26" s="801"/>
      <c r="AN26" s="801"/>
      <c r="AO26" s="801"/>
      <c r="AP26" s="801"/>
      <c r="AQ26" s="801"/>
      <c r="AR26" s="801"/>
      <c r="AS26" s="801"/>
      <c r="AT26" s="801"/>
      <c r="AU26" s="801"/>
      <c r="AV26" s="801"/>
      <c r="AW26" s="801"/>
      <c r="AX26" s="801"/>
      <c r="AY26" s="801"/>
      <c r="AZ26" s="801"/>
      <c r="BA26" s="801"/>
      <c r="BB26" s="801"/>
      <c r="BC26" s="801"/>
      <c r="BD26" s="801"/>
      <c r="BE26" s="801"/>
      <c r="BF26" s="801"/>
      <c r="BG26" s="801"/>
      <c r="BH26" s="801"/>
      <c r="BI26" s="801"/>
      <c r="BJ26" s="801"/>
      <c r="BK26" s="801"/>
      <c r="BL26" s="801"/>
      <c r="BM26" s="801"/>
      <c r="BN26" s="801"/>
      <c r="BO26" s="801"/>
      <c r="BP26" s="801"/>
      <c r="BQ26" s="801"/>
      <c r="BR26" s="801"/>
      <c r="BS26" s="801"/>
      <c r="BT26" s="801"/>
      <c r="BU26" s="801"/>
      <c r="BV26" s="801"/>
      <c r="BW26" s="801"/>
      <c r="BX26" s="801"/>
      <c r="BY26" s="801"/>
      <c r="BZ26" s="801"/>
      <c r="CA26" s="801"/>
      <c r="CB26" s="801"/>
      <c r="CC26" s="801"/>
      <c r="CD26" s="801"/>
      <c r="CE26" s="801"/>
      <c r="CF26" s="801"/>
      <c r="CG26" s="801"/>
      <c r="CH26" s="801"/>
      <c r="CI26" s="801"/>
      <c r="CJ26" s="801"/>
      <c r="CK26" s="801"/>
      <c r="CL26" s="801"/>
      <c r="CM26" s="801"/>
      <c r="CN26" s="801"/>
      <c r="CO26" s="801"/>
      <c r="CP26" s="801"/>
      <c r="CQ26" s="801"/>
      <c r="CR26" s="801"/>
      <c r="CS26" s="801"/>
      <c r="CT26" s="801"/>
      <c r="CU26" s="801"/>
      <c r="CV26" s="801"/>
      <c r="CW26" s="801"/>
      <c r="CX26" s="801"/>
      <c r="CY26" s="801"/>
    </row>
    <row r="27" spans="1:103" ht="17">
      <c r="A27" s="796" t="s">
        <v>138</v>
      </c>
      <c r="B27" s="797">
        <f t="shared" si="0"/>
        <v>0</v>
      </c>
      <c r="C27" s="798">
        <v>0</v>
      </c>
      <c r="D27" s="799"/>
      <c r="E27" s="801"/>
      <c r="F27" s="801"/>
      <c r="G27" s="801"/>
      <c r="H27" s="801"/>
      <c r="I27" s="801"/>
      <c r="J27" s="801"/>
      <c r="K27" s="801"/>
      <c r="L27" s="801"/>
      <c r="M27" s="801"/>
      <c r="N27" s="801"/>
      <c r="O27" s="801"/>
      <c r="P27" s="801"/>
      <c r="Q27" s="801"/>
      <c r="R27" s="801"/>
      <c r="S27" s="801"/>
      <c r="T27" s="801"/>
      <c r="U27" s="801"/>
      <c r="V27" s="801"/>
      <c r="W27" s="801"/>
      <c r="X27" s="801"/>
      <c r="Y27" s="801"/>
      <c r="Z27" s="801"/>
      <c r="AA27" s="801"/>
      <c r="AB27" s="801"/>
      <c r="AC27" s="801"/>
      <c r="AD27" s="801"/>
      <c r="AE27" s="801"/>
      <c r="AF27" s="801"/>
      <c r="AG27" s="801"/>
      <c r="AH27" s="801"/>
      <c r="AI27" s="801"/>
      <c r="AJ27" s="801"/>
      <c r="AK27" s="801"/>
      <c r="AL27" s="801"/>
      <c r="AM27" s="801"/>
      <c r="AN27" s="801"/>
      <c r="AO27" s="801"/>
      <c r="AP27" s="801"/>
      <c r="AQ27" s="801"/>
      <c r="AR27" s="801"/>
      <c r="AS27" s="801"/>
      <c r="AT27" s="801"/>
      <c r="AU27" s="801"/>
      <c r="AV27" s="801"/>
      <c r="AW27" s="801"/>
      <c r="AX27" s="801"/>
      <c r="AY27" s="801"/>
      <c r="AZ27" s="801"/>
      <c r="BA27" s="801"/>
      <c r="BB27" s="801"/>
      <c r="BC27" s="801"/>
      <c r="BD27" s="801"/>
      <c r="BE27" s="801"/>
      <c r="BF27" s="801"/>
      <c r="BG27" s="801"/>
      <c r="BH27" s="801"/>
      <c r="BI27" s="801"/>
      <c r="BJ27" s="801"/>
      <c r="BK27" s="801"/>
      <c r="BL27" s="801"/>
      <c r="BM27" s="801"/>
      <c r="BN27" s="801"/>
      <c r="BO27" s="801"/>
      <c r="BP27" s="801"/>
      <c r="BQ27" s="801"/>
      <c r="BR27" s="801"/>
      <c r="BS27" s="801"/>
      <c r="BT27" s="801"/>
      <c r="BU27" s="801"/>
      <c r="BV27" s="801"/>
      <c r="BW27" s="801"/>
      <c r="BX27" s="801"/>
      <c r="BY27" s="801"/>
      <c r="BZ27" s="801"/>
      <c r="CA27" s="801"/>
      <c r="CB27" s="801"/>
      <c r="CC27" s="801"/>
      <c r="CD27" s="801"/>
      <c r="CE27" s="801"/>
      <c r="CF27" s="801"/>
      <c r="CG27" s="801"/>
      <c r="CH27" s="801"/>
      <c r="CI27" s="801"/>
      <c r="CJ27" s="801"/>
      <c r="CK27" s="801"/>
      <c r="CL27" s="801"/>
      <c r="CM27" s="801"/>
      <c r="CN27" s="801"/>
      <c r="CO27" s="801"/>
      <c r="CP27" s="801"/>
      <c r="CQ27" s="801"/>
      <c r="CR27" s="801"/>
      <c r="CS27" s="801"/>
      <c r="CT27" s="801"/>
      <c r="CU27" s="801"/>
      <c r="CV27" s="801"/>
      <c r="CW27" s="801"/>
      <c r="CX27" s="801"/>
      <c r="CY27" s="801"/>
    </row>
    <row r="28" spans="1:103" ht="17">
      <c r="A28" s="796" t="s">
        <v>140</v>
      </c>
      <c r="B28" s="797">
        <f t="shared" si="0"/>
        <v>0</v>
      </c>
      <c r="C28" s="798">
        <v>0</v>
      </c>
      <c r="D28" s="799"/>
      <c r="E28" s="801"/>
      <c r="F28" s="801"/>
      <c r="G28" s="801"/>
      <c r="H28" s="801"/>
      <c r="I28" s="801"/>
      <c r="J28" s="801"/>
      <c r="K28" s="801"/>
      <c r="L28" s="801"/>
      <c r="M28" s="801"/>
      <c r="N28" s="801"/>
      <c r="O28" s="801"/>
      <c r="P28" s="801"/>
      <c r="Q28" s="801"/>
      <c r="R28" s="801"/>
      <c r="S28" s="801"/>
      <c r="T28" s="801"/>
      <c r="U28" s="801"/>
      <c r="V28" s="801"/>
      <c r="W28" s="801"/>
      <c r="X28" s="801"/>
      <c r="Y28" s="801"/>
      <c r="Z28" s="801"/>
      <c r="AA28" s="801"/>
      <c r="AB28" s="801"/>
      <c r="AC28" s="801"/>
      <c r="AD28" s="801"/>
      <c r="AE28" s="801"/>
      <c r="AF28" s="801"/>
      <c r="AG28" s="801"/>
      <c r="AH28" s="801"/>
      <c r="AI28" s="801"/>
      <c r="AJ28" s="801"/>
      <c r="AK28" s="801"/>
      <c r="AL28" s="801"/>
      <c r="AM28" s="801"/>
      <c r="AN28" s="801"/>
      <c r="AO28" s="801"/>
      <c r="AP28" s="801"/>
      <c r="AQ28" s="801"/>
      <c r="AR28" s="801"/>
      <c r="AS28" s="801"/>
      <c r="AT28" s="801"/>
      <c r="AU28" s="801"/>
      <c r="AV28" s="801"/>
      <c r="AW28" s="801"/>
      <c r="AX28" s="801"/>
      <c r="AY28" s="801"/>
      <c r="AZ28" s="801"/>
      <c r="BA28" s="801"/>
      <c r="BB28" s="801"/>
      <c r="BC28" s="801"/>
      <c r="BD28" s="801"/>
      <c r="BE28" s="801"/>
      <c r="BF28" s="801"/>
      <c r="BG28" s="801"/>
      <c r="BH28" s="801"/>
      <c r="BI28" s="801"/>
      <c r="BJ28" s="801"/>
      <c r="BK28" s="801"/>
      <c r="BL28" s="801"/>
      <c r="BM28" s="801"/>
      <c r="BN28" s="801"/>
      <c r="BO28" s="801"/>
      <c r="BP28" s="801"/>
      <c r="BQ28" s="801"/>
      <c r="BR28" s="801"/>
      <c r="BS28" s="801"/>
      <c r="BT28" s="801"/>
      <c r="BU28" s="801"/>
      <c r="BV28" s="801"/>
      <c r="BW28" s="801"/>
      <c r="BX28" s="801"/>
      <c r="BY28" s="801"/>
      <c r="BZ28" s="801"/>
      <c r="CA28" s="801"/>
      <c r="CB28" s="801"/>
      <c r="CC28" s="801"/>
      <c r="CD28" s="801"/>
      <c r="CE28" s="801"/>
      <c r="CF28" s="801"/>
      <c r="CG28" s="801"/>
      <c r="CH28" s="801"/>
      <c r="CI28" s="801"/>
      <c r="CJ28" s="801"/>
      <c r="CK28" s="801"/>
      <c r="CL28" s="801"/>
      <c r="CM28" s="801"/>
      <c r="CN28" s="801"/>
      <c r="CO28" s="801"/>
      <c r="CP28" s="801"/>
      <c r="CQ28" s="801"/>
      <c r="CR28" s="801"/>
      <c r="CS28" s="801"/>
      <c r="CT28" s="801"/>
      <c r="CU28" s="801"/>
      <c r="CV28" s="801"/>
      <c r="CW28" s="801"/>
      <c r="CX28" s="801"/>
      <c r="CY28" s="801"/>
    </row>
    <row r="29" spans="1:103" ht="17">
      <c r="A29" s="796" t="s">
        <v>142</v>
      </c>
      <c r="B29" s="797">
        <f t="shared" si="0"/>
        <v>0</v>
      </c>
      <c r="C29" s="798">
        <v>30</v>
      </c>
      <c r="D29" s="799"/>
      <c r="E29" s="801"/>
      <c r="F29" s="801"/>
      <c r="G29" s="801"/>
      <c r="H29" s="801"/>
      <c r="I29" s="801"/>
      <c r="J29" s="801"/>
      <c r="K29" s="801"/>
      <c r="L29" s="801"/>
      <c r="M29" s="801"/>
      <c r="N29" s="801"/>
      <c r="O29" s="801"/>
      <c r="P29" s="801"/>
      <c r="Q29" s="801"/>
      <c r="R29" s="801"/>
      <c r="S29" s="801"/>
      <c r="T29" s="801"/>
      <c r="U29" s="801"/>
      <c r="V29" s="801"/>
      <c r="W29" s="801"/>
      <c r="X29" s="801"/>
      <c r="Y29" s="801"/>
      <c r="Z29" s="801"/>
      <c r="AA29" s="801"/>
      <c r="AB29" s="801"/>
      <c r="AC29" s="801"/>
      <c r="AD29" s="801"/>
      <c r="AE29" s="801"/>
      <c r="AF29" s="801"/>
      <c r="AG29" s="801"/>
      <c r="AH29" s="801"/>
      <c r="AI29" s="801"/>
      <c r="AJ29" s="801"/>
      <c r="AK29" s="801"/>
      <c r="AL29" s="801"/>
      <c r="AM29" s="801"/>
      <c r="AN29" s="801"/>
      <c r="AO29" s="801"/>
      <c r="AP29" s="801"/>
      <c r="AQ29" s="801"/>
      <c r="AR29" s="801"/>
      <c r="AS29" s="801"/>
      <c r="AT29" s="801"/>
      <c r="AU29" s="801"/>
      <c r="AV29" s="801"/>
      <c r="AW29" s="801"/>
      <c r="AX29" s="801"/>
      <c r="AY29" s="801"/>
      <c r="AZ29" s="801"/>
      <c r="BA29" s="801"/>
      <c r="BB29" s="801"/>
      <c r="BC29" s="801"/>
      <c r="BD29" s="801"/>
      <c r="BE29" s="801"/>
      <c r="BF29" s="801"/>
      <c r="BG29" s="801"/>
      <c r="BH29" s="801"/>
      <c r="BI29" s="801"/>
      <c r="BJ29" s="801"/>
      <c r="BK29" s="801"/>
      <c r="BL29" s="801"/>
      <c r="BM29" s="801"/>
      <c r="BN29" s="801"/>
      <c r="BO29" s="801"/>
      <c r="BP29" s="801"/>
      <c r="BQ29" s="801"/>
      <c r="BR29" s="801"/>
      <c r="BS29" s="801"/>
      <c r="BT29" s="801"/>
      <c r="BU29" s="801"/>
      <c r="BV29" s="801"/>
      <c r="BW29" s="801"/>
      <c r="BX29" s="801"/>
      <c r="BY29" s="801"/>
      <c r="BZ29" s="801"/>
      <c r="CA29" s="801"/>
      <c r="CB29" s="801"/>
      <c r="CC29" s="801"/>
      <c r="CD29" s="801"/>
      <c r="CE29" s="801"/>
      <c r="CF29" s="801"/>
      <c r="CG29" s="801"/>
      <c r="CH29" s="801"/>
      <c r="CI29" s="801"/>
      <c r="CJ29" s="801"/>
      <c r="CK29" s="801"/>
      <c r="CL29" s="801"/>
      <c r="CM29" s="801"/>
      <c r="CN29" s="801"/>
      <c r="CO29" s="801"/>
      <c r="CP29" s="801"/>
      <c r="CQ29" s="801"/>
      <c r="CR29" s="801"/>
      <c r="CS29" s="801"/>
      <c r="CT29" s="801"/>
      <c r="CU29" s="801"/>
      <c r="CV29" s="801"/>
      <c r="CW29" s="801"/>
      <c r="CX29" s="801"/>
      <c r="CY29" s="801"/>
    </row>
    <row r="30" spans="1:103" ht="17">
      <c r="A30" s="796" t="s">
        <v>144</v>
      </c>
      <c r="B30" s="797">
        <f t="shared" si="0"/>
        <v>0</v>
      </c>
      <c r="C30" s="798">
        <v>5</v>
      </c>
      <c r="D30" s="799"/>
      <c r="E30" s="801"/>
      <c r="F30" s="801"/>
      <c r="G30" s="801"/>
      <c r="H30" s="801"/>
      <c r="I30" s="801"/>
      <c r="J30" s="801"/>
      <c r="K30" s="801"/>
      <c r="L30" s="801"/>
      <c r="M30" s="801"/>
      <c r="N30" s="801"/>
      <c r="O30" s="801"/>
      <c r="P30" s="801"/>
      <c r="Q30" s="801"/>
      <c r="R30" s="801"/>
      <c r="S30" s="801"/>
      <c r="T30" s="801"/>
      <c r="U30" s="801"/>
      <c r="V30" s="801"/>
      <c r="W30" s="801"/>
      <c r="X30" s="801"/>
      <c r="Y30" s="801"/>
      <c r="Z30" s="801"/>
      <c r="AA30" s="801"/>
      <c r="AB30" s="801"/>
      <c r="AC30" s="801"/>
      <c r="AD30" s="801"/>
      <c r="AE30" s="801"/>
      <c r="AF30" s="801"/>
      <c r="AG30" s="801"/>
      <c r="AH30" s="801"/>
      <c r="AI30" s="801"/>
      <c r="AJ30" s="801"/>
      <c r="AK30" s="801"/>
      <c r="AL30" s="801"/>
      <c r="AM30" s="801"/>
      <c r="AN30" s="801"/>
      <c r="AO30" s="801"/>
      <c r="AP30" s="801"/>
      <c r="AQ30" s="801"/>
      <c r="AR30" s="801"/>
      <c r="AS30" s="801"/>
      <c r="AT30" s="801"/>
      <c r="AU30" s="801"/>
      <c r="AV30" s="801"/>
      <c r="AW30" s="801"/>
      <c r="AX30" s="801"/>
      <c r="AY30" s="801"/>
      <c r="AZ30" s="801"/>
      <c r="BA30" s="801"/>
      <c r="BB30" s="801"/>
      <c r="BC30" s="801"/>
      <c r="BD30" s="801"/>
      <c r="BE30" s="801"/>
      <c r="BF30" s="801"/>
      <c r="BG30" s="801"/>
      <c r="BH30" s="801"/>
      <c r="BI30" s="801"/>
      <c r="BJ30" s="801"/>
      <c r="BK30" s="801"/>
      <c r="BL30" s="801"/>
      <c r="BM30" s="801"/>
      <c r="BN30" s="801"/>
      <c r="BO30" s="801"/>
      <c r="BP30" s="801"/>
      <c r="BQ30" s="801"/>
      <c r="BR30" s="801"/>
      <c r="BS30" s="801"/>
      <c r="BT30" s="801"/>
      <c r="BU30" s="801"/>
      <c r="BV30" s="801"/>
      <c r="BW30" s="801"/>
      <c r="BX30" s="801"/>
      <c r="BY30" s="801"/>
      <c r="BZ30" s="801"/>
      <c r="CA30" s="801"/>
      <c r="CB30" s="801"/>
      <c r="CC30" s="801"/>
      <c r="CD30" s="801"/>
      <c r="CE30" s="801"/>
      <c r="CF30" s="801"/>
      <c r="CG30" s="801"/>
      <c r="CH30" s="801"/>
      <c r="CI30" s="801"/>
      <c r="CJ30" s="801"/>
      <c r="CK30" s="801"/>
      <c r="CL30" s="801"/>
      <c r="CM30" s="801"/>
      <c r="CN30" s="801"/>
      <c r="CO30" s="801"/>
      <c r="CP30" s="801"/>
      <c r="CQ30" s="801"/>
      <c r="CR30" s="801"/>
      <c r="CS30" s="801"/>
      <c r="CT30" s="801"/>
      <c r="CU30" s="801"/>
      <c r="CV30" s="801"/>
      <c r="CW30" s="801"/>
      <c r="CX30" s="801"/>
      <c r="CY30" s="801"/>
    </row>
    <row r="31" spans="1:103" ht="17">
      <c r="A31" s="796" t="s">
        <v>147</v>
      </c>
      <c r="B31" s="797">
        <f t="shared" si="0"/>
        <v>0</v>
      </c>
      <c r="C31" s="798">
        <v>15</v>
      </c>
      <c r="D31" s="799"/>
      <c r="E31" s="801"/>
      <c r="F31" s="801"/>
      <c r="G31" s="801"/>
      <c r="H31" s="801"/>
      <c r="I31" s="801"/>
      <c r="J31" s="801"/>
      <c r="K31" s="801"/>
      <c r="L31" s="801"/>
      <c r="M31" s="801"/>
      <c r="N31" s="801"/>
      <c r="O31" s="801"/>
      <c r="P31" s="801"/>
      <c r="Q31" s="801"/>
      <c r="R31" s="801"/>
      <c r="S31" s="801"/>
      <c r="T31" s="801"/>
      <c r="U31" s="801"/>
      <c r="V31" s="801"/>
      <c r="W31" s="801"/>
      <c r="X31" s="801"/>
      <c r="Y31" s="801"/>
      <c r="Z31" s="801"/>
      <c r="AA31" s="801"/>
      <c r="AB31" s="801"/>
      <c r="AC31" s="801"/>
      <c r="AD31" s="801"/>
      <c r="AE31" s="801"/>
      <c r="AF31" s="801"/>
      <c r="AG31" s="801"/>
      <c r="AH31" s="801"/>
      <c r="AI31" s="801"/>
      <c r="AJ31" s="801"/>
      <c r="AK31" s="801"/>
      <c r="AL31" s="801"/>
      <c r="AM31" s="801"/>
      <c r="AN31" s="801"/>
      <c r="AO31" s="801"/>
      <c r="AP31" s="801"/>
      <c r="AQ31" s="801"/>
      <c r="AR31" s="801"/>
      <c r="AS31" s="801"/>
      <c r="AT31" s="801"/>
      <c r="AU31" s="801"/>
      <c r="AV31" s="801"/>
      <c r="AW31" s="801"/>
      <c r="AX31" s="801"/>
      <c r="AY31" s="801"/>
      <c r="AZ31" s="801"/>
      <c r="BA31" s="801"/>
      <c r="BB31" s="801"/>
      <c r="BC31" s="801"/>
      <c r="BD31" s="801"/>
      <c r="BE31" s="801"/>
      <c r="BF31" s="801"/>
      <c r="BG31" s="801"/>
      <c r="BH31" s="801"/>
      <c r="BI31" s="801"/>
      <c r="BJ31" s="801"/>
      <c r="BK31" s="801"/>
      <c r="BL31" s="801"/>
      <c r="BM31" s="801"/>
      <c r="BN31" s="801"/>
      <c r="BO31" s="801"/>
      <c r="BP31" s="801"/>
      <c r="BQ31" s="801"/>
      <c r="BR31" s="801"/>
      <c r="BS31" s="801"/>
      <c r="BT31" s="801"/>
      <c r="BU31" s="801"/>
      <c r="BV31" s="801"/>
      <c r="BW31" s="801"/>
      <c r="BX31" s="801"/>
      <c r="BY31" s="801"/>
      <c r="BZ31" s="801"/>
      <c r="CA31" s="801"/>
      <c r="CB31" s="801"/>
      <c r="CC31" s="801"/>
      <c r="CD31" s="801"/>
      <c r="CE31" s="801"/>
      <c r="CF31" s="801"/>
      <c r="CG31" s="801"/>
      <c r="CH31" s="801"/>
      <c r="CI31" s="801"/>
      <c r="CJ31" s="801"/>
      <c r="CK31" s="801"/>
      <c r="CL31" s="801"/>
      <c r="CM31" s="801"/>
      <c r="CN31" s="801"/>
      <c r="CO31" s="801"/>
      <c r="CP31" s="801"/>
      <c r="CQ31" s="801"/>
      <c r="CR31" s="801"/>
      <c r="CS31" s="801"/>
      <c r="CT31" s="801"/>
      <c r="CU31" s="801"/>
      <c r="CV31" s="801"/>
      <c r="CW31" s="801"/>
      <c r="CX31" s="801"/>
      <c r="CY31" s="801"/>
    </row>
    <row r="32" spans="1:103" ht="17">
      <c r="A32" s="796" t="s">
        <v>149</v>
      </c>
      <c r="B32" s="797">
        <f t="shared" si="0"/>
        <v>0</v>
      </c>
      <c r="C32" s="798">
        <v>20</v>
      </c>
      <c r="D32" s="799"/>
      <c r="E32" s="801"/>
      <c r="F32" s="801"/>
      <c r="G32" s="801"/>
      <c r="H32" s="801"/>
      <c r="I32" s="801"/>
      <c r="J32" s="801"/>
      <c r="K32" s="801"/>
      <c r="L32" s="801"/>
      <c r="M32" s="801"/>
      <c r="N32" s="801"/>
      <c r="O32" s="801"/>
      <c r="P32" s="801"/>
      <c r="Q32" s="801"/>
      <c r="R32" s="801"/>
      <c r="S32" s="801"/>
      <c r="T32" s="801"/>
      <c r="U32" s="801"/>
      <c r="V32" s="801"/>
      <c r="W32" s="801"/>
      <c r="X32" s="801"/>
      <c r="Y32" s="801"/>
      <c r="Z32" s="801"/>
      <c r="AA32" s="801"/>
      <c r="AB32" s="801"/>
      <c r="AC32" s="801"/>
      <c r="AD32" s="801"/>
      <c r="AE32" s="801"/>
      <c r="AF32" s="801"/>
      <c r="AG32" s="801"/>
      <c r="AH32" s="801"/>
      <c r="AI32" s="801"/>
      <c r="AJ32" s="801"/>
      <c r="AK32" s="801"/>
      <c r="AL32" s="801"/>
      <c r="AM32" s="801"/>
      <c r="AN32" s="801"/>
      <c r="AO32" s="801"/>
      <c r="AP32" s="801"/>
      <c r="AQ32" s="801"/>
      <c r="AR32" s="801"/>
      <c r="AS32" s="801"/>
      <c r="AT32" s="801"/>
      <c r="AU32" s="801"/>
      <c r="AV32" s="801"/>
      <c r="AW32" s="801"/>
      <c r="AX32" s="801"/>
      <c r="AY32" s="801"/>
      <c r="AZ32" s="801"/>
      <c r="BA32" s="801"/>
      <c r="BB32" s="801"/>
      <c r="BC32" s="801"/>
      <c r="BD32" s="801"/>
      <c r="BE32" s="801"/>
      <c r="BF32" s="801"/>
      <c r="BG32" s="801"/>
      <c r="BH32" s="801"/>
      <c r="BI32" s="801"/>
      <c r="BJ32" s="801"/>
      <c r="BK32" s="801"/>
      <c r="BL32" s="801"/>
      <c r="BM32" s="801"/>
      <c r="BN32" s="801"/>
      <c r="BO32" s="801"/>
      <c r="BP32" s="801"/>
      <c r="BQ32" s="801"/>
      <c r="BR32" s="801"/>
      <c r="BS32" s="801"/>
      <c r="BT32" s="801"/>
      <c r="BU32" s="801"/>
      <c r="BV32" s="801"/>
      <c r="BW32" s="801"/>
      <c r="BX32" s="801"/>
      <c r="BY32" s="801"/>
      <c r="BZ32" s="801"/>
      <c r="CA32" s="801"/>
      <c r="CB32" s="801"/>
      <c r="CC32" s="801"/>
      <c r="CD32" s="801"/>
      <c r="CE32" s="801"/>
      <c r="CF32" s="801"/>
      <c r="CG32" s="801"/>
      <c r="CH32" s="801"/>
      <c r="CI32" s="801"/>
      <c r="CJ32" s="801"/>
      <c r="CK32" s="801"/>
      <c r="CL32" s="801"/>
      <c r="CM32" s="801"/>
      <c r="CN32" s="801"/>
      <c r="CO32" s="801"/>
      <c r="CP32" s="801"/>
      <c r="CQ32" s="801"/>
      <c r="CR32" s="801"/>
      <c r="CS32" s="801"/>
      <c r="CT32" s="801"/>
      <c r="CU32" s="801"/>
      <c r="CV32" s="801"/>
      <c r="CW32" s="801"/>
      <c r="CX32" s="801"/>
      <c r="CY32" s="801"/>
    </row>
    <row r="33" spans="1:103" ht="17">
      <c r="A33" s="796" t="s">
        <v>151</v>
      </c>
      <c r="B33" s="797">
        <f t="shared" si="0"/>
        <v>0</v>
      </c>
      <c r="C33" s="798">
        <v>1</v>
      </c>
      <c r="D33" s="799"/>
      <c r="E33" s="801"/>
      <c r="F33" s="801"/>
      <c r="G33" s="801"/>
      <c r="H33" s="801"/>
      <c r="I33" s="801"/>
      <c r="J33" s="801"/>
      <c r="K33" s="801"/>
      <c r="L33" s="801"/>
      <c r="M33" s="801"/>
      <c r="N33" s="801"/>
      <c r="O33" s="801"/>
      <c r="P33" s="801"/>
      <c r="Q33" s="801"/>
      <c r="R33" s="801"/>
      <c r="S33" s="801"/>
      <c r="T33" s="801"/>
      <c r="U33" s="801"/>
      <c r="V33" s="801"/>
      <c r="W33" s="801"/>
      <c r="X33" s="801"/>
      <c r="Y33" s="801"/>
      <c r="Z33" s="801"/>
      <c r="AA33" s="801"/>
      <c r="AB33" s="801"/>
      <c r="AC33" s="801"/>
      <c r="AD33" s="801"/>
      <c r="AE33" s="801"/>
      <c r="AF33" s="801"/>
      <c r="AG33" s="801"/>
      <c r="AH33" s="801"/>
      <c r="AI33" s="801"/>
      <c r="AJ33" s="801"/>
      <c r="AK33" s="801"/>
      <c r="AL33" s="801"/>
      <c r="AM33" s="801"/>
      <c r="AN33" s="801"/>
      <c r="AO33" s="801"/>
      <c r="AP33" s="801"/>
      <c r="AQ33" s="801"/>
      <c r="AR33" s="801"/>
      <c r="AS33" s="801"/>
      <c r="AT33" s="801"/>
      <c r="AU33" s="801"/>
      <c r="AV33" s="801"/>
      <c r="AW33" s="801"/>
      <c r="AX33" s="801"/>
      <c r="AY33" s="801"/>
      <c r="AZ33" s="801"/>
      <c r="BA33" s="801"/>
      <c r="BB33" s="801"/>
      <c r="BC33" s="801"/>
      <c r="BD33" s="801"/>
      <c r="BE33" s="801"/>
      <c r="BF33" s="801"/>
      <c r="BG33" s="801"/>
      <c r="BH33" s="801"/>
      <c r="BI33" s="801"/>
      <c r="BJ33" s="801"/>
      <c r="BK33" s="801"/>
      <c r="BL33" s="801"/>
      <c r="BM33" s="801"/>
      <c r="BN33" s="801"/>
      <c r="BO33" s="801"/>
      <c r="BP33" s="801"/>
      <c r="BQ33" s="801"/>
      <c r="BR33" s="801"/>
      <c r="BS33" s="801"/>
      <c r="BT33" s="801"/>
      <c r="BU33" s="801"/>
      <c r="BV33" s="801"/>
      <c r="BW33" s="801"/>
      <c r="BX33" s="801"/>
      <c r="BY33" s="801"/>
      <c r="BZ33" s="801"/>
      <c r="CA33" s="801"/>
      <c r="CB33" s="801"/>
      <c r="CC33" s="801"/>
      <c r="CD33" s="801"/>
      <c r="CE33" s="801"/>
      <c r="CF33" s="801"/>
      <c r="CG33" s="801"/>
      <c r="CH33" s="801"/>
      <c r="CI33" s="801"/>
      <c r="CJ33" s="801"/>
      <c r="CK33" s="801"/>
      <c r="CL33" s="801"/>
      <c r="CM33" s="801"/>
      <c r="CN33" s="801"/>
      <c r="CO33" s="801"/>
      <c r="CP33" s="801"/>
      <c r="CQ33" s="801"/>
      <c r="CR33" s="801"/>
      <c r="CS33" s="801"/>
      <c r="CT33" s="801"/>
      <c r="CU33" s="801"/>
      <c r="CV33" s="801"/>
      <c r="CW33" s="801"/>
      <c r="CX33" s="801"/>
      <c r="CY33" s="801"/>
    </row>
    <row r="34" spans="1:103" ht="17">
      <c r="A34" s="796" t="s">
        <v>153</v>
      </c>
      <c r="B34" s="797">
        <f t="shared" si="0"/>
        <v>0</v>
      </c>
      <c r="C34" s="798">
        <v>1</v>
      </c>
      <c r="D34" s="799"/>
      <c r="E34" s="801"/>
      <c r="F34" s="801"/>
      <c r="G34" s="801"/>
      <c r="H34" s="801"/>
      <c r="I34" s="801"/>
      <c r="J34" s="801"/>
      <c r="K34" s="801"/>
      <c r="L34" s="801"/>
      <c r="M34" s="801"/>
      <c r="N34" s="801"/>
      <c r="O34" s="801"/>
      <c r="P34" s="801"/>
      <c r="Q34" s="801"/>
      <c r="R34" s="801"/>
      <c r="S34" s="801"/>
      <c r="T34" s="801"/>
      <c r="U34" s="801"/>
      <c r="V34" s="801"/>
      <c r="W34" s="801"/>
      <c r="X34" s="801"/>
      <c r="Y34" s="801"/>
      <c r="Z34" s="801"/>
      <c r="AA34" s="801"/>
      <c r="AB34" s="801"/>
      <c r="AC34" s="801"/>
      <c r="AD34" s="801"/>
      <c r="AE34" s="801"/>
      <c r="AF34" s="801"/>
      <c r="AG34" s="801"/>
      <c r="AH34" s="801"/>
      <c r="AI34" s="801"/>
      <c r="AJ34" s="801"/>
      <c r="AK34" s="801"/>
      <c r="AL34" s="801"/>
      <c r="AM34" s="801"/>
      <c r="AN34" s="801"/>
      <c r="AO34" s="801"/>
      <c r="AP34" s="801"/>
      <c r="AQ34" s="801"/>
      <c r="AR34" s="801"/>
      <c r="AS34" s="801"/>
      <c r="AT34" s="801"/>
      <c r="AU34" s="801"/>
      <c r="AV34" s="801"/>
      <c r="AW34" s="801"/>
      <c r="AX34" s="801"/>
      <c r="AY34" s="801"/>
      <c r="AZ34" s="801"/>
      <c r="BA34" s="801"/>
      <c r="BB34" s="801"/>
      <c r="BC34" s="801"/>
      <c r="BD34" s="801"/>
      <c r="BE34" s="801"/>
      <c r="BF34" s="801"/>
      <c r="BG34" s="801"/>
      <c r="BH34" s="801"/>
      <c r="BI34" s="801"/>
      <c r="BJ34" s="801"/>
      <c r="BK34" s="801"/>
      <c r="BL34" s="801"/>
      <c r="BM34" s="801"/>
      <c r="BN34" s="801"/>
      <c r="BO34" s="801"/>
      <c r="BP34" s="801"/>
      <c r="BQ34" s="801"/>
      <c r="BR34" s="801"/>
      <c r="BS34" s="801"/>
      <c r="BT34" s="801"/>
      <c r="BU34" s="801"/>
      <c r="BV34" s="801"/>
      <c r="BW34" s="801"/>
      <c r="BX34" s="801"/>
      <c r="BY34" s="801"/>
      <c r="BZ34" s="801"/>
      <c r="CA34" s="801"/>
      <c r="CB34" s="801"/>
      <c r="CC34" s="801"/>
      <c r="CD34" s="801"/>
      <c r="CE34" s="801"/>
      <c r="CF34" s="801"/>
      <c r="CG34" s="801"/>
      <c r="CH34" s="801"/>
      <c r="CI34" s="801"/>
      <c r="CJ34" s="801"/>
      <c r="CK34" s="801"/>
      <c r="CL34" s="801"/>
      <c r="CM34" s="801"/>
      <c r="CN34" s="801"/>
      <c r="CO34" s="801"/>
      <c r="CP34" s="801"/>
      <c r="CQ34" s="801"/>
      <c r="CR34" s="801"/>
      <c r="CS34" s="801"/>
      <c r="CT34" s="801"/>
      <c r="CU34" s="801"/>
      <c r="CV34" s="801"/>
      <c r="CW34" s="801"/>
      <c r="CX34" s="801"/>
      <c r="CY34" s="801"/>
    </row>
    <row r="35" spans="1:103" ht="17">
      <c r="A35" s="796" t="s">
        <v>155</v>
      </c>
      <c r="B35" s="797">
        <f t="shared" si="0"/>
        <v>0</v>
      </c>
      <c r="C35" s="798">
        <v>1</v>
      </c>
      <c r="D35" s="799"/>
      <c r="E35" s="801"/>
      <c r="F35" s="801"/>
      <c r="G35" s="801"/>
      <c r="H35" s="801"/>
      <c r="I35" s="801"/>
      <c r="J35" s="801"/>
      <c r="K35" s="801"/>
      <c r="L35" s="801"/>
      <c r="M35" s="801"/>
      <c r="N35" s="801"/>
      <c r="O35" s="801"/>
      <c r="P35" s="801"/>
      <c r="Q35" s="801"/>
      <c r="R35" s="801"/>
      <c r="S35" s="801"/>
      <c r="T35" s="801"/>
      <c r="U35" s="801"/>
      <c r="V35" s="801"/>
      <c r="W35" s="801"/>
      <c r="X35" s="801"/>
      <c r="Y35" s="801"/>
      <c r="Z35" s="801"/>
      <c r="AA35" s="801"/>
      <c r="AB35" s="801"/>
      <c r="AC35" s="801"/>
      <c r="AD35" s="801"/>
      <c r="AE35" s="801"/>
      <c r="AF35" s="801"/>
      <c r="AG35" s="801"/>
      <c r="AH35" s="801"/>
      <c r="AI35" s="801"/>
      <c r="AJ35" s="801"/>
      <c r="AK35" s="801"/>
      <c r="AL35" s="801"/>
      <c r="AM35" s="801"/>
      <c r="AN35" s="801"/>
      <c r="AO35" s="801"/>
      <c r="AP35" s="801"/>
      <c r="AQ35" s="801"/>
      <c r="AR35" s="801"/>
      <c r="AS35" s="801"/>
      <c r="AT35" s="801"/>
      <c r="AU35" s="801"/>
      <c r="AV35" s="801"/>
      <c r="AW35" s="801"/>
      <c r="AX35" s="801"/>
      <c r="AY35" s="801"/>
      <c r="AZ35" s="801"/>
      <c r="BA35" s="801"/>
      <c r="BB35" s="801"/>
      <c r="BC35" s="801"/>
      <c r="BD35" s="801"/>
      <c r="BE35" s="801"/>
      <c r="BF35" s="801"/>
      <c r="BG35" s="801"/>
      <c r="BH35" s="801"/>
      <c r="BI35" s="801"/>
      <c r="BJ35" s="801"/>
      <c r="BK35" s="801"/>
      <c r="BL35" s="801"/>
      <c r="BM35" s="801"/>
      <c r="BN35" s="801"/>
      <c r="BO35" s="801"/>
      <c r="BP35" s="801"/>
      <c r="BQ35" s="801"/>
      <c r="BR35" s="801"/>
      <c r="BS35" s="801"/>
      <c r="BT35" s="801"/>
      <c r="BU35" s="801"/>
      <c r="BV35" s="801"/>
      <c r="BW35" s="801"/>
      <c r="BX35" s="801"/>
      <c r="BY35" s="801"/>
      <c r="BZ35" s="801"/>
      <c r="CA35" s="801"/>
      <c r="CB35" s="801"/>
      <c r="CC35" s="801"/>
      <c r="CD35" s="801"/>
      <c r="CE35" s="801"/>
      <c r="CF35" s="801"/>
      <c r="CG35" s="801"/>
      <c r="CH35" s="801"/>
      <c r="CI35" s="801"/>
      <c r="CJ35" s="801"/>
      <c r="CK35" s="801"/>
      <c r="CL35" s="801"/>
      <c r="CM35" s="801"/>
      <c r="CN35" s="801"/>
      <c r="CO35" s="801"/>
      <c r="CP35" s="801"/>
      <c r="CQ35" s="801"/>
      <c r="CR35" s="801"/>
      <c r="CS35" s="801"/>
      <c r="CT35" s="801"/>
      <c r="CU35" s="801"/>
      <c r="CV35" s="801"/>
      <c r="CW35" s="801"/>
      <c r="CX35" s="801"/>
      <c r="CY35" s="801"/>
    </row>
    <row r="36" spans="1:103" ht="17">
      <c r="A36" s="796" t="s">
        <v>157</v>
      </c>
      <c r="B36" s="797">
        <f t="shared" si="0"/>
        <v>0</v>
      </c>
      <c r="C36" s="798">
        <v>0</v>
      </c>
      <c r="D36" s="799"/>
      <c r="E36" s="801"/>
      <c r="F36" s="801"/>
      <c r="G36" s="801"/>
      <c r="H36" s="801"/>
      <c r="I36" s="801"/>
      <c r="J36" s="801"/>
      <c r="K36" s="801"/>
      <c r="L36" s="801"/>
      <c r="M36" s="801"/>
      <c r="N36" s="801"/>
      <c r="O36" s="801"/>
      <c r="P36" s="801"/>
      <c r="Q36" s="801"/>
      <c r="R36" s="801"/>
      <c r="S36" s="801"/>
      <c r="T36" s="801"/>
      <c r="U36" s="801"/>
      <c r="V36" s="801"/>
      <c r="W36" s="801"/>
      <c r="X36" s="801"/>
      <c r="Y36" s="801"/>
      <c r="Z36" s="801"/>
      <c r="AA36" s="801"/>
      <c r="AB36" s="801"/>
      <c r="AC36" s="801"/>
      <c r="AD36" s="801"/>
      <c r="AE36" s="801"/>
      <c r="AF36" s="801"/>
      <c r="AG36" s="801"/>
      <c r="AH36" s="801"/>
      <c r="AI36" s="801"/>
      <c r="AJ36" s="801"/>
      <c r="AK36" s="801"/>
      <c r="AL36" s="801"/>
      <c r="AM36" s="801"/>
      <c r="AN36" s="801"/>
      <c r="AO36" s="801"/>
      <c r="AP36" s="801"/>
      <c r="AQ36" s="801"/>
      <c r="AR36" s="801"/>
      <c r="AS36" s="801"/>
      <c r="AT36" s="801"/>
      <c r="AU36" s="801"/>
      <c r="AV36" s="801"/>
      <c r="AW36" s="801"/>
      <c r="AX36" s="801"/>
      <c r="AY36" s="801"/>
      <c r="AZ36" s="801"/>
      <c r="BA36" s="801"/>
      <c r="BB36" s="801"/>
      <c r="BC36" s="801"/>
      <c r="BD36" s="801"/>
      <c r="BE36" s="801"/>
      <c r="BF36" s="801"/>
      <c r="BG36" s="801"/>
      <c r="BH36" s="801"/>
      <c r="BI36" s="801"/>
      <c r="BJ36" s="801"/>
      <c r="BK36" s="801"/>
      <c r="BL36" s="801"/>
      <c r="BM36" s="801"/>
      <c r="BN36" s="801"/>
      <c r="BO36" s="801"/>
      <c r="BP36" s="801"/>
      <c r="BQ36" s="801"/>
      <c r="BR36" s="801"/>
      <c r="BS36" s="801"/>
      <c r="BT36" s="801"/>
      <c r="BU36" s="801"/>
      <c r="BV36" s="801"/>
      <c r="BW36" s="801"/>
      <c r="BX36" s="801"/>
      <c r="BY36" s="801"/>
      <c r="BZ36" s="801"/>
      <c r="CA36" s="801"/>
      <c r="CB36" s="801"/>
      <c r="CC36" s="801"/>
      <c r="CD36" s="801"/>
      <c r="CE36" s="801"/>
      <c r="CF36" s="801"/>
      <c r="CG36" s="801"/>
      <c r="CH36" s="801"/>
      <c r="CI36" s="801"/>
      <c r="CJ36" s="801"/>
      <c r="CK36" s="801"/>
      <c r="CL36" s="801"/>
      <c r="CM36" s="801"/>
      <c r="CN36" s="801"/>
      <c r="CO36" s="801"/>
      <c r="CP36" s="801"/>
      <c r="CQ36" s="801"/>
      <c r="CR36" s="801"/>
      <c r="CS36" s="801"/>
      <c r="CT36" s="801"/>
      <c r="CU36" s="801"/>
      <c r="CV36" s="801"/>
      <c r="CW36" s="801"/>
      <c r="CX36" s="801"/>
      <c r="CY36" s="801"/>
    </row>
    <row r="37" spans="1:103" ht="17">
      <c r="A37" s="796" t="s">
        <v>61</v>
      </c>
      <c r="B37" s="797">
        <f t="shared" si="0"/>
        <v>0</v>
      </c>
      <c r="C37" s="798">
        <v>5</v>
      </c>
      <c r="D37" s="799"/>
      <c r="E37" s="801"/>
      <c r="F37" s="801"/>
      <c r="G37" s="801"/>
      <c r="H37" s="801"/>
      <c r="I37" s="801"/>
      <c r="J37" s="801"/>
      <c r="K37" s="801"/>
      <c r="L37" s="801"/>
      <c r="M37" s="801"/>
      <c r="N37" s="801"/>
      <c r="O37" s="801"/>
      <c r="P37" s="801"/>
      <c r="Q37" s="801"/>
      <c r="R37" s="801"/>
      <c r="S37" s="801"/>
      <c r="T37" s="801"/>
      <c r="U37" s="801"/>
      <c r="V37" s="801"/>
      <c r="W37" s="801"/>
      <c r="X37" s="801"/>
      <c r="Y37" s="801"/>
      <c r="Z37" s="801"/>
      <c r="AA37" s="801"/>
      <c r="AB37" s="801"/>
      <c r="AC37" s="801"/>
      <c r="AD37" s="801"/>
      <c r="AE37" s="801"/>
      <c r="AF37" s="801"/>
      <c r="AG37" s="801"/>
      <c r="AH37" s="801"/>
      <c r="AI37" s="801"/>
      <c r="AJ37" s="801"/>
      <c r="AK37" s="801"/>
      <c r="AL37" s="801"/>
      <c r="AM37" s="801"/>
      <c r="AN37" s="801"/>
      <c r="AO37" s="801"/>
      <c r="AP37" s="801"/>
      <c r="AQ37" s="801"/>
      <c r="AR37" s="801"/>
      <c r="AS37" s="801"/>
      <c r="AT37" s="801"/>
      <c r="AU37" s="801"/>
      <c r="AV37" s="801"/>
      <c r="AW37" s="801"/>
      <c r="AX37" s="801"/>
      <c r="AY37" s="801"/>
      <c r="AZ37" s="801"/>
      <c r="BA37" s="801"/>
      <c r="BB37" s="801"/>
      <c r="BC37" s="801"/>
      <c r="BD37" s="801"/>
      <c r="BE37" s="801"/>
      <c r="BF37" s="801"/>
      <c r="BG37" s="801"/>
      <c r="BH37" s="801"/>
      <c r="BI37" s="801"/>
      <c r="BJ37" s="801"/>
      <c r="BK37" s="801"/>
      <c r="BL37" s="801"/>
      <c r="BM37" s="801"/>
      <c r="BN37" s="801"/>
      <c r="BO37" s="801"/>
      <c r="BP37" s="801"/>
      <c r="BQ37" s="801"/>
      <c r="BR37" s="801"/>
      <c r="BS37" s="801"/>
      <c r="BT37" s="801"/>
      <c r="BU37" s="801"/>
      <c r="BV37" s="801"/>
      <c r="BW37" s="801"/>
      <c r="BX37" s="801"/>
      <c r="BY37" s="801"/>
      <c r="BZ37" s="801"/>
      <c r="CA37" s="801"/>
      <c r="CB37" s="801"/>
      <c r="CC37" s="801"/>
      <c r="CD37" s="801"/>
      <c r="CE37" s="801"/>
      <c r="CF37" s="801"/>
      <c r="CG37" s="801"/>
      <c r="CH37" s="801"/>
      <c r="CI37" s="801"/>
      <c r="CJ37" s="801"/>
      <c r="CK37" s="801"/>
      <c r="CL37" s="801"/>
      <c r="CM37" s="801"/>
      <c r="CN37" s="801"/>
      <c r="CO37" s="801"/>
      <c r="CP37" s="801"/>
      <c r="CQ37" s="801"/>
      <c r="CR37" s="801"/>
      <c r="CS37" s="801"/>
      <c r="CT37" s="801"/>
      <c r="CU37" s="801"/>
      <c r="CV37" s="801"/>
      <c r="CW37" s="801"/>
      <c r="CX37" s="801"/>
      <c r="CY37" s="801"/>
    </row>
    <row r="38" spans="1:103" ht="17">
      <c r="A38" s="796" t="s">
        <v>63</v>
      </c>
      <c r="B38" s="797">
        <f t="shared" si="0"/>
        <v>0</v>
      </c>
      <c r="C38" s="798">
        <v>20</v>
      </c>
      <c r="D38" s="799"/>
      <c r="E38" s="801"/>
      <c r="F38" s="801"/>
      <c r="G38" s="801"/>
      <c r="H38" s="801"/>
      <c r="I38" s="801"/>
      <c r="J38" s="801"/>
      <c r="K38" s="801"/>
      <c r="L38" s="801"/>
      <c r="M38" s="801"/>
      <c r="N38" s="801"/>
      <c r="O38" s="801"/>
      <c r="P38" s="801"/>
      <c r="Q38" s="801"/>
      <c r="R38" s="801"/>
      <c r="S38" s="801"/>
      <c r="T38" s="801"/>
      <c r="U38" s="801"/>
      <c r="V38" s="801"/>
      <c r="W38" s="801"/>
      <c r="X38" s="801"/>
      <c r="Y38" s="801"/>
      <c r="Z38" s="801"/>
      <c r="AA38" s="801"/>
      <c r="AB38" s="801"/>
      <c r="AC38" s="801"/>
      <c r="AD38" s="801"/>
      <c r="AE38" s="801"/>
      <c r="AF38" s="801"/>
      <c r="AG38" s="801"/>
      <c r="AH38" s="801"/>
      <c r="AI38" s="801"/>
      <c r="AJ38" s="801"/>
      <c r="AK38" s="801"/>
      <c r="AL38" s="801"/>
      <c r="AM38" s="801"/>
      <c r="AN38" s="801"/>
      <c r="AO38" s="801"/>
      <c r="AP38" s="801"/>
      <c r="AQ38" s="801"/>
      <c r="AR38" s="801"/>
      <c r="AS38" s="801"/>
      <c r="AT38" s="801"/>
      <c r="AU38" s="801"/>
      <c r="AV38" s="801"/>
      <c r="AW38" s="801"/>
      <c r="AX38" s="801"/>
      <c r="AY38" s="801"/>
      <c r="AZ38" s="801"/>
      <c r="BA38" s="801"/>
      <c r="BB38" s="801"/>
      <c r="BC38" s="801"/>
      <c r="BD38" s="801"/>
      <c r="BE38" s="801"/>
      <c r="BF38" s="801"/>
      <c r="BG38" s="801"/>
      <c r="BH38" s="801"/>
      <c r="BI38" s="801"/>
      <c r="BJ38" s="801"/>
      <c r="BK38" s="801"/>
      <c r="BL38" s="801"/>
      <c r="BM38" s="801"/>
      <c r="BN38" s="801"/>
      <c r="BO38" s="801"/>
      <c r="BP38" s="801"/>
      <c r="BQ38" s="801"/>
      <c r="BR38" s="801"/>
      <c r="BS38" s="801"/>
      <c r="BT38" s="801"/>
      <c r="BU38" s="801"/>
      <c r="BV38" s="801"/>
      <c r="BW38" s="801"/>
      <c r="BX38" s="801"/>
      <c r="BY38" s="801"/>
      <c r="BZ38" s="801"/>
      <c r="CA38" s="801"/>
      <c r="CB38" s="801"/>
      <c r="CC38" s="801"/>
      <c r="CD38" s="801"/>
      <c r="CE38" s="801"/>
      <c r="CF38" s="801"/>
      <c r="CG38" s="801"/>
      <c r="CH38" s="801"/>
      <c r="CI38" s="801"/>
      <c r="CJ38" s="801"/>
      <c r="CK38" s="801"/>
      <c r="CL38" s="801"/>
      <c r="CM38" s="801"/>
      <c r="CN38" s="801"/>
      <c r="CO38" s="801"/>
      <c r="CP38" s="801"/>
      <c r="CQ38" s="801"/>
      <c r="CR38" s="801"/>
      <c r="CS38" s="801"/>
      <c r="CT38" s="801"/>
      <c r="CU38" s="801"/>
      <c r="CV38" s="801"/>
      <c r="CW38" s="801"/>
      <c r="CX38" s="801"/>
      <c r="CY38" s="801"/>
    </row>
    <row r="39" spans="1:103" ht="17">
      <c r="A39" s="796" t="s">
        <v>67</v>
      </c>
      <c r="B39" s="797">
        <f t="shared" si="0"/>
        <v>0</v>
      </c>
      <c r="C39" s="798">
        <v>20</v>
      </c>
      <c r="D39" s="799"/>
      <c r="E39" s="801"/>
      <c r="F39" s="801"/>
      <c r="G39" s="801"/>
      <c r="H39" s="801"/>
      <c r="I39" s="801"/>
      <c r="J39" s="801"/>
      <c r="K39" s="801"/>
      <c r="L39" s="801"/>
      <c r="M39" s="801"/>
      <c r="N39" s="801"/>
      <c r="O39" s="801"/>
      <c r="P39" s="801"/>
      <c r="Q39" s="801"/>
      <c r="R39" s="801"/>
      <c r="S39" s="801"/>
      <c r="T39" s="801"/>
      <c r="U39" s="801"/>
      <c r="V39" s="801"/>
      <c r="W39" s="801"/>
      <c r="X39" s="801"/>
      <c r="Y39" s="801"/>
      <c r="Z39" s="801"/>
      <c r="AA39" s="801"/>
      <c r="AB39" s="801"/>
      <c r="AC39" s="801"/>
      <c r="AD39" s="801"/>
      <c r="AE39" s="801"/>
      <c r="AF39" s="801"/>
      <c r="AG39" s="801"/>
      <c r="AH39" s="801"/>
      <c r="AI39" s="801"/>
      <c r="AJ39" s="801"/>
      <c r="AK39" s="801"/>
      <c r="AL39" s="801"/>
      <c r="AM39" s="801"/>
      <c r="AN39" s="801"/>
      <c r="AO39" s="801"/>
      <c r="AP39" s="801"/>
      <c r="AQ39" s="801"/>
      <c r="AR39" s="801"/>
      <c r="AS39" s="801"/>
      <c r="AT39" s="801"/>
      <c r="AU39" s="801"/>
      <c r="AV39" s="801"/>
      <c r="AW39" s="801"/>
      <c r="AX39" s="801"/>
      <c r="AY39" s="801"/>
      <c r="AZ39" s="801"/>
      <c r="BA39" s="801"/>
      <c r="BB39" s="801"/>
      <c r="BC39" s="801"/>
      <c r="BD39" s="801"/>
      <c r="BE39" s="801"/>
      <c r="BF39" s="801"/>
      <c r="BG39" s="801"/>
      <c r="BH39" s="801"/>
      <c r="BI39" s="801"/>
      <c r="BJ39" s="801"/>
      <c r="BK39" s="801"/>
      <c r="BL39" s="801"/>
      <c r="BM39" s="801"/>
      <c r="BN39" s="801"/>
      <c r="BO39" s="801"/>
      <c r="BP39" s="801"/>
      <c r="BQ39" s="801"/>
      <c r="BR39" s="801"/>
      <c r="BS39" s="801"/>
      <c r="BT39" s="801"/>
      <c r="BU39" s="801"/>
      <c r="BV39" s="801"/>
      <c r="BW39" s="801"/>
      <c r="BX39" s="801"/>
      <c r="BY39" s="801"/>
      <c r="BZ39" s="801"/>
      <c r="CA39" s="801"/>
      <c r="CB39" s="801"/>
      <c r="CC39" s="801"/>
      <c r="CD39" s="801"/>
      <c r="CE39" s="801"/>
      <c r="CF39" s="801"/>
      <c r="CG39" s="801"/>
      <c r="CH39" s="801"/>
      <c r="CI39" s="801"/>
      <c r="CJ39" s="801"/>
      <c r="CK39" s="801"/>
      <c r="CL39" s="801"/>
      <c r="CM39" s="801"/>
      <c r="CN39" s="801"/>
      <c r="CO39" s="801"/>
      <c r="CP39" s="801"/>
      <c r="CQ39" s="801"/>
      <c r="CR39" s="801"/>
      <c r="CS39" s="801"/>
      <c r="CT39" s="801"/>
      <c r="CU39" s="801"/>
      <c r="CV39" s="801"/>
      <c r="CW39" s="801"/>
      <c r="CX39" s="801"/>
      <c r="CY39" s="801"/>
    </row>
    <row r="40" spans="1:103" ht="17">
      <c r="A40" s="796" t="s">
        <v>71</v>
      </c>
      <c r="B40" s="797">
        <f t="shared" si="0"/>
        <v>0</v>
      </c>
      <c r="C40" s="798">
        <v>1</v>
      </c>
      <c r="D40" s="799"/>
      <c r="E40" s="801"/>
      <c r="F40" s="801"/>
      <c r="G40" s="801"/>
      <c r="H40" s="801"/>
      <c r="I40" s="801"/>
      <c r="J40" s="801"/>
      <c r="K40" s="801"/>
      <c r="L40" s="801"/>
      <c r="M40" s="801"/>
      <c r="N40" s="801"/>
      <c r="O40" s="801"/>
      <c r="P40" s="801"/>
      <c r="Q40" s="801"/>
      <c r="R40" s="801"/>
      <c r="S40" s="801"/>
      <c r="T40" s="801"/>
      <c r="U40" s="801"/>
      <c r="V40" s="801"/>
      <c r="W40" s="801"/>
      <c r="X40" s="801"/>
      <c r="Y40" s="801"/>
      <c r="Z40" s="801"/>
      <c r="AA40" s="801"/>
      <c r="AB40" s="801"/>
      <c r="AC40" s="801"/>
      <c r="AD40" s="801"/>
      <c r="AE40" s="801"/>
      <c r="AF40" s="801"/>
      <c r="AG40" s="801"/>
      <c r="AH40" s="801"/>
      <c r="AI40" s="801"/>
      <c r="AJ40" s="801"/>
      <c r="AK40" s="801"/>
      <c r="AL40" s="801"/>
      <c r="AM40" s="801"/>
      <c r="AN40" s="801"/>
      <c r="AO40" s="801"/>
      <c r="AP40" s="801"/>
      <c r="AQ40" s="801"/>
      <c r="AR40" s="801"/>
      <c r="AS40" s="801"/>
      <c r="AT40" s="801"/>
      <c r="AU40" s="801"/>
      <c r="AV40" s="801"/>
      <c r="AW40" s="801"/>
      <c r="AX40" s="801"/>
      <c r="AY40" s="801"/>
      <c r="AZ40" s="801"/>
      <c r="BA40" s="801"/>
      <c r="BB40" s="801"/>
      <c r="BC40" s="801"/>
      <c r="BD40" s="801"/>
      <c r="BE40" s="801"/>
      <c r="BF40" s="801"/>
      <c r="BG40" s="801"/>
      <c r="BH40" s="801"/>
      <c r="BI40" s="801"/>
      <c r="BJ40" s="801"/>
      <c r="BK40" s="801"/>
      <c r="BL40" s="801"/>
      <c r="BM40" s="801"/>
      <c r="BN40" s="801"/>
      <c r="BO40" s="801"/>
      <c r="BP40" s="801"/>
      <c r="BQ40" s="801"/>
      <c r="BR40" s="801"/>
      <c r="BS40" s="801"/>
      <c r="BT40" s="801"/>
      <c r="BU40" s="801"/>
      <c r="BV40" s="801"/>
      <c r="BW40" s="801"/>
      <c r="BX40" s="801"/>
      <c r="BY40" s="801"/>
      <c r="BZ40" s="801"/>
      <c r="CA40" s="801"/>
      <c r="CB40" s="801"/>
      <c r="CC40" s="801"/>
      <c r="CD40" s="801"/>
      <c r="CE40" s="801"/>
      <c r="CF40" s="801"/>
      <c r="CG40" s="801"/>
      <c r="CH40" s="801"/>
      <c r="CI40" s="801"/>
      <c r="CJ40" s="801"/>
      <c r="CK40" s="801"/>
      <c r="CL40" s="801"/>
      <c r="CM40" s="801"/>
      <c r="CN40" s="801"/>
      <c r="CO40" s="801"/>
      <c r="CP40" s="801"/>
      <c r="CQ40" s="801"/>
      <c r="CR40" s="801"/>
      <c r="CS40" s="801"/>
      <c r="CT40" s="801"/>
      <c r="CU40" s="801"/>
      <c r="CV40" s="801"/>
      <c r="CW40" s="801"/>
      <c r="CX40" s="801"/>
      <c r="CY40" s="801"/>
    </row>
    <row r="41" spans="1:103" ht="17">
      <c r="A41" s="796" t="s">
        <v>73</v>
      </c>
      <c r="B41" s="797">
        <f t="shared" si="0"/>
        <v>0</v>
      </c>
      <c r="C41" s="798">
        <v>10</v>
      </c>
      <c r="D41" s="799"/>
      <c r="E41" s="801"/>
      <c r="F41" s="801"/>
      <c r="G41" s="801"/>
      <c r="H41" s="801"/>
      <c r="I41" s="801"/>
      <c r="J41" s="801"/>
      <c r="K41" s="801"/>
      <c r="L41" s="801"/>
      <c r="M41" s="801"/>
      <c r="N41" s="801"/>
      <c r="O41" s="801"/>
      <c r="P41" s="801"/>
      <c r="Q41" s="801"/>
      <c r="R41" s="801"/>
      <c r="S41" s="801"/>
      <c r="T41" s="801"/>
      <c r="U41" s="801"/>
      <c r="V41" s="801"/>
      <c r="W41" s="801"/>
      <c r="X41" s="801"/>
      <c r="Y41" s="801"/>
      <c r="Z41" s="801"/>
      <c r="AA41" s="801"/>
      <c r="AB41" s="801"/>
      <c r="AC41" s="801"/>
      <c r="AD41" s="801"/>
      <c r="AE41" s="801"/>
      <c r="AF41" s="801"/>
      <c r="AG41" s="801"/>
      <c r="AH41" s="801"/>
      <c r="AI41" s="801"/>
      <c r="AJ41" s="801"/>
      <c r="AK41" s="801"/>
      <c r="AL41" s="801"/>
      <c r="AM41" s="801"/>
      <c r="AN41" s="801"/>
      <c r="AO41" s="801"/>
      <c r="AP41" s="801"/>
      <c r="AQ41" s="801"/>
      <c r="AR41" s="801"/>
      <c r="AS41" s="801"/>
      <c r="AT41" s="801"/>
      <c r="AU41" s="801"/>
      <c r="AV41" s="801"/>
      <c r="AW41" s="801"/>
      <c r="AX41" s="801"/>
      <c r="AY41" s="801"/>
      <c r="AZ41" s="801"/>
      <c r="BA41" s="801"/>
      <c r="BB41" s="801"/>
      <c r="BC41" s="801"/>
      <c r="BD41" s="801"/>
      <c r="BE41" s="801"/>
      <c r="BF41" s="801"/>
      <c r="BG41" s="801"/>
      <c r="BH41" s="801"/>
      <c r="BI41" s="801"/>
      <c r="BJ41" s="801"/>
      <c r="BK41" s="801"/>
      <c r="BL41" s="801"/>
      <c r="BM41" s="801"/>
      <c r="BN41" s="801"/>
      <c r="BO41" s="801"/>
      <c r="BP41" s="801"/>
      <c r="BQ41" s="801"/>
      <c r="BR41" s="801"/>
      <c r="BS41" s="801"/>
      <c r="BT41" s="801"/>
      <c r="BU41" s="801"/>
      <c r="BV41" s="801"/>
      <c r="BW41" s="801"/>
      <c r="BX41" s="801"/>
      <c r="BY41" s="801"/>
      <c r="BZ41" s="801"/>
      <c r="CA41" s="801"/>
      <c r="CB41" s="801"/>
      <c r="CC41" s="801"/>
      <c r="CD41" s="801"/>
      <c r="CE41" s="801"/>
      <c r="CF41" s="801"/>
      <c r="CG41" s="801"/>
      <c r="CH41" s="801"/>
      <c r="CI41" s="801"/>
      <c r="CJ41" s="801"/>
      <c r="CK41" s="801"/>
      <c r="CL41" s="801"/>
      <c r="CM41" s="801"/>
      <c r="CN41" s="801"/>
      <c r="CO41" s="801"/>
      <c r="CP41" s="801"/>
      <c r="CQ41" s="801"/>
      <c r="CR41" s="801"/>
      <c r="CS41" s="801"/>
      <c r="CT41" s="801"/>
      <c r="CU41" s="801"/>
      <c r="CV41" s="801"/>
      <c r="CW41" s="801"/>
      <c r="CX41" s="801"/>
      <c r="CY41" s="801"/>
    </row>
    <row r="42" spans="1:103" ht="17">
      <c r="A42" s="796" t="s">
        <v>75</v>
      </c>
      <c r="B42" s="797">
        <f t="shared" si="0"/>
        <v>0</v>
      </c>
      <c r="C42" s="798">
        <v>1</v>
      </c>
      <c r="D42" s="799"/>
      <c r="E42" s="801"/>
      <c r="F42" s="801"/>
      <c r="G42" s="801"/>
      <c r="H42" s="801"/>
      <c r="I42" s="801"/>
      <c r="J42" s="801"/>
      <c r="K42" s="801"/>
      <c r="L42" s="801"/>
      <c r="M42" s="801"/>
      <c r="N42" s="801"/>
      <c r="O42" s="801"/>
      <c r="P42" s="801"/>
      <c r="Q42" s="801"/>
      <c r="R42" s="801"/>
      <c r="S42" s="801"/>
      <c r="T42" s="801"/>
      <c r="U42" s="801"/>
      <c r="V42" s="801"/>
      <c r="W42" s="801"/>
      <c r="X42" s="801"/>
      <c r="Y42" s="801"/>
      <c r="Z42" s="801"/>
      <c r="AA42" s="801"/>
      <c r="AB42" s="801"/>
      <c r="AC42" s="801"/>
      <c r="AD42" s="801"/>
      <c r="AE42" s="801"/>
      <c r="AF42" s="801"/>
      <c r="AG42" s="801"/>
      <c r="AH42" s="801"/>
      <c r="AI42" s="801"/>
      <c r="AJ42" s="801"/>
      <c r="AK42" s="801"/>
      <c r="AL42" s="801"/>
      <c r="AM42" s="801"/>
      <c r="AN42" s="801"/>
      <c r="AO42" s="801"/>
      <c r="AP42" s="801"/>
      <c r="AQ42" s="801"/>
      <c r="AR42" s="801"/>
      <c r="AS42" s="801"/>
      <c r="AT42" s="801"/>
      <c r="AU42" s="801"/>
      <c r="AV42" s="801"/>
      <c r="AW42" s="801"/>
      <c r="AX42" s="801"/>
      <c r="AY42" s="801"/>
      <c r="AZ42" s="801"/>
      <c r="BA42" s="801"/>
      <c r="BB42" s="801"/>
      <c r="BC42" s="801"/>
      <c r="BD42" s="801"/>
      <c r="BE42" s="801"/>
      <c r="BF42" s="801"/>
      <c r="BG42" s="801"/>
      <c r="BH42" s="801"/>
      <c r="BI42" s="801"/>
      <c r="BJ42" s="801"/>
      <c r="BK42" s="801"/>
      <c r="BL42" s="801"/>
      <c r="BM42" s="801"/>
      <c r="BN42" s="801"/>
      <c r="BO42" s="801"/>
      <c r="BP42" s="801"/>
      <c r="BQ42" s="801"/>
      <c r="BR42" s="801"/>
      <c r="BS42" s="801"/>
      <c r="BT42" s="801"/>
      <c r="BU42" s="801"/>
      <c r="BV42" s="801"/>
      <c r="BW42" s="801"/>
      <c r="BX42" s="801"/>
      <c r="BY42" s="801"/>
      <c r="BZ42" s="801"/>
      <c r="CA42" s="801"/>
      <c r="CB42" s="801"/>
      <c r="CC42" s="801"/>
      <c r="CD42" s="801"/>
      <c r="CE42" s="801"/>
      <c r="CF42" s="801"/>
      <c r="CG42" s="801"/>
      <c r="CH42" s="801"/>
      <c r="CI42" s="801"/>
      <c r="CJ42" s="801"/>
      <c r="CK42" s="801"/>
      <c r="CL42" s="801"/>
      <c r="CM42" s="801"/>
      <c r="CN42" s="801"/>
      <c r="CO42" s="801"/>
      <c r="CP42" s="801"/>
      <c r="CQ42" s="801"/>
      <c r="CR42" s="801"/>
      <c r="CS42" s="801"/>
      <c r="CT42" s="801"/>
      <c r="CU42" s="801"/>
      <c r="CV42" s="801"/>
      <c r="CW42" s="801"/>
      <c r="CX42" s="801"/>
      <c r="CY42" s="801"/>
    </row>
    <row r="43" spans="1:103" ht="17">
      <c r="A43" s="796" t="s">
        <v>77</v>
      </c>
      <c r="B43" s="797">
        <f t="shared" si="0"/>
        <v>0</v>
      </c>
      <c r="C43" s="798">
        <v>10</v>
      </c>
      <c r="D43" s="799"/>
      <c r="E43" s="801"/>
      <c r="F43" s="801"/>
      <c r="G43" s="801"/>
      <c r="H43" s="801"/>
      <c r="I43" s="801"/>
      <c r="J43" s="801"/>
      <c r="K43" s="801"/>
      <c r="L43" s="801"/>
      <c r="M43" s="801"/>
      <c r="N43" s="801"/>
      <c r="O43" s="801"/>
      <c r="P43" s="801"/>
      <c r="Q43" s="801"/>
      <c r="R43" s="801"/>
      <c r="S43" s="801"/>
      <c r="T43" s="801"/>
      <c r="U43" s="801"/>
      <c r="V43" s="801"/>
      <c r="W43" s="801"/>
      <c r="X43" s="801"/>
      <c r="Y43" s="801"/>
      <c r="Z43" s="801"/>
      <c r="AA43" s="801"/>
      <c r="AB43" s="801"/>
      <c r="AC43" s="801"/>
      <c r="AD43" s="801"/>
      <c r="AE43" s="801"/>
      <c r="AF43" s="801"/>
      <c r="AG43" s="801"/>
      <c r="AH43" s="801"/>
      <c r="AI43" s="801"/>
      <c r="AJ43" s="801"/>
      <c r="AK43" s="801"/>
      <c r="AL43" s="801"/>
      <c r="AM43" s="801"/>
      <c r="AN43" s="801"/>
      <c r="AO43" s="801"/>
      <c r="AP43" s="801"/>
      <c r="AQ43" s="801"/>
      <c r="AR43" s="801"/>
      <c r="AS43" s="801"/>
      <c r="AT43" s="801"/>
      <c r="AU43" s="801"/>
      <c r="AV43" s="801"/>
      <c r="AW43" s="801"/>
      <c r="AX43" s="801"/>
      <c r="AY43" s="801"/>
      <c r="AZ43" s="801"/>
      <c r="BA43" s="801"/>
      <c r="BB43" s="801"/>
      <c r="BC43" s="801"/>
      <c r="BD43" s="801"/>
      <c r="BE43" s="801"/>
      <c r="BF43" s="801"/>
      <c r="BG43" s="801"/>
      <c r="BH43" s="801"/>
      <c r="BI43" s="801"/>
      <c r="BJ43" s="801"/>
      <c r="BK43" s="801"/>
      <c r="BL43" s="801"/>
      <c r="BM43" s="801"/>
      <c r="BN43" s="801"/>
      <c r="BO43" s="801"/>
      <c r="BP43" s="801"/>
      <c r="BQ43" s="801"/>
      <c r="BR43" s="801"/>
      <c r="BS43" s="801"/>
      <c r="BT43" s="801"/>
      <c r="BU43" s="801"/>
      <c r="BV43" s="801"/>
      <c r="BW43" s="801"/>
      <c r="BX43" s="801"/>
      <c r="BY43" s="801"/>
      <c r="BZ43" s="801"/>
      <c r="CA43" s="801"/>
      <c r="CB43" s="801"/>
      <c r="CC43" s="801"/>
      <c r="CD43" s="801"/>
      <c r="CE43" s="801"/>
      <c r="CF43" s="801"/>
      <c r="CG43" s="801"/>
      <c r="CH43" s="801"/>
      <c r="CI43" s="801"/>
      <c r="CJ43" s="801"/>
      <c r="CK43" s="801"/>
      <c r="CL43" s="801"/>
      <c r="CM43" s="801"/>
      <c r="CN43" s="801"/>
      <c r="CO43" s="801"/>
      <c r="CP43" s="801"/>
      <c r="CQ43" s="801"/>
      <c r="CR43" s="801"/>
      <c r="CS43" s="801"/>
      <c r="CT43" s="801"/>
      <c r="CU43" s="801"/>
      <c r="CV43" s="801"/>
      <c r="CW43" s="801"/>
      <c r="CX43" s="801"/>
      <c r="CY43" s="801"/>
    </row>
    <row r="44" spans="1:103" ht="17">
      <c r="A44" s="796" t="s">
        <v>79</v>
      </c>
      <c r="B44" s="797">
        <f t="shared" si="0"/>
        <v>0</v>
      </c>
      <c r="C44" s="798">
        <v>10</v>
      </c>
      <c r="D44" s="799"/>
      <c r="E44" s="801"/>
      <c r="F44" s="801"/>
      <c r="G44" s="801"/>
      <c r="H44" s="801"/>
      <c r="I44" s="801"/>
      <c r="J44" s="801"/>
      <c r="K44" s="801"/>
      <c r="L44" s="801"/>
      <c r="M44" s="801"/>
      <c r="N44" s="801"/>
      <c r="O44" s="801"/>
      <c r="P44" s="801"/>
      <c r="Q44" s="801"/>
      <c r="R44" s="801"/>
      <c r="S44" s="801"/>
      <c r="T44" s="801"/>
      <c r="U44" s="801"/>
      <c r="V44" s="801"/>
      <c r="W44" s="801"/>
      <c r="X44" s="801"/>
      <c r="Y44" s="801"/>
      <c r="Z44" s="801"/>
      <c r="AA44" s="801"/>
      <c r="AB44" s="801"/>
      <c r="AC44" s="801"/>
      <c r="AD44" s="801"/>
      <c r="AE44" s="801"/>
      <c r="AF44" s="801"/>
      <c r="AG44" s="801"/>
      <c r="AH44" s="801"/>
      <c r="AI44" s="801"/>
      <c r="AJ44" s="801"/>
      <c r="AK44" s="801"/>
      <c r="AL44" s="801"/>
      <c r="AM44" s="801"/>
      <c r="AN44" s="801"/>
      <c r="AO44" s="801"/>
      <c r="AP44" s="801"/>
      <c r="AQ44" s="801"/>
      <c r="AR44" s="801"/>
      <c r="AS44" s="801"/>
      <c r="AT44" s="801"/>
      <c r="AU44" s="801"/>
      <c r="AV44" s="801"/>
      <c r="AW44" s="801"/>
      <c r="AX44" s="801"/>
      <c r="AY44" s="801"/>
      <c r="AZ44" s="801"/>
      <c r="BA44" s="801"/>
      <c r="BB44" s="801"/>
      <c r="BC44" s="801"/>
      <c r="BD44" s="801"/>
      <c r="BE44" s="801"/>
      <c r="BF44" s="801"/>
      <c r="BG44" s="801"/>
      <c r="BH44" s="801"/>
      <c r="BI44" s="801"/>
      <c r="BJ44" s="801"/>
      <c r="BK44" s="801"/>
      <c r="BL44" s="801"/>
      <c r="BM44" s="801"/>
      <c r="BN44" s="801"/>
      <c r="BO44" s="801"/>
      <c r="BP44" s="801"/>
      <c r="BQ44" s="801"/>
      <c r="BR44" s="801"/>
      <c r="BS44" s="801"/>
      <c r="BT44" s="801"/>
      <c r="BU44" s="801"/>
      <c r="BV44" s="801"/>
      <c r="BW44" s="801"/>
      <c r="BX44" s="801"/>
      <c r="BY44" s="801"/>
      <c r="BZ44" s="801"/>
      <c r="CA44" s="801"/>
      <c r="CB44" s="801"/>
      <c r="CC44" s="801"/>
      <c r="CD44" s="801"/>
      <c r="CE44" s="801"/>
      <c r="CF44" s="801"/>
      <c r="CG44" s="801"/>
      <c r="CH44" s="801"/>
      <c r="CI44" s="801"/>
      <c r="CJ44" s="801"/>
      <c r="CK44" s="801"/>
      <c r="CL44" s="801"/>
      <c r="CM44" s="801"/>
      <c r="CN44" s="801"/>
      <c r="CO44" s="801"/>
      <c r="CP44" s="801"/>
      <c r="CQ44" s="801"/>
      <c r="CR44" s="801"/>
      <c r="CS44" s="801"/>
      <c r="CT44" s="801"/>
      <c r="CU44" s="801"/>
      <c r="CV44" s="801"/>
      <c r="CW44" s="801"/>
      <c r="CX44" s="801"/>
      <c r="CY44" s="801"/>
    </row>
    <row r="45" spans="1:103" ht="17">
      <c r="A45" s="796" t="s">
        <v>82</v>
      </c>
      <c r="B45" s="797">
        <f t="shared" si="0"/>
        <v>0</v>
      </c>
      <c r="C45" s="798">
        <v>5</v>
      </c>
      <c r="D45" s="799"/>
      <c r="E45" s="801"/>
      <c r="F45" s="801"/>
      <c r="G45" s="801"/>
      <c r="H45" s="801"/>
      <c r="I45" s="801"/>
      <c r="J45" s="801"/>
      <c r="K45" s="801"/>
      <c r="L45" s="801"/>
      <c r="M45" s="801"/>
      <c r="N45" s="801"/>
      <c r="O45" s="801"/>
      <c r="P45" s="801"/>
      <c r="Q45" s="801"/>
      <c r="R45" s="801"/>
      <c r="S45" s="801"/>
      <c r="T45" s="801"/>
      <c r="U45" s="801"/>
      <c r="V45" s="801"/>
      <c r="W45" s="801"/>
      <c r="X45" s="801"/>
      <c r="Y45" s="801"/>
      <c r="Z45" s="801"/>
      <c r="AA45" s="801"/>
      <c r="AB45" s="801"/>
      <c r="AC45" s="801"/>
      <c r="AD45" s="801"/>
      <c r="AE45" s="801"/>
      <c r="AF45" s="801"/>
      <c r="AG45" s="801"/>
      <c r="AH45" s="801"/>
      <c r="AI45" s="801"/>
      <c r="AJ45" s="801"/>
      <c r="AK45" s="801"/>
      <c r="AL45" s="801"/>
      <c r="AM45" s="801"/>
      <c r="AN45" s="801"/>
      <c r="AO45" s="801"/>
      <c r="AP45" s="801"/>
      <c r="AQ45" s="801"/>
      <c r="AR45" s="801"/>
      <c r="AS45" s="801"/>
      <c r="AT45" s="801"/>
      <c r="AU45" s="801"/>
      <c r="AV45" s="801"/>
      <c r="AW45" s="801"/>
      <c r="AX45" s="801"/>
      <c r="AY45" s="801"/>
      <c r="AZ45" s="801"/>
      <c r="BA45" s="801"/>
      <c r="BB45" s="801"/>
      <c r="BC45" s="801"/>
      <c r="BD45" s="801"/>
      <c r="BE45" s="801"/>
      <c r="BF45" s="801"/>
      <c r="BG45" s="801"/>
      <c r="BH45" s="801"/>
      <c r="BI45" s="801"/>
      <c r="BJ45" s="801"/>
      <c r="BK45" s="801"/>
      <c r="BL45" s="801"/>
      <c r="BM45" s="801"/>
      <c r="BN45" s="801"/>
      <c r="BO45" s="801"/>
      <c r="BP45" s="801"/>
      <c r="BQ45" s="801"/>
      <c r="BR45" s="801"/>
      <c r="BS45" s="801"/>
      <c r="BT45" s="801"/>
      <c r="BU45" s="801"/>
      <c r="BV45" s="801"/>
      <c r="BW45" s="801"/>
      <c r="BX45" s="801"/>
      <c r="BY45" s="801"/>
      <c r="BZ45" s="801"/>
      <c r="CA45" s="801"/>
      <c r="CB45" s="801"/>
      <c r="CC45" s="801"/>
      <c r="CD45" s="801"/>
      <c r="CE45" s="801"/>
      <c r="CF45" s="801"/>
      <c r="CG45" s="801"/>
      <c r="CH45" s="801"/>
      <c r="CI45" s="801"/>
      <c r="CJ45" s="801"/>
      <c r="CK45" s="801"/>
      <c r="CL45" s="801"/>
      <c r="CM45" s="801"/>
      <c r="CN45" s="801"/>
      <c r="CO45" s="801"/>
      <c r="CP45" s="801"/>
      <c r="CQ45" s="801"/>
      <c r="CR45" s="801"/>
      <c r="CS45" s="801"/>
      <c r="CT45" s="801"/>
      <c r="CU45" s="801"/>
      <c r="CV45" s="801"/>
      <c r="CW45" s="801"/>
      <c r="CX45" s="801"/>
      <c r="CY45" s="801"/>
    </row>
    <row r="46" spans="1:103" ht="17">
      <c r="A46" s="796" t="s">
        <v>87</v>
      </c>
      <c r="B46" s="797">
        <f t="shared" si="0"/>
        <v>0</v>
      </c>
      <c r="C46" s="798">
        <v>1</v>
      </c>
      <c r="D46" s="799"/>
      <c r="E46" s="801"/>
      <c r="F46" s="801"/>
      <c r="G46" s="801"/>
      <c r="H46" s="801"/>
      <c r="I46" s="801"/>
      <c r="J46" s="801"/>
      <c r="K46" s="801"/>
      <c r="L46" s="801"/>
      <c r="M46" s="801"/>
      <c r="N46" s="801"/>
      <c r="O46" s="801"/>
      <c r="P46" s="801"/>
      <c r="Q46" s="801"/>
      <c r="R46" s="801"/>
      <c r="S46" s="801"/>
      <c r="T46" s="801"/>
      <c r="U46" s="801"/>
      <c r="V46" s="801"/>
      <c r="W46" s="801"/>
      <c r="X46" s="801"/>
      <c r="Y46" s="801"/>
      <c r="Z46" s="801"/>
      <c r="AA46" s="801"/>
      <c r="AB46" s="801"/>
      <c r="AC46" s="801"/>
      <c r="AD46" s="801"/>
      <c r="AE46" s="801"/>
      <c r="AF46" s="801"/>
      <c r="AG46" s="801"/>
      <c r="AH46" s="801"/>
      <c r="AI46" s="801"/>
      <c r="AJ46" s="801"/>
      <c r="AK46" s="801"/>
      <c r="AL46" s="801"/>
      <c r="AM46" s="801"/>
      <c r="AN46" s="801"/>
      <c r="AO46" s="801"/>
      <c r="AP46" s="801"/>
      <c r="AQ46" s="801"/>
      <c r="AR46" s="801"/>
      <c r="AS46" s="801"/>
      <c r="AT46" s="801"/>
      <c r="AU46" s="801"/>
      <c r="AV46" s="801"/>
      <c r="AW46" s="801"/>
      <c r="AX46" s="801"/>
      <c r="AY46" s="801"/>
      <c r="AZ46" s="801"/>
      <c r="BA46" s="801"/>
      <c r="BB46" s="801"/>
      <c r="BC46" s="801"/>
      <c r="BD46" s="801"/>
      <c r="BE46" s="801"/>
      <c r="BF46" s="801"/>
      <c r="BG46" s="801"/>
      <c r="BH46" s="801"/>
      <c r="BI46" s="801"/>
      <c r="BJ46" s="801"/>
      <c r="BK46" s="801"/>
      <c r="BL46" s="801"/>
      <c r="BM46" s="801"/>
      <c r="BN46" s="801"/>
      <c r="BO46" s="801"/>
      <c r="BP46" s="801"/>
      <c r="BQ46" s="801"/>
      <c r="BR46" s="801"/>
      <c r="BS46" s="801"/>
      <c r="BT46" s="801"/>
      <c r="BU46" s="801"/>
      <c r="BV46" s="801"/>
      <c r="BW46" s="801"/>
      <c r="BX46" s="801"/>
      <c r="BY46" s="801"/>
      <c r="BZ46" s="801"/>
      <c r="CA46" s="801"/>
      <c r="CB46" s="801"/>
      <c r="CC46" s="801"/>
      <c r="CD46" s="801"/>
      <c r="CE46" s="801"/>
      <c r="CF46" s="801"/>
      <c r="CG46" s="801"/>
      <c r="CH46" s="801"/>
      <c r="CI46" s="801"/>
      <c r="CJ46" s="801"/>
      <c r="CK46" s="801"/>
      <c r="CL46" s="801"/>
      <c r="CM46" s="801"/>
      <c r="CN46" s="801"/>
      <c r="CO46" s="801"/>
      <c r="CP46" s="801"/>
      <c r="CQ46" s="801"/>
      <c r="CR46" s="801"/>
      <c r="CS46" s="801"/>
      <c r="CT46" s="801"/>
      <c r="CU46" s="801"/>
      <c r="CV46" s="801"/>
      <c r="CW46" s="801"/>
      <c r="CX46" s="801"/>
      <c r="CY46" s="801"/>
    </row>
    <row r="47" spans="1:103" ht="17">
      <c r="A47" s="796" t="s">
        <v>95</v>
      </c>
      <c r="B47" s="797">
        <f t="shared" si="0"/>
        <v>0</v>
      </c>
      <c r="C47" s="798">
        <v>10</v>
      </c>
      <c r="D47" s="799"/>
      <c r="E47" s="801"/>
      <c r="F47" s="801"/>
      <c r="G47" s="801"/>
      <c r="H47" s="801"/>
      <c r="I47" s="801"/>
      <c r="J47" s="801"/>
      <c r="K47" s="801"/>
      <c r="L47" s="801"/>
      <c r="M47" s="801"/>
      <c r="N47" s="801"/>
      <c r="O47" s="801"/>
      <c r="P47" s="801"/>
      <c r="Q47" s="801"/>
      <c r="R47" s="801"/>
      <c r="S47" s="801"/>
      <c r="T47" s="801"/>
      <c r="U47" s="801"/>
      <c r="V47" s="801"/>
      <c r="W47" s="801"/>
      <c r="X47" s="801"/>
      <c r="Y47" s="801"/>
      <c r="Z47" s="801"/>
      <c r="AA47" s="801"/>
      <c r="AB47" s="801"/>
      <c r="AC47" s="801"/>
      <c r="AD47" s="801"/>
      <c r="AE47" s="801"/>
      <c r="AF47" s="801"/>
      <c r="AG47" s="801"/>
      <c r="AH47" s="801"/>
      <c r="AI47" s="801"/>
      <c r="AJ47" s="801"/>
      <c r="AK47" s="801"/>
      <c r="AL47" s="801"/>
      <c r="AM47" s="801"/>
      <c r="AN47" s="801"/>
      <c r="AO47" s="801"/>
      <c r="AP47" s="801"/>
      <c r="AQ47" s="801"/>
      <c r="AR47" s="801"/>
      <c r="AS47" s="801"/>
      <c r="AT47" s="801"/>
      <c r="AU47" s="801"/>
      <c r="AV47" s="801"/>
      <c r="AW47" s="801"/>
      <c r="AX47" s="801"/>
      <c r="AY47" s="801"/>
      <c r="AZ47" s="801"/>
      <c r="BA47" s="801"/>
      <c r="BB47" s="801"/>
      <c r="BC47" s="801"/>
      <c r="BD47" s="801"/>
      <c r="BE47" s="801"/>
      <c r="BF47" s="801"/>
      <c r="BG47" s="801"/>
      <c r="BH47" s="801"/>
      <c r="BI47" s="801"/>
      <c r="BJ47" s="801"/>
      <c r="BK47" s="801"/>
      <c r="BL47" s="801"/>
      <c r="BM47" s="801"/>
      <c r="BN47" s="801"/>
      <c r="BO47" s="801"/>
      <c r="BP47" s="801"/>
      <c r="BQ47" s="801"/>
      <c r="BR47" s="801"/>
      <c r="BS47" s="801"/>
      <c r="BT47" s="801"/>
      <c r="BU47" s="801"/>
      <c r="BV47" s="801"/>
      <c r="BW47" s="801"/>
      <c r="BX47" s="801"/>
      <c r="BY47" s="801"/>
      <c r="BZ47" s="801"/>
      <c r="CA47" s="801"/>
      <c r="CB47" s="801"/>
      <c r="CC47" s="801"/>
      <c r="CD47" s="801"/>
      <c r="CE47" s="801"/>
      <c r="CF47" s="801"/>
      <c r="CG47" s="801"/>
      <c r="CH47" s="801"/>
      <c r="CI47" s="801"/>
      <c r="CJ47" s="801"/>
      <c r="CK47" s="801"/>
      <c r="CL47" s="801"/>
      <c r="CM47" s="801"/>
      <c r="CN47" s="801"/>
      <c r="CO47" s="801"/>
      <c r="CP47" s="801"/>
      <c r="CQ47" s="801"/>
      <c r="CR47" s="801"/>
      <c r="CS47" s="801"/>
      <c r="CT47" s="801"/>
      <c r="CU47" s="801"/>
      <c r="CV47" s="801"/>
      <c r="CW47" s="801"/>
      <c r="CX47" s="801"/>
      <c r="CY47" s="801"/>
    </row>
    <row r="48" spans="1:103" ht="17">
      <c r="A48" s="796" t="s">
        <v>97</v>
      </c>
      <c r="B48" s="797">
        <f t="shared" si="0"/>
        <v>0</v>
      </c>
      <c r="C48" s="798">
        <v>1</v>
      </c>
      <c r="D48" s="799"/>
      <c r="E48" s="801"/>
      <c r="F48" s="801"/>
      <c r="G48" s="801"/>
      <c r="H48" s="801"/>
      <c r="I48" s="801"/>
      <c r="J48" s="801"/>
      <c r="K48" s="801"/>
      <c r="L48" s="801"/>
      <c r="M48" s="801"/>
      <c r="N48" s="801"/>
      <c r="O48" s="801"/>
      <c r="P48" s="801"/>
      <c r="Q48" s="801"/>
      <c r="R48" s="801"/>
      <c r="S48" s="801"/>
      <c r="T48" s="801"/>
      <c r="U48" s="801"/>
      <c r="V48" s="801"/>
      <c r="W48" s="801"/>
      <c r="X48" s="801"/>
      <c r="Y48" s="801"/>
      <c r="Z48" s="801"/>
      <c r="AA48" s="801"/>
      <c r="AB48" s="801"/>
      <c r="AC48" s="801"/>
      <c r="AD48" s="801"/>
      <c r="AE48" s="801"/>
      <c r="AF48" s="801"/>
      <c r="AG48" s="801"/>
      <c r="AH48" s="801"/>
      <c r="AI48" s="801"/>
      <c r="AJ48" s="801"/>
      <c r="AK48" s="801"/>
      <c r="AL48" s="801"/>
      <c r="AM48" s="801"/>
      <c r="AN48" s="801"/>
      <c r="AO48" s="801"/>
      <c r="AP48" s="801"/>
      <c r="AQ48" s="801"/>
      <c r="AR48" s="801"/>
      <c r="AS48" s="801"/>
      <c r="AT48" s="801"/>
      <c r="AU48" s="801"/>
      <c r="AV48" s="801"/>
      <c r="AW48" s="801"/>
      <c r="AX48" s="801"/>
      <c r="AY48" s="801"/>
      <c r="AZ48" s="801"/>
      <c r="BA48" s="801"/>
      <c r="BB48" s="801"/>
      <c r="BC48" s="801"/>
      <c r="BD48" s="801"/>
      <c r="BE48" s="801"/>
      <c r="BF48" s="801"/>
      <c r="BG48" s="801"/>
      <c r="BH48" s="801"/>
      <c r="BI48" s="801"/>
      <c r="BJ48" s="801"/>
      <c r="BK48" s="801"/>
      <c r="BL48" s="801"/>
      <c r="BM48" s="801"/>
      <c r="BN48" s="801"/>
      <c r="BO48" s="801"/>
      <c r="BP48" s="801"/>
      <c r="BQ48" s="801"/>
      <c r="BR48" s="801"/>
      <c r="BS48" s="801"/>
      <c r="BT48" s="801"/>
      <c r="BU48" s="801"/>
      <c r="BV48" s="801"/>
      <c r="BW48" s="801"/>
      <c r="BX48" s="801"/>
      <c r="BY48" s="801"/>
      <c r="BZ48" s="801"/>
      <c r="CA48" s="801"/>
      <c r="CB48" s="801"/>
      <c r="CC48" s="801"/>
      <c r="CD48" s="801"/>
      <c r="CE48" s="801"/>
      <c r="CF48" s="801"/>
      <c r="CG48" s="801"/>
      <c r="CH48" s="801"/>
      <c r="CI48" s="801"/>
      <c r="CJ48" s="801"/>
      <c r="CK48" s="801"/>
      <c r="CL48" s="801"/>
      <c r="CM48" s="801"/>
      <c r="CN48" s="801"/>
      <c r="CO48" s="801"/>
      <c r="CP48" s="801"/>
      <c r="CQ48" s="801"/>
      <c r="CR48" s="801"/>
      <c r="CS48" s="801"/>
      <c r="CT48" s="801"/>
      <c r="CU48" s="801"/>
      <c r="CV48" s="801"/>
      <c r="CW48" s="801"/>
      <c r="CX48" s="801"/>
      <c r="CY48" s="801"/>
    </row>
    <row r="49" spans="1:103" ht="17">
      <c r="A49" s="796" t="s">
        <v>104</v>
      </c>
      <c r="B49" s="797">
        <f t="shared" si="0"/>
        <v>0</v>
      </c>
      <c r="C49" s="798">
        <v>1</v>
      </c>
      <c r="D49" s="799"/>
      <c r="E49" s="801"/>
      <c r="F49" s="801"/>
      <c r="G49" s="801"/>
      <c r="H49" s="801"/>
      <c r="I49" s="801"/>
      <c r="J49" s="801"/>
      <c r="K49" s="801"/>
      <c r="L49" s="801"/>
      <c r="M49" s="801"/>
      <c r="N49" s="801"/>
      <c r="O49" s="801"/>
      <c r="P49" s="801"/>
      <c r="Q49" s="801"/>
      <c r="R49" s="801"/>
      <c r="S49" s="801"/>
      <c r="T49" s="801"/>
      <c r="U49" s="801"/>
      <c r="V49" s="801"/>
      <c r="W49" s="801"/>
      <c r="X49" s="801"/>
      <c r="Y49" s="801"/>
      <c r="Z49" s="801"/>
      <c r="AA49" s="801"/>
      <c r="AB49" s="801"/>
      <c r="AC49" s="801"/>
      <c r="AD49" s="801"/>
      <c r="AE49" s="801"/>
      <c r="AF49" s="801"/>
      <c r="AG49" s="801"/>
      <c r="AH49" s="801"/>
      <c r="AI49" s="801"/>
      <c r="AJ49" s="801"/>
      <c r="AK49" s="801"/>
      <c r="AL49" s="801"/>
      <c r="AM49" s="801"/>
      <c r="AN49" s="801"/>
      <c r="AO49" s="801"/>
      <c r="AP49" s="801"/>
      <c r="AQ49" s="801"/>
      <c r="AR49" s="801"/>
      <c r="AS49" s="801"/>
      <c r="AT49" s="801"/>
      <c r="AU49" s="801"/>
      <c r="AV49" s="801"/>
      <c r="AW49" s="801"/>
      <c r="AX49" s="801"/>
      <c r="AY49" s="801"/>
      <c r="AZ49" s="801"/>
      <c r="BA49" s="801"/>
      <c r="BB49" s="801"/>
      <c r="BC49" s="801"/>
      <c r="BD49" s="801"/>
      <c r="BE49" s="801"/>
      <c r="BF49" s="801"/>
      <c r="BG49" s="801"/>
      <c r="BH49" s="801"/>
      <c r="BI49" s="801"/>
      <c r="BJ49" s="801"/>
      <c r="BK49" s="801"/>
      <c r="BL49" s="801"/>
      <c r="BM49" s="801"/>
      <c r="BN49" s="801"/>
      <c r="BO49" s="801"/>
      <c r="BP49" s="801"/>
      <c r="BQ49" s="801"/>
      <c r="BR49" s="801"/>
      <c r="BS49" s="801"/>
      <c r="BT49" s="801"/>
      <c r="BU49" s="801"/>
      <c r="BV49" s="801"/>
      <c r="BW49" s="801"/>
      <c r="BX49" s="801"/>
      <c r="BY49" s="801"/>
      <c r="BZ49" s="801"/>
      <c r="CA49" s="801"/>
      <c r="CB49" s="801"/>
      <c r="CC49" s="801"/>
      <c r="CD49" s="801"/>
      <c r="CE49" s="801"/>
      <c r="CF49" s="801"/>
      <c r="CG49" s="801"/>
      <c r="CH49" s="801"/>
      <c r="CI49" s="801"/>
      <c r="CJ49" s="801"/>
      <c r="CK49" s="801"/>
      <c r="CL49" s="801"/>
      <c r="CM49" s="801"/>
      <c r="CN49" s="801"/>
      <c r="CO49" s="801"/>
      <c r="CP49" s="801"/>
      <c r="CQ49" s="801"/>
      <c r="CR49" s="801"/>
      <c r="CS49" s="801"/>
      <c r="CT49" s="801"/>
      <c r="CU49" s="801"/>
      <c r="CV49" s="801"/>
      <c r="CW49" s="801"/>
      <c r="CX49" s="801"/>
      <c r="CY49" s="801"/>
    </row>
    <row r="50" spans="1:103" ht="17">
      <c r="A50" s="796" t="s">
        <v>106</v>
      </c>
      <c r="B50" s="797">
        <f t="shared" si="0"/>
        <v>0</v>
      </c>
      <c r="C50" s="798">
        <v>10</v>
      </c>
      <c r="D50" s="799"/>
      <c r="E50" s="801"/>
      <c r="F50" s="801"/>
      <c r="G50" s="801"/>
      <c r="H50" s="801"/>
      <c r="I50" s="801"/>
      <c r="J50" s="801"/>
      <c r="K50" s="801"/>
      <c r="L50" s="801"/>
      <c r="M50" s="801"/>
      <c r="N50" s="801"/>
      <c r="O50" s="801"/>
      <c r="P50" s="801"/>
      <c r="Q50" s="801"/>
      <c r="R50" s="801"/>
      <c r="S50" s="801"/>
      <c r="T50" s="801"/>
      <c r="U50" s="801"/>
      <c r="V50" s="801"/>
      <c r="W50" s="801"/>
      <c r="X50" s="801"/>
      <c r="Y50" s="801"/>
      <c r="Z50" s="801"/>
      <c r="AA50" s="801"/>
      <c r="AB50" s="801"/>
      <c r="AC50" s="801"/>
      <c r="AD50" s="801"/>
      <c r="AE50" s="801"/>
      <c r="AF50" s="801"/>
      <c r="AG50" s="801"/>
      <c r="AH50" s="801"/>
      <c r="AI50" s="801"/>
      <c r="AJ50" s="801"/>
      <c r="AK50" s="801"/>
      <c r="AL50" s="801"/>
      <c r="AM50" s="801"/>
      <c r="AN50" s="801"/>
      <c r="AO50" s="801"/>
      <c r="AP50" s="801"/>
      <c r="AQ50" s="801"/>
      <c r="AR50" s="801"/>
      <c r="AS50" s="801"/>
      <c r="AT50" s="801"/>
      <c r="AU50" s="801"/>
      <c r="AV50" s="801"/>
      <c r="AW50" s="801"/>
      <c r="AX50" s="801"/>
      <c r="AY50" s="801"/>
      <c r="AZ50" s="801"/>
      <c r="BA50" s="801"/>
      <c r="BB50" s="801"/>
      <c r="BC50" s="801"/>
      <c r="BD50" s="801"/>
      <c r="BE50" s="801"/>
      <c r="BF50" s="801"/>
      <c r="BG50" s="801"/>
      <c r="BH50" s="801"/>
      <c r="BI50" s="801"/>
      <c r="BJ50" s="801"/>
      <c r="BK50" s="801"/>
      <c r="BL50" s="801"/>
      <c r="BM50" s="801"/>
      <c r="BN50" s="801"/>
      <c r="BO50" s="801"/>
      <c r="BP50" s="801"/>
      <c r="BQ50" s="801"/>
      <c r="BR50" s="801"/>
      <c r="BS50" s="801"/>
      <c r="BT50" s="801"/>
      <c r="BU50" s="801"/>
      <c r="BV50" s="801"/>
      <c r="BW50" s="801"/>
      <c r="BX50" s="801"/>
      <c r="BY50" s="801"/>
      <c r="BZ50" s="801"/>
      <c r="CA50" s="801"/>
      <c r="CB50" s="801"/>
      <c r="CC50" s="801"/>
      <c r="CD50" s="801"/>
      <c r="CE50" s="801"/>
      <c r="CF50" s="801"/>
      <c r="CG50" s="801"/>
      <c r="CH50" s="801"/>
      <c r="CI50" s="801"/>
      <c r="CJ50" s="801"/>
      <c r="CK50" s="801"/>
      <c r="CL50" s="801"/>
      <c r="CM50" s="801"/>
      <c r="CN50" s="801"/>
      <c r="CO50" s="801"/>
      <c r="CP50" s="801"/>
      <c r="CQ50" s="801"/>
      <c r="CR50" s="801"/>
      <c r="CS50" s="801"/>
      <c r="CT50" s="801"/>
      <c r="CU50" s="801"/>
      <c r="CV50" s="801"/>
      <c r="CW50" s="801"/>
      <c r="CX50" s="801"/>
      <c r="CY50" s="801"/>
    </row>
    <row r="51" spans="1:103" ht="17">
      <c r="A51" s="796" t="s">
        <v>110</v>
      </c>
      <c r="B51" s="797">
        <f t="shared" si="0"/>
        <v>0</v>
      </c>
      <c r="C51" s="798">
        <v>5</v>
      </c>
      <c r="D51" s="799"/>
      <c r="E51" s="801"/>
      <c r="F51" s="801"/>
      <c r="G51" s="801"/>
      <c r="H51" s="801"/>
      <c r="I51" s="801"/>
      <c r="J51" s="801"/>
      <c r="K51" s="801"/>
      <c r="L51" s="801"/>
      <c r="M51" s="801"/>
      <c r="N51" s="801"/>
      <c r="O51" s="801"/>
      <c r="P51" s="801"/>
      <c r="Q51" s="801"/>
      <c r="R51" s="801"/>
      <c r="S51" s="801"/>
      <c r="T51" s="801"/>
      <c r="U51" s="801"/>
      <c r="V51" s="801"/>
      <c r="W51" s="801"/>
      <c r="X51" s="801"/>
      <c r="Y51" s="801"/>
      <c r="Z51" s="801"/>
      <c r="AA51" s="801"/>
      <c r="AB51" s="801"/>
      <c r="AC51" s="801"/>
      <c r="AD51" s="801"/>
      <c r="AE51" s="801"/>
      <c r="AF51" s="801"/>
      <c r="AG51" s="801"/>
      <c r="AH51" s="801"/>
      <c r="AI51" s="801"/>
      <c r="AJ51" s="801"/>
      <c r="AK51" s="801"/>
      <c r="AL51" s="801"/>
      <c r="AM51" s="801"/>
      <c r="AN51" s="801"/>
      <c r="AO51" s="801"/>
      <c r="AP51" s="801"/>
      <c r="AQ51" s="801"/>
      <c r="AR51" s="801"/>
      <c r="AS51" s="801"/>
      <c r="AT51" s="801"/>
      <c r="AU51" s="801"/>
      <c r="AV51" s="801"/>
      <c r="AW51" s="801"/>
      <c r="AX51" s="801"/>
      <c r="AY51" s="801"/>
      <c r="AZ51" s="801"/>
      <c r="BA51" s="801"/>
      <c r="BB51" s="801"/>
      <c r="BC51" s="801"/>
      <c r="BD51" s="801"/>
      <c r="BE51" s="801"/>
      <c r="BF51" s="801"/>
      <c r="BG51" s="801"/>
      <c r="BH51" s="801"/>
      <c r="BI51" s="801"/>
      <c r="BJ51" s="801"/>
      <c r="BK51" s="801"/>
      <c r="BL51" s="801"/>
      <c r="BM51" s="801"/>
      <c r="BN51" s="801"/>
      <c r="BO51" s="801"/>
      <c r="BP51" s="801"/>
      <c r="BQ51" s="801"/>
      <c r="BR51" s="801"/>
      <c r="BS51" s="801"/>
      <c r="BT51" s="801"/>
      <c r="BU51" s="801"/>
      <c r="BV51" s="801"/>
      <c r="BW51" s="801"/>
      <c r="BX51" s="801"/>
      <c r="BY51" s="801"/>
      <c r="BZ51" s="801"/>
      <c r="CA51" s="801"/>
      <c r="CB51" s="801"/>
      <c r="CC51" s="801"/>
      <c r="CD51" s="801"/>
      <c r="CE51" s="801"/>
      <c r="CF51" s="801"/>
      <c r="CG51" s="801"/>
      <c r="CH51" s="801"/>
      <c r="CI51" s="801"/>
      <c r="CJ51" s="801"/>
      <c r="CK51" s="801"/>
      <c r="CL51" s="801"/>
      <c r="CM51" s="801"/>
      <c r="CN51" s="801"/>
      <c r="CO51" s="801"/>
      <c r="CP51" s="801"/>
      <c r="CQ51" s="801"/>
      <c r="CR51" s="801"/>
      <c r="CS51" s="801"/>
      <c r="CT51" s="801"/>
      <c r="CU51" s="801"/>
      <c r="CV51" s="801"/>
      <c r="CW51" s="801"/>
      <c r="CX51" s="801"/>
      <c r="CY51" s="801"/>
    </row>
    <row r="52" spans="1:103" ht="17">
      <c r="A52" s="796" t="s">
        <v>112</v>
      </c>
      <c r="B52" s="797">
        <f t="shared" si="0"/>
        <v>0</v>
      </c>
      <c r="C52" s="798">
        <v>1</v>
      </c>
      <c r="D52" s="799"/>
      <c r="E52" s="801"/>
      <c r="F52" s="801"/>
      <c r="G52" s="801"/>
      <c r="H52" s="801"/>
      <c r="I52" s="801"/>
      <c r="J52" s="801"/>
      <c r="K52" s="801"/>
      <c r="L52" s="801"/>
      <c r="M52" s="801"/>
      <c r="N52" s="801"/>
      <c r="O52" s="801"/>
      <c r="P52" s="801"/>
      <c r="Q52" s="801"/>
      <c r="R52" s="801"/>
      <c r="S52" s="801"/>
      <c r="T52" s="801"/>
      <c r="U52" s="801"/>
      <c r="V52" s="801"/>
      <c r="W52" s="801"/>
      <c r="X52" s="801"/>
      <c r="Y52" s="801"/>
      <c r="Z52" s="801"/>
      <c r="AA52" s="801"/>
      <c r="AB52" s="801"/>
      <c r="AC52" s="801"/>
      <c r="AD52" s="801"/>
      <c r="AE52" s="801"/>
      <c r="AF52" s="801"/>
      <c r="AG52" s="801"/>
      <c r="AH52" s="801"/>
      <c r="AI52" s="801"/>
      <c r="AJ52" s="801"/>
      <c r="AK52" s="801"/>
      <c r="AL52" s="801"/>
      <c r="AM52" s="801"/>
      <c r="AN52" s="801"/>
      <c r="AO52" s="801"/>
      <c r="AP52" s="801"/>
      <c r="AQ52" s="801"/>
      <c r="AR52" s="801"/>
      <c r="AS52" s="801"/>
      <c r="AT52" s="801"/>
      <c r="AU52" s="801"/>
      <c r="AV52" s="801"/>
      <c r="AW52" s="801"/>
      <c r="AX52" s="801"/>
      <c r="AY52" s="801"/>
      <c r="AZ52" s="801"/>
      <c r="BA52" s="801"/>
      <c r="BB52" s="801"/>
      <c r="BC52" s="801"/>
      <c r="BD52" s="801"/>
      <c r="BE52" s="801"/>
      <c r="BF52" s="801"/>
      <c r="BG52" s="801"/>
      <c r="BH52" s="801"/>
      <c r="BI52" s="801"/>
      <c r="BJ52" s="801"/>
      <c r="BK52" s="801"/>
      <c r="BL52" s="801"/>
      <c r="BM52" s="801"/>
      <c r="BN52" s="801"/>
      <c r="BO52" s="801"/>
      <c r="BP52" s="801"/>
      <c r="BQ52" s="801"/>
      <c r="BR52" s="801"/>
      <c r="BS52" s="801"/>
      <c r="BT52" s="801"/>
      <c r="BU52" s="801"/>
      <c r="BV52" s="801"/>
      <c r="BW52" s="801"/>
      <c r="BX52" s="801"/>
      <c r="BY52" s="801"/>
      <c r="BZ52" s="801"/>
      <c r="CA52" s="801"/>
      <c r="CB52" s="801"/>
      <c r="CC52" s="801"/>
      <c r="CD52" s="801"/>
      <c r="CE52" s="801"/>
      <c r="CF52" s="801"/>
      <c r="CG52" s="801"/>
      <c r="CH52" s="801"/>
      <c r="CI52" s="801"/>
      <c r="CJ52" s="801"/>
      <c r="CK52" s="801"/>
      <c r="CL52" s="801"/>
      <c r="CM52" s="801"/>
      <c r="CN52" s="801"/>
      <c r="CO52" s="801"/>
      <c r="CP52" s="801"/>
      <c r="CQ52" s="801"/>
      <c r="CR52" s="801"/>
      <c r="CS52" s="801"/>
      <c r="CT52" s="801"/>
      <c r="CU52" s="801"/>
      <c r="CV52" s="801"/>
      <c r="CW52" s="801"/>
      <c r="CX52" s="801"/>
      <c r="CY52" s="801"/>
    </row>
    <row r="53" spans="1:103" ht="17">
      <c r="A53" s="796" t="s">
        <v>115</v>
      </c>
      <c r="B53" s="797">
        <f t="shared" si="0"/>
        <v>0</v>
      </c>
      <c r="C53" s="798">
        <v>1</v>
      </c>
      <c r="D53" s="799"/>
      <c r="E53" s="801"/>
      <c r="F53" s="801"/>
      <c r="G53" s="801"/>
      <c r="H53" s="801"/>
      <c r="I53" s="801"/>
      <c r="J53" s="801"/>
      <c r="K53" s="801"/>
      <c r="L53" s="801"/>
      <c r="M53" s="801"/>
      <c r="N53" s="801"/>
      <c r="O53" s="801"/>
      <c r="P53" s="801"/>
      <c r="Q53" s="801"/>
      <c r="R53" s="801"/>
      <c r="S53" s="801"/>
      <c r="T53" s="801"/>
      <c r="U53" s="801"/>
      <c r="V53" s="801"/>
      <c r="W53" s="801"/>
      <c r="X53" s="801"/>
      <c r="Y53" s="801"/>
      <c r="Z53" s="801"/>
      <c r="AA53" s="801"/>
      <c r="AB53" s="801"/>
      <c r="AC53" s="801"/>
      <c r="AD53" s="801"/>
      <c r="AE53" s="801"/>
      <c r="AF53" s="801"/>
      <c r="AG53" s="801"/>
      <c r="AH53" s="801"/>
      <c r="AI53" s="801"/>
      <c r="AJ53" s="801"/>
      <c r="AK53" s="801"/>
      <c r="AL53" s="801"/>
      <c r="AM53" s="801"/>
      <c r="AN53" s="801"/>
      <c r="AO53" s="801"/>
      <c r="AP53" s="801"/>
      <c r="AQ53" s="801"/>
      <c r="AR53" s="801"/>
      <c r="AS53" s="801"/>
      <c r="AT53" s="801"/>
      <c r="AU53" s="801"/>
      <c r="AV53" s="801"/>
      <c r="AW53" s="801"/>
      <c r="AX53" s="801"/>
      <c r="AY53" s="801"/>
      <c r="AZ53" s="801"/>
      <c r="BA53" s="801"/>
      <c r="BB53" s="801"/>
      <c r="BC53" s="801"/>
      <c r="BD53" s="801"/>
      <c r="BE53" s="801"/>
      <c r="BF53" s="801"/>
      <c r="BG53" s="801"/>
      <c r="BH53" s="801"/>
      <c r="BI53" s="801"/>
      <c r="BJ53" s="801"/>
      <c r="BK53" s="801"/>
      <c r="BL53" s="801"/>
      <c r="BM53" s="801"/>
      <c r="BN53" s="801"/>
      <c r="BO53" s="801"/>
      <c r="BP53" s="801"/>
      <c r="BQ53" s="801"/>
      <c r="BR53" s="801"/>
      <c r="BS53" s="801"/>
      <c r="BT53" s="801"/>
      <c r="BU53" s="801"/>
      <c r="BV53" s="801"/>
      <c r="BW53" s="801"/>
      <c r="BX53" s="801"/>
      <c r="BY53" s="801"/>
      <c r="BZ53" s="801"/>
      <c r="CA53" s="801"/>
      <c r="CB53" s="801"/>
      <c r="CC53" s="801"/>
      <c r="CD53" s="801"/>
      <c r="CE53" s="801"/>
      <c r="CF53" s="801"/>
      <c r="CG53" s="801"/>
      <c r="CH53" s="801"/>
      <c r="CI53" s="801"/>
      <c r="CJ53" s="801"/>
      <c r="CK53" s="801"/>
      <c r="CL53" s="801"/>
      <c r="CM53" s="801"/>
      <c r="CN53" s="801"/>
      <c r="CO53" s="801"/>
      <c r="CP53" s="801"/>
      <c r="CQ53" s="801"/>
      <c r="CR53" s="801"/>
      <c r="CS53" s="801"/>
      <c r="CT53" s="801"/>
      <c r="CU53" s="801"/>
      <c r="CV53" s="801"/>
      <c r="CW53" s="801"/>
      <c r="CX53" s="801"/>
      <c r="CY53" s="801"/>
    </row>
    <row r="54" spans="1:103" ht="17">
      <c r="A54" s="796" t="s">
        <v>117</v>
      </c>
      <c r="B54" s="797">
        <f t="shared" si="0"/>
        <v>0</v>
      </c>
      <c r="C54" s="798">
        <v>1</v>
      </c>
      <c r="D54" s="799"/>
      <c r="E54" s="801"/>
      <c r="F54" s="801"/>
      <c r="G54" s="801"/>
      <c r="H54" s="801"/>
      <c r="I54" s="801"/>
      <c r="J54" s="801"/>
      <c r="K54" s="801"/>
      <c r="L54" s="801"/>
      <c r="M54" s="801"/>
      <c r="N54" s="801"/>
      <c r="O54" s="801"/>
      <c r="P54" s="801"/>
      <c r="Q54" s="801"/>
      <c r="R54" s="801"/>
      <c r="S54" s="801"/>
      <c r="T54" s="801"/>
      <c r="U54" s="801"/>
      <c r="V54" s="801"/>
      <c r="W54" s="801"/>
      <c r="X54" s="801"/>
      <c r="Y54" s="801"/>
      <c r="Z54" s="801"/>
      <c r="AA54" s="801"/>
      <c r="AB54" s="801"/>
      <c r="AC54" s="801"/>
      <c r="AD54" s="801"/>
      <c r="AE54" s="801"/>
      <c r="AF54" s="801"/>
      <c r="AG54" s="801"/>
      <c r="AH54" s="801"/>
      <c r="AI54" s="801"/>
      <c r="AJ54" s="801"/>
      <c r="AK54" s="801"/>
      <c r="AL54" s="801"/>
      <c r="AM54" s="801"/>
      <c r="AN54" s="801"/>
      <c r="AO54" s="801"/>
      <c r="AP54" s="801"/>
      <c r="AQ54" s="801"/>
      <c r="AR54" s="801"/>
      <c r="AS54" s="801"/>
      <c r="AT54" s="801"/>
      <c r="AU54" s="801"/>
      <c r="AV54" s="801"/>
      <c r="AW54" s="801"/>
      <c r="AX54" s="801"/>
      <c r="AY54" s="801"/>
      <c r="AZ54" s="801"/>
      <c r="BA54" s="801"/>
      <c r="BB54" s="801"/>
      <c r="BC54" s="801"/>
      <c r="BD54" s="801"/>
      <c r="BE54" s="801"/>
      <c r="BF54" s="801"/>
      <c r="BG54" s="801"/>
      <c r="BH54" s="801"/>
      <c r="BI54" s="801"/>
      <c r="BJ54" s="801"/>
      <c r="BK54" s="801"/>
      <c r="BL54" s="801"/>
      <c r="BM54" s="801"/>
      <c r="BN54" s="801"/>
      <c r="BO54" s="801"/>
      <c r="BP54" s="801"/>
      <c r="BQ54" s="801"/>
      <c r="BR54" s="801"/>
      <c r="BS54" s="801"/>
      <c r="BT54" s="801"/>
      <c r="BU54" s="801"/>
      <c r="BV54" s="801"/>
      <c r="BW54" s="801"/>
      <c r="BX54" s="801"/>
      <c r="BY54" s="801"/>
      <c r="BZ54" s="801"/>
      <c r="CA54" s="801"/>
      <c r="CB54" s="801"/>
      <c r="CC54" s="801"/>
      <c r="CD54" s="801"/>
      <c r="CE54" s="801"/>
      <c r="CF54" s="801"/>
      <c r="CG54" s="801"/>
      <c r="CH54" s="801"/>
      <c r="CI54" s="801"/>
      <c r="CJ54" s="801"/>
      <c r="CK54" s="801"/>
      <c r="CL54" s="801"/>
      <c r="CM54" s="801"/>
      <c r="CN54" s="801"/>
      <c r="CO54" s="801"/>
      <c r="CP54" s="801"/>
      <c r="CQ54" s="801"/>
      <c r="CR54" s="801"/>
      <c r="CS54" s="801"/>
      <c r="CT54" s="801"/>
      <c r="CU54" s="801"/>
      <c r="CV54" s="801"/>
      <c r="CW54" s="801"/>
      <c r="CX54" s="801"/>
      <c r="CY54" s="801"/>
    </row>
    <row r="55" spans="1:103" ht="17">
      <c r="A55" s="796" t="s">
        <v>120</v>
      </c>
      <c r="B55" s="797">
        <f t="shared" si="0"/>
        <v>0</v>
      </c>
      <c r="C55" s="798">
        <v>10</v>
      </c>
      <c r="D55" s="799"/>
      <c r="E55" s="801"/>
      <c r="F55" s="801"/>
      <c r="G55" s="801"/>
      <c r="H55" s="801"/>
      <c r="I55" s="801"/>
      <c r="J55" s="801"/>
      <c r="K55" s="801"/>
      <c r="L55" s="801"/>
      <c r="M55" s="801"/>
      <c r="N55" s="801"/>
      <c r="O55" s="801"/>
      <c r="P55" s="801"/>
      <c r="Q55" s="801"/>
      <c r="R55" s="801"/>
      <c r="S55" s="801"/>
      <c r="T55" s="801"/>
      <c r="U55" s="801"/>
      <c r="V55" s="801"/>
      <c r="W55" s="801"/>
      <c r="X55" s="801"/>
      <c r="Y55" s="801"/>
      <c r="Z55" s="801"/>
      <c r="AA55" s="801"/>
      <c r="AB55" s="801"/>
      <c r="AC55" s="801"/>
      <c r="AD55" s="801"/>
      <c r="AE55" s="801"/>
      <c r="AF55" s="801"/>
      <c r="AG55" s="801"/>
      <c r="AH55" s="801"/>
      <c r="AI55" s="801"/>
      <c r="AJ55" s="801"/>
      <c r="AK55" s="801"/>
      <c r="AL55" s="801"/>
      <c r="AM55" s="801"/>
      <c r="AN55" s="801"/>
      <c r="AO55" s="801"/>
      <c r="AP55" s="801"/>
      <c r="AQ55" s="801"/>
      <c r="AR55" s="801"/>
      <c r="AS55" s="801"/>
      <c r="AT55" s="801"/>
      <c r="AU55" s="801"/>
      <c r="AV55" s="801"/>
      <c r="AW55" s="801"/>
      <c r="AX55" s="801"/>
      <c r="AY55" s="801"/>
      <c r="AZ55" s="801"/>
      <c r="BA55" s="801"/>
      <c r="BB55" s="801"/>
      <c r="BC55" s="801"/>
      <c r="BD55" s="801"/>
      <c r="BE55" s="801"/>
      <c r="BF55" s="801"/>
      <c r="BG55" s="801"/>
      <c r="BH55" s="801"/>
      <c r="BI55" s="801"/>
      <c r="BJ55" s="801"/>
      <c r="BK55" s="801"/>
      <c r="BL55" s="801"/>
      <c r="BM55" s="801"/>
      <c r="BN55" s="801"/>
      <c r="BO55" s="801"/>
      <c r="BP55" s="801"/>
      <c r="BQ55" s="801"/>
      <c r="BR55" s="801"/>
      <c r="BS55" s="801"/>
      <c r="BT55" s="801"/>
      <c r="BU55" s="801"/>
      <c r="BV55" s="801"/>
      <c r="BW55" s="801"/>
      <c r="BX55" s="801"/>
      <c r="BY55" s="801"/>
      <c r="BZ55" s="801"/>
      <c r="CA55" s="801"/>
      <c r="CB55" s="801"/>
      <c r="CC55" s="801"/>
      <c r="CD55" s="801"/>
      <c r="CE55" s="801"/>
      <c r="CF55" s="801"/>
      <c r="CG55" s="801"/>
      <c r="CH55" s="801"/>
      <c r="CI55" s="801"/>
      <c r="CJ55" s="801"/>
      <c r="CK55" s="801"/>
      <c r="CL55" s="801"/>
      <c r="CM55" s="801"/>
      <c r="CN55" s="801"/>
      <c r="CO55" s="801"/>
      <c r="CP55" s="801"/>
      <c r="CQ55" s="801"/>
      <c r="CR55" s="801"/>
      <c r="CS55" s="801"/>
      <c r="CT55" s="801"/>
      <c r="CU55" s="801"/>
      <c r="CV55" s="801"/>
      <c r="CW55" s="801"/>
      <c r="CX55" s="801"/>
      <c r="CY55" s="801"/>
    </row>
    <row r="56" spans="1:103" ht="17">
      <c r="A56" s="796" t="s">
        <v>122</v>
      </c>
      <c r="B56" s="797">
        <f t="shared" si="0"/>
        <v>0</v>
      </c>
      <c r="C56" s="798">
        <v>25</v>
      </c>
      <c r="D56" s="799"/>
      <c r="E56" s="801"/>
      <c r="F56" s="801"/>
      <c r="G56" s="801"/>
      <c r="H56" s="801"/>
      <c r="I56" s="801"/>
      <c r="J56" s="801"/>
      <c r="K56" s="801"/>
      <c r="L56" s="801"/>
      <c r="M56" s="801"/>
      <c r="N56" s="801"/>
      <c r="O56" s="801"/>
      <c r="P56" s="801"/>
      <c r="Q56" s="801"/>
      <c r="R56" s="801"/>
      <c r="S56" s="801"/>
      <c r="T56" s="801"/>
      <c r="U56" s="801"/>
      <c r="V56" s="801"/>
      <c r="W56" s="801"/>
      <c r="X56" s="801"/>
      <c r="Y56" s="801"/>
      <c r="Z56" s="801"/>
      <c r="AA56" s="801"/>
      <c r="AB56" s="801"/>
      <c r="AC56" s="801"/>
      <c r="AD56" s="801"/>
      <c r="AE56" s="801"/>
      <c r="AF56" s="801"/>
      <c r="AG56" s="801"/>
      <c r="AH56" s="801"/>
      <c r="AI56" s="801"/>
      <c r="AJ56" s="801"/>
      <c r="AK56" s="801"/>
      <c r="AL56" s="801"/>
      <c r="AM56" s="801"/>
      <c r="AN56" s="801"/>
      <c r="AO56" s="801"/>
      <c r="AP56" s="801"/>
      <c r="AQ56" s="801"/>
      <c r="AR56" s="801"/>
      <c r="AS56" s="801"/>
      <c r="AT56" s="801"/>
      <c r="AU56" s="801"/>
      <c r="AV56" s="801"/>
      <c r="AW56" s="801"/>
      <c r="AX56" s="801"/>
      <c r="AY56" s="801"/>
      <c r="AZ56" s="801"/>
      <c r="BA56" s="801"/>
      <c r="BB56" s="801"/>
      <c r="BC56" s="801"/>
      <c r="BD56" s="801"/>
      <c r="BE56" s="801"/>
      <c r="BF56" s="801"/>
      <c r="BG56" s="801"/>
      <c r="BH56" s="801"/>
      <c r="BI56" s="801"/>
      <c r="BJ56" s="801"/>
      <c r="BK56" s="801"/>
      <c r="BL56" s="801"/>
      <c r="BM56" s="801"/>
      <c r="BN56" s="801"/>
      <c r="BO56" s="801"/>
      <c r="BP56" s="801"/>
      <c r="BQ56" s="801"/>
      <c r="BR56" s="801"/>
      <c r="BS56" s="801"/>
      <c r="BT56" s="801"/>
      <c r="BU56" s="801"/>
      <c r="BV56" s="801"/>
      <c r="BW56" s="801"/>
      <c r="BX56" s="801"/>
      <c r="BY56" s="801"/>
      <c r="BZ56" s="801"/>
      <c r="CA56" s="801"/>
      <c r="CB56" s="801"/>
      <c r="CC56" s="801"/>
      <c r="CD56" s="801"/>
      <c r="CE56" s="801"/>
      <c r="CF56" s="801"/>
      <c r="CG56" s="801"/>
      <c r="CH56" s="801"/>
      <c r="CI56" s="801"/>
      <c r="CJ56" s="801"/>
      <c r="CK56" s="801"/>
      <c r="CL56" s="801"/>
      <c r="CM56" s="801"/>
      <c r="CN56" s="801"/>
      <c r="CO56" s="801"/>
      <c r="CP56" s="801"/>
      <c r="CQ56" s="801"/>
      <c r="CR56" s="801"/>
      <c r="CS56" s="801"/>
      <c r="CT56" s="801"/>
      <c r="CU56" s="801"/>
      <c r="CV56" s="801"/>
      <c r="CW56" s="801"/>
      <c r="CX56" s="801"/>
      <c r="CY56" s="801"/>
    </row>
    <row r="57" spans="1:103" ht="17">
      <c r="A57" s="796" t="s">
        <v>126</v>
      </c>
      <c r="B57" s="797">
        <f t="shared" si="0"/>
        <v>0</v>
      </c>
      <c r="C57" s="798">
        <v>20</v>
      </c>
      <c r="D57" s="799"/>
      <c r="E57" s="801"/>
      <c r="F57" s="801"/>
      <c r="G57" s="801"/>
      <c r="H57" s="801"/>
      <c r="I57" s="801"/>
      <c r="J57" s="801"/>
      <c r="K57" s="801"/>
      <c r="L57" s="801"/>
      <c r="M57" s="801"/>
      <c r="N57" s="801"/>
      <c r="O57" s="801"/>
      <c r="P57" s="801"/>
      <c r="Q57" s="801"/>
      <c r="R57" s="801"/>
      <c r="S57" s="801"/>
      <c r="T57" s="801"/>
      <c r="U57" s="801"/>
      <c r="V57" s="801"/>
      <c r="W57" s="801"/>
      <c r="X57" s="801"/>
      <c r="Y57" s="801"/>
      <c r="Z57" s="801"/>
      <c r="AA57" s="801"/>
      <c r="AB57" s="801"/>
      <c r="AC57" s="801"/>
      <c r="AD57" s="801"/>
      <c r="AE57" s="801"/>
      <c r="AF57" s="801"/>
      <c r="AG57" s="801"/>
      <c r="AH57" s="801"/>
      <c r="AI57" s="801"/>
      <c r="AJ57" s="801"/>
      <c r="AK57" s="801"/>
      <c r="AL57" s="801"/>
      <c r="AM57" s="801"/>
      <c r="AN57" s="801"/>
      <c r="AO57" s="801"/>
      <c r="AP57" s="801"/>
      <c r="AQ57" s="801"/>
      <c r="AR57" s="801"/>
      <c r="AS57" s="801"/>
      <c r="AT57" s="801"/>
      <c r="AU57" s="801"/>
      <c r="AV57" s="801"/>
      <c r="AW57" s="801"/>
      <c r="AX57" s="801"/>
      <c r="AY57" s="801"/>
      <c r="AZ57" s="801"/>
      <c r="BA57" s="801"/>
      <c r="BB57" s="801"/>
      <c r="BC57" s="801"/>
      <c r="BD57" s="801"/>
      <c r="BE57" s="801"/>
      <c r="BF57" s="801"/>
      <c r="BG57" s="801"/>
      <c r="BH57" s="801"/>
      <c r="BI57" s="801"/>
      <c r="BJ57" s="801"/>
      <c r="BK57" s="801"/>
      <c r="BL57" s="801"/>
      <c r="BM57" s="801"/>
      <c r="BN57" s="801"/>
      <c r="BO57" s="801"/>
      <c r="BP57" s="801"/>
      <c r="BQ57" s="801"/>
      <c r="BR57" s="801"/>
      <c r="BS57" s="801"/>
      <c r="BT57" s="801"/>
      <c r="BU57" s="801"/>
      <c r="BV57" s="801"/>
      <c r="BW57" s="801"/>
      <c r="BX57" s="801"/>
      <c r="BY57" s="801"/>
      <c r="BZ57" s="801"/>
      <c r="CA57" s="801"/>
      <c r="CB57" s="801"/>
      <c r="CC57" s="801"/>
      <c r="CD57" s="801"/>
      <c r="CE57" s="801"/>
      <c r="CF57" s="801"/>
      <c r="CG57" s="801"/>
      <c r="CH57" s="801"/>
      <c r="CI57" s="801"/>
      <c r="CJ57" s="801"/>
      <c r="CK57" s="801"/>
      <c r="CL57" s="801"/>
      <c r="CM57" s="801"/>
      <c r="CN57" s="801"/>
      <c r="CO57" s="801"/>
      <c r="CP57" s="801"/>
      <c r="CQ57" s="801"/>
      <c r="CR57" s="801"/>
      <c r="CS57" s="801"/>
      <c r="CT57" s="801"/>
      <c r="CU57" s="801"/>
      <c r="CV57" s="801"/>
      <c r="CW57" s="801"/>
      <c r="CX57" s="801"/>
      <c r="CY57" s="801"/>
    </row>
    <row r="58" spans="1:103" ht="17">
      <c r="A58" s="796" t="s">
        <v>131</v>
      </c>
      <c r="B58" s="797">
        <f t="shared" si="0"/>
        <v>0</v>
      </c>
      <c r="C58" s="798">
        <v>10</v>
      </c>
      <c r="D58" s="799"/>
      <c r="E58" s="801"/>
      <c r="F58" s="801"/>
      <c r="G58" s="801"/>
      <c r="H58" s="801"/>
      <c r="I58" s="801"/>
      <c r="J58" s="801"/>
      <c r="K58" s="801"/>
      <c r="L58" s="801"/>
      <c r="M58" s="801"/>
      <c r="N58" s="801"/>
      <c r="O58" s="801"/>
      <c r="P58" s="801"/>
      <c r="Q58" s="801"/>
      <c r="R58" s="801"/>
      <c r="S58" s="801"/>
      <c r="T58" s="801"/>
      <c r="U58" s="801"/>
      <c r="V58" s="801"/>
      <c r="W58" s="801"/>
      <c r="X58" s="801"/>
      <c r="Y58" s="801"/>
      <c r="Z58" s="801"/>
      <c r="AA58" s="801"/>
      <c r="AB58" s="801"/>
      <c r="AC58" s="801"/>
      <c r="AD58" s="801"/>
      <c r="AE58" s="801"/>
      <c r="AF58" s="801"/>
      <c r="AG58" s="801"/>
      <c r="AH58" s="801"/>
      <c r="AI58" s="801"/>
      <c r="AJ58" s="801"/>
      <c r="AK58" s="801"/>
      <c r="AL58" s="801"/>
      <c r="AM58" s="801"/>
      <c r="AN58" s="801"/>
      <c r="AO58" s="801"/>
      <c r="AP58" s="801"/>
      <c r="AQ58" s="801"/>
      <c r="AR58" s="801"/>
      <c r="AS58" s="801"/>
      <c r="AT58" s="801"/>
      <c r="AU58" s="801"/>
      <c r="AV58" s="801"/>
      <c r="AW58" s="801"/>
      <c r="AX58" s="801"/>
      <c r="AY58" s="801"/>
      <c r="AZ58" s="801"/>
      <c r="BA58" s="801"/>
      <c r="BB58" s="801"/>
      <c r="BC58" s="801"/>
      <c r="BD58" s="801"/>
      <c r="BE58" s="801"/>
      <c r="BF58" s="801"/>
      <c r="BG58" s="801"/>
      <c r="BH58" s="801"/>
      <c r="BI58" s="801"/>
      <c r="BJ58" s="801"/>
      <c r="BK58" s="801"/>
      <c r="BL58" s="801"/>
      <c r="BM58" s="801"/>
      <c r="BN58" s="801"/>
      <c r="BO58" s="801"/>
      <c r="BP58" s="801"/>
      <c r="BQ58" s="801"/>
      <c r="BR58" s="801"/>
      <c r="BS58" s="801"/>
      <c r="BT58" s="801"/>
      <c r="BU58" s="801"/>
      <c r="BV58" s="801"/>
      <c r="BW58" s="801"/>
      <c r="BX58" s="801"/>
      <c r="BY58" s="801"/>
      <c r="BZ58" s="801"/>
      <c r="CA58" s="801"/>
      <c r="CB58" s="801"/>
      <c r="CC58" s="801"/>
      <c r="CD58" s="801"/>
      <c r="CE58" s="801"/>
      <c r="CF58" s="801"/>
      <c r="CG58" s="801"/>
      <c r="CH58" s="801"/>
      <c r="CI58" s="801"/>
      <c r="CJ58" s="801"/>
      <c r="CK58" s="801"/>
      <c r="CL58" s="801"/>
      <c r="CM58" s="801"/>
      <c r="CN58" s="801"/>
      <c r="CO58" s="801"/>
      <c r="CP58" s="801"/>
      <c r="CQ58" s="801"/>
      <c r="CR58" s="801"/>
      <c r="CS58" s="801"/>
      <c r="CT58" s="801"/>
      <c r="CU58" s="801"/>
      <c r="CV58" s="801"/>
      <c r="CW58" s="801"/>
      <c r="CX58" s="801"/>
      <c r="CY58" s="801"/>
    </row>
    <row r="59" spans="1:103" ht="17">
      <c r="A59" s="796" t="s">
        <v>134</v>
      </c>
      <c r="B59" s="797">
        <f t="shared" si="0"/>
        <v>0</v>
      </c>
      <c r="C59" s="798">
        <v>20</v>
      </c>
      <c r="D59" s="799"/>
      <c r="E59" s="801"/>
      <c r="F59" s="801"/>
      <c r="G59" s="801"/>
      <c r="H59" s="801"/>
      <c r="I59" s="801"/>
      <c r="J59" s="801"/>
      <c r="K59" s="801"/>
      <c r="L59" s="801"/>
      <c r="M59" s="801"/>
      <c r="N59" s="801"/>
      <c r="O59" s="801"/>
      <c r="P59" s="801"/>
      <c r="Q59" s="801"/>
      <c r="R59" s="801"/>
      <c r="S59" s="801"/>
      <c r="T59" s="801"/>
      <c r="U59" s="801"/>
      <c r="V59" s="801"/>
      <c r="W59" s="801"/>
      <c r="X59" s="801"/>
      <c r="Y59" s="801"/>
      <c r="Z59" s="801"/>
      <c r="AA59" s="801"/>
      <c r="AB59" s="801"/>
      <c r="AC59" s="801"/>
      <c r="AD59" s="801"/>
      <c r="AE59" s="801"/>
      <c r="AF59" s="801"/>
      <c r="AG59" s="801"/>
      <c r="AH59" s="801"/>
      <c r="AI59" s="801"/>
      <c r="AJ59" s="801"/>
      <c r="AK59" s="801"/>
      <c r="AL59" s="801"/>
      <c r="AM59" s="801"/>
      <c r="AN59" s="801"/>
      <c r="AO59" s="801"/>
      <c r="AP59" s="801"/>
      <c r="AQ59" s="801"/>
      <c r="AR59" s="801"/>
      <c r="AS59" s="801"/>
      <c r="AT59" s="801"/>
      <c r="AU59" s="801"/>
      <c r="AV59" s="801"/>
      <c r="AW59" s="801"/>
      <c r="AX59" s="801"/>
      <c r="AY59" s="801"/>
      <c r="AZ59" s="801"/>
      <c r="BA59" s="801"/>
      <c r="BB59" s="801"/>
      <c r="BC59" s="801"/>
      <c r="BD59" s="801"/>
      <c r="BE59" s="801"/>
      <c r="BF59" s="801"/>
      <c r="BG59" s="801"/>
      <c r="BH59" s="801"/>
      <c r="BI59" s="801"/>
      <c r="BJ59" s="801"/>
      <c r="BK59" s="801"/>
      <c r="BL59" s="801"/>
      <c r="BM59" s="801"/>
      <c r="BN59" s="801"/>
      <c r="BO59" s="801"/>
      <c r="BP59" s="801"/>
      <c r="BQ59" s="801"/>
      <c r="BR59" s="801"/>
      <c r="BS59" s="801"/>
      <c r="BT59" s="801"/>
      <c r="BU59" s="801"/>
      <c r="BV59" s="801"/>
      <c r="BW59" s="801"/>
      <c r="BX59" s="801"/>
      <c r="BY59" s="801"/>
      <c r="BZ59" s="801"/>
      <c r="CA59" s="801"/>
      <c r="CB59" s="801"/>
      <c r="CC59" s="801"/>
      <c r="CD59" s="801"/>
      <c r="CE59" s="801"/>
      <c r="CF59" s="801"/>
      <c r="CG59" s="801"/>
      <c r="CH59" s="801"/>
      <c r="CI59" s="801"/>
      <c r="CJ59" s="801"/>
      <c r="CK59" s="801"/>
      <c r="CL59" s="801"/>
      <c r="CM59" s="801"/>
      <c r="CN59" s="801"/>
      <c r="CO59" s="801"/>
      <c r="CP59" s="801"/>
      <c r="CQ59" s="801"/>
      <c r="CR59" s="801"/>
      <c r="CS59" s="801"/>
      <c r="CT59" s="801"/>
      <c r="CU59" s="801"/>
      <c r="CV59" s="801"/>
      <c r="CW59" s="801"/>
      <c r="CX59" s="801"/>
      <c r="CY59" s="801"/>
    </row>
    <row r="60" spans="1:103" ht="17">
      <c r="A60" s="796" t="s">
        <v>137</v>
      </c>
      <c r="B60" s="797">
        <f t="shared" si="0"/>
        <v>0</v>
      </c>
      <c r="C60" s="798">
        <v>20</v>
      </c>
      <c r="D60" s="799"/>
      <c r="E60" s="801"/>
      <c r="F60" s="801"/>
      <c r="G60" s="801"/>
      <c r="H60" s="801"/>
      <c r="I60" s="801"/>
      <c r="J60" s="801"/>
      <c r="K60" s="801"/>
      <c r="L60" s="801"/>
      <c r="M60" s="801"/>
      <c r="N60" s="801"/>
      <c r="O60" s="801"/>
      <c r="P60" s="801"/>
      <c r="Q60" s="801"/>
      <c r="R60" s="801"/>
      <c r="S60" s="801"/>
      <c r="T60" s="801"/>
      <c r="U60" s="801"/>
      <c r="V60" s="801"/>
      <c r="W60" s="801"/>
      <c r="X60" s="801"/>
      <c r="Y60" s="801"/>
      <c r="Z60" s="801"/>
      <c r="AA60" s="801"/>
      <c r="AB60" s="801"/>
      <c r="AC60" s="801"/>
      <c r="AD60" s="801"/>
      <c r="AE60" s="801"/>
      <c r="AF60" s="801"/>
      <c r="AG60" s="801"/>
      <c r="AH60" s="801"/>
      <c r="AI60" s="801"/>
      <c r="AJ60" s="801"/>
      <c r="AK60" s="801"/>
      <c r="AL60" s="801"/>
      <c r="AM60" s="801"/>
      <c r="AN60" s="801"/>
      <c r="AO60" s="801"/>
      <c r="AP60" s="801"/>
      <c r="AQ60" s="801"/>
      <c r="AR60" s="801"/>
      <c r="AS60" s="801"/>
      <c r="AT60" s="801"/>
      <c r="AU60" s="801"/>
      <c r="AV60" s="801"/>
      <c r="AW60" s="801"/>
      <c r="AX60" s="801"/>
      <c r="AY60" s="801"/>
      <c r="AZ60" s="801"/>
      <c r="BA60" s="801"/>
      <c r="BB60" s="801"/>
      <c r="BC60" s="801"/>
      <c r="BD60" s="801"/>
      <c r="BE60" s="801"/>
      <c r="BF60" s="801"/>
      <c r="BG60" s="801"/>
      <c r="BH60" s="801"/>
      <c r="BI60" s="801"/>
      <c r="BJ60" s="801"/>
      <c r="BK60" s="801"/>
      <c r="BL60" s="801"/>
      <c r="BM60" s="801"/>
      <c r="BN60" s="801"/>
      <c r="BO60" s="801"/>
      <c r="BP60" s="801"/>
      <c r="BQ60" s="801"/>
      <c r="BR60" s="801"/>
      <c r="BS60" s="801"/>
      <c r="BT60" s="801"/>
      <c r="BU60" s="801"/>
      <c r="BV60" s="801"/>
      <c r="BW60" s="801"/>
      <c r="BX60" s="801"/>
      <c r="BY60" s="801"/>
      <c r="BZ60" s="801"/>
      <c r="CA60" s="801"/>
      <c r="CB60" s="801"/>
      <c r="CC60" s="801"/>
      <c r="CD60" s="801"/>
      <c r="CE60" s="801"/>
      <c r="CF60" s="801"/>
      <c r="CG60" s="801"/>
      <c r="CH60" s="801"/>
      <c r="CI60" s="801"/>
      <c r="CJ60" s="801"/>
      <c r="CK60" s="801"/>
      <c r="CL60" s="801"/>
      <c r="CM60" s="801"/>
      <c r="CN60" s="801"/>
      <c r="CO60" s="801"/>
      <c r="CP60" s="801"/>
      <c r="CQ60" s="801"/>
      <c r="CR60" s="801"/>
      <c r="CS60" s="801"/>
      <c r="CT60" s="801"/>
      <c r="CU60" s="801"/>
      <c r="CV60" s="801"/>
      <c r="CW60" s="801"/>
      <c r="CX60" s="801"/>
      <c r="CY60" s="801"/>
    </row>
    <row r="61" spans="1:103" ht="17">
      <c r="A61" s="796" t="s">
        <v>139</v>
      </c>
      <c r="B61" s="797">
        <f t="shared" si="0"/>
        <v>0</v>
      </c>
      <c r="C61" s="798">
        <v>10</v>
      </c>
      <c r="D61" s="799"/>
      <c r="E61" s="801"/>
      <c r="F61" s="801"/>
      <c r="G61" s="801"/>
      <c r="H61" s="801"/>
      <c r="I61" s="801"/>
      <c r="J61" s="801"/>
      <c r="K61" s="801"/>
      <c r="L61" s="801"/>
      <c r="M61" s="801"/>
      <c r="N61" s="801"/>
      <c r="O61" s="801"/>
      <c r="P61" s="801"/>
      <c r="Q61" s="801"/>
      <c r="R61" s="801"/>
      <c r="S61" s="801"/>
      <c r="T61" s="801"/>
      <c r="U61" s="801"/>
      <c r="V61" s="801"/>
      <c r="W61" s="801"/>
      <c r="X61" s="801"/>
      <c r="Y61" s="801"/>
      <c r="Z61" s="801"/>
      <c r="AA61" s="801"/>
      <c r="AB61" s="801"/>
      <c r="AC61" s="801"/>
      <c r="AD61" s="801"/>
      <c r="AE61" s="801"/>
      <c r="AF61" s="801"/>
      <c r="AG61" s="801"/>
      <c r="AH61" s="801"/>
      <c r="AI61" s="801"/>
      <c r="AJ61" s="801"/>
      <c r="AK61" s="801"/>
      <c r="AL61" s="801"/>
      <c r="AM61" s="801"/>
      <c r="AN61" s="801"/>
      <c r="AO61" s="801"/>
      <c r="AP61" s="801"/>
      <c r="AQ61" s="801"/>
      <c r="AR61" s="801"/>
      <c r="AS61" s="801"/>
      <c r="AT61" s="801"/>
      <c r="AU61" s="801"/>
      <c r="AV61" s="801"/>
      <c r="AW61" s="801"/>
      <c r="AX61" s="801"/>
      <c r="AY61" s="801"/>
      <c r="AZ61" s="801"/>
      <c r="BA61" s="801"/>
      <c r="BB61" s="801"/>
      <c r="BC61" s="801"/>
      <c r="BD61" s="801"/>
      <c r="BE61" s="801"/>
      <c r="BF61" s="801"/>
      <c r="BG61" s="801"/>
      <c r="BH61" s="801"/>
      <c r="BI61" s="801"/>
      <c r="BJ61" s="801"/>
      <c r="BK61" s="801"/>
      <c r="BL61" s="801"/>
      <c r="BM61" s="801"/>
      <c r="BN61" s="801"/>
      <c r="BO61" s="801"/>
      <c r="BP61" s="801"/>
      <c r="BQ61" s="801"/>
      <c r="BR61" s="801"/>
      <c r="BS61" s="801"/>
      <c r="BT61" s="801"/>
      <c r="BU61" s="801"/>
      <c r="BV61" s="801"/>
      <c r="BW61" s="801"/>
      <c r="BX61" s="801"/>
      <c r="BY61" s="801"/>
      <c r="BZ61" s="801"/>
      <c r="CA61" s="801"/>
      <c r="CB61" s="801"/>
      <c r="CC61" s="801"/>
      <c r="CD61" s="801"/>
      <c r="CE61" s="801"/>
      <c r="CF61" s="801"/>
      <c r="CG61" s="801"/>
      <c r="CH61" s="801"/>
      <c r="CI61" s="801"/>
      <c r="CJ61" s="801"/>
      <c r="CK61" s="801"/>
      <c r="CL61" s="801"/>
      <c r="CM61" s="801"/>
      <c r="CN61" s="801"/>
      <c r="CO61" s="801"/>
      <c r="CP61" s="801"/>
      <c r="CQ61" s="801"/>
      <c r="CR61" s="801"/>
      <c r="CS61" s="801"/>
      <c r="CT61" s="801"/>
      <c r="CU61" s="801"/>
      <c r="CV61" s="801"/>
      <c r="CW61" s="801"/>
      <c r="CX61" s="801"/>
      <c r="CY61" s="801"/>
    </row>
    <row r="62" spans="1:103" ht="17">
      <c r="A62" s="796" t="s">
        <v>141</v>
      </c>
      <c r="B62" s="797">
        <f t="shared" si="0"/>
        <v>0</v>
      </c>
      <c r="C62" s="798">
        <v>5</v>
      </c>
      <c r="D62" s="799"/>
      <c r="E62" s="801"/>
      <c r="F62" s="801"/>
      <c r="G62" s="801"/>
      <c r="H62" s="801"/>
      <c r="I62" s="801"/>
      <c r="J62" s="801"/>
      <c r="K62" s="801"/>
      <c r="L62" s="801"/>
      <c r="M62" s="801"/>
      <c r="N62" s="801"/>
      <c r="O62" s="801"/>
      <c r="P62" s="801"/>
      <c r="Q62" s="801"/>
      <c r="R62" s="801"/>
      <c r="S62" s="801"/>
      <c r="T62" s="801"/>
      <c r="U62" s="801"/>
      <c r="V62" s="801"/>
      <c r="W62" s="801"/>
      <c r="X62" s="801"/>
      <c r="Y62" s="801"/>
      <c r="Z62" s="801"/>
      <c r="AA62" s="801"/>
      <c r="AB62" s="801"/>
      <c r="AC62" s="801"/>
      <c r="AD62" s="801"/>
      <c r="AE62" s="801"/>
      <c r="AF62" s="801"/>
      <c r="AG62" s="801"/>
      <c r="AH62" s="801"/>
      <c r="AI62" s="801"/>
      <c r="AJ62" s="801"/>
      <c r="AK62" s="801"/>
      <c r="AL62" s="801"/>
      <c r="AM62" s="801"/>
      <c r="AN62" s="801"/>
      <c r="AO62" s="801"/>
      <c r="AP62" s="801"/>
      <c r="AQ62" s="801"/>
      <c r="AR62" s="801"/>
      <c r="AS62" s="801"/>
      <c r="AT62" s="801"/>
      <c r="AU62" s="801"/>
      <c r="AV62" s="801"/>
      <c r="AW62" s="801"/>
      <c r="AX62" s="801"/>
      <c r="AY62" s="801"/>
      <c r="AZ62" s="801"/>
      <c r="BA62" s="801"/>
      <c r="BB62" s="801"/>
      <c r="BC62" s="801"/>
      <c r="BD62" s="801"/>
      <c r="BE62" s="801"/>
      <c r="BF62" s="801"/>
      <c r="BG62" s="801"/>
      <c r="BH62" s="801"/>
      <c r="BI62" s="801"/>
      <c r="BJ62" s="801"/>
      <c r="BK62" s="801"/>
      <c r="BL62" s="801"/>
      <c r="BM62" s="801"/>
      <c r="BN62" s="801"/>
      <c r="BO62" s="801"/>
      <c r="BP62" s="801"/>
      <c r="BQ62" s="801"/>
      <c r="BR62" s="801"/>
      <c r="BS62" s="801"/>
      <c r="BT62" s="801"/>
      <c r="BU62" s="801"/>
      <c r="BV62" s="801"/>
      <c r="BW62" s="801"/>
      <c r="BX62" s="801"/>
      <c r="BY62" s="801"/>
      <c r="BZ62" s="801"/>
      <c r="CA62" s="801"/>
      <c r="CB62" s="801"/>
      <c r="CC62" s="801"/>
      <c r="CD62" s="801"/>
      <c r="CE62" s="801"/>
      <c r="CF62" s="801"/>
      <c r="CG62" s="801"/>
      <c r="CH62" s="801"/>
      <c r="CI62" s="801"/>
      <c r="CJ62" s="801"/>
      <c r="CK62" s="801"/>
      <c r="CL62" s="801"/>
      <c r="CM62" s="801"/>
      <c r="CN62" s="801"/>
      <c r="CO62" s="801"/>
      <c r="CP62" s="801"/>
      <c r="CQ62" s="801"/>
      <c r="CR62" s="801"/>
      <c r="CS62" s="801"/>
      <c r="CT62" s="801"/>
      <c r="CU62" s="801"/>
      <c r="CV62" s="801"/>
      <c r="CW62" s="801"/>
      <c r="CX62" s="801"/>
      <c r="CY62" s="801"/>
    </row>
    <row r="63" spans="1:103" ht="17">
      <c r="A63" s="796" t="s">
        <v>143</v>
      </c>
      <c r="B63" s="797">
        <f t="shared" si="0"/>
        <v>0</v>
      </c>
      <c r="C63" s="798">
        <v>1</v>
      </c>
      <c r="D63" s="799"/>
      <c r="E63" s="801"/>
      <c r="F63" s="801"/>
      <c r="G63" s="801"/>
      <c r="H63" s="801"/>
      <c r="I63" s="801"/>
      <c r="J63" s="801"/>
      <c r="K63" s="801"/>
      <c r="L63" s="801"/>
      <c r="M63" s="801"/>
      <c r="N63" s="801"/>
      <c r="O63" s="801"/>
      <c r="P63" s="801"/>
      <c r="Q63" s="801"/>
      <c r="R63" s="801"/>
      <c r="S63" s="801"/>
      <c r="T63" s="801"/>
      <c r="U63" s="801"/>
      <c r="V63" s="801"/>
      <c r="W63" s="801"/>
      <c r="X63" s="801"/>
      <c r="Y63" s="801"/>
      <c r="Z63" s="801"/>
      <c r="AA63" s="801"/>
      <c r="AB63" s="801"/>
      <c r="AC63" s="801"/>
      <c r="AD63" s="801"/>
      <c r="AE63" s="801"/>
      <c r="AF63" s="801"/>
      <c r="AG63" s="801"/>
      <c r="AH63" s="801"/>
      <c r="AI63" s="801"/>
      <c r="AJ63" s="801"/>
      <c r="AK63" s="801"/>
      <c r="AL63" s="801"/>
      <c r="AM63" s="801"/>
      <c r="AN63" s="801"/>
      <c r="AO63" s="801"/>
      <c r="AP63" s="801"/>
      <c r="AQ63" s="801"/>
      <c r="AR63" s="801"/>
      <c r="AS63" s="801"/>
      <c r="AT63" s="801"/>
      <c r="AU63" s="801"/>
      <c r="AV63" s="801"/>
      <c r="AW63" s="801"/>
      <c r="AX63" s="801"/>
      <c r="AY63" s="801"/>
      <c r="AZ63" s="801"/>
      <c r="BA63" s="801"/>
      <c r="BB63" s="801"/>
      <c r="BC63" s="801"/>
      <c r="BD63" s="801"/>
      <c r="BE63" s="801"/>
      <c r="BF63" s="801"/>
      <c r="BG63" s="801"/>
      <c r="BH63" s="801"/>
      <c r="BI63" s="801"/>
      <c r="BJ63" s="801"/>
      <c r="BK63" s="801"/>
      <c r="BL63" s="801"/>
      <c r="BM63" s="801"/>
      <c r="BN63" s="801"/>
      <c r="BO63" s="801"/>
      <c r="BP63" s="801"/>
      <c r="BQ63" s="801"/>
      <c r="BR63" s="801"/>
      <c r="BS63" s="801"/>
      <c r="BT63" s="801"/>
      <c r="BU63" s="801"/>
      <c r="BV63" s="801"/>
      <c r="BW63" s="801"/>
      <c r="BX63" s="801"/>
      <c r="BY63" s="801"/>
      <c r="BZ63" s="801"/>
      <c r="CA63" s="801"/>
      <c r="CB63" s="801"/>
      <c r="CC63" s="801"/>
      <c r="CD63" s="801"/>
      <c r="CE63" s="801"/>
      <c r="CF63" s="801"/>
      <c r="CG63" s="801"/>
      <c r="CH63" s="801"/>
      <c r="CI63" s="801"/>
      <c r="CJ63" s="801"/>
      <c r="CK63" s="801"/>
      <c r="CL63" s="801"/>
      <c r="CM63" s="801"/>
      <c r="CN63" s="801"/>
      <c r="CO63" s="801"/>
      <c r="CP63" s="801"/>
      <c r="CQ63" s="801"/>
      <c r="CR63" s="801"/>
      <c r="CS63" s="801"/>
      <c r="CT63" s="801"/>
      <c r="CU63" s="801"/>
      <c r="CV63" s="801"/>
      <c r="CW63" s="801"/>
      <c r="CX63" s="801"/>
      <c r="CY63" s="801"/>
    </row>
    <row r="64" spans="1:103" ht="17">
      <c r="A64" s="796" t="s">
        <v>145</v>
      </c>
      <c r="B64" s="797">
        <f t="shared" si="0"/>
        <v>0</v>
      </c>
      <c r="C64" s="798">
        <v>1</v>
      </c>
      <c r="D64" s="799"/>
      <c r="E64" s="801"/>
      <c r="F64" s="801"/>
      <c r="G64" s="801"/>
      <c r="H64" s="801"/>
      <c r="I64" s="801"/>
      <c r="J64" s="801"/>
      <c r="K64" s="801"/>
      <c r="L64" s="801"/>
      <c r="M64" s="801"/>
      <c r="N64" s="801"/>
      <c r="O64" s="801"/>
      <c r="P64" s="801"/>
      <c r="Q64" s="801"/>
      <c r="R64" s="801"/>
      <c r="S64" s="801"/>
      <c r="T64" s="801"/>
      <c r="U64" s="801"/>
      <c r="V64" s="801"/>
      <c r="W64" s="801"/>
      <c r="X64" s="801"/>
      <c r="Y64" s="801"/>
      <c r="Z64" s="801"/>
      <c r="AA64" s="801"/>
      <c r="AB64" s="801"/>
      <c r="AC64" s="801"/>
      <c r="AD64" s="801"/>
      <c r="AE64" s="801"/>
      <c r="AF64" s="801"/>
      <c r="AG64" s="801"/>
      <c r="AH64" s="801"/>
      <c r="AI64" s="801"/>
      <c r="AJ64" s="801"/>
      <c r="AK64" s="801"/>
      <c r="AL64" s="801"/>
      <c r="AM64" s="801"/>
      <c r="AN64" s="801"/>
      <c r="AO64" s="801"/>
      <c r="AP64" s="801"/>
      <c r="AQ64" s="801"/>
      <c r="AR64" s="801"/>
      <c r="AS64" s="801"/>
      <c r="AT64" s="801"/>
      <c r="AU64" s="801"/>
      <c r="AV64" s="801"/>
      <c r="AW64" s="801"/>
      <c r="AX64" s="801"/>
      <c r="AY64" s="801"/>
      <c r="AZ64" s="801"/>
      <c r="BA64" s="801"/>
      <c r="BB64" s="801"/>
      <c r="BC64" s="801"/>
      <c r="BD64" s="801"/>
      <c r="BE64" s="801"/>
      <c r="BF64" s="801"/>
      <c r="BG64" s="801"/>
      <c r="BH64" s="801"/>
      <c r="BI64" s="801"/>
      <c r="BJ64" s="801"/>
      <c r="BK64" s="801"/>
      <c r="BL64" s="801"/>
      <c r="BM64" s="801"/>
      <c r="BN64" s="801"/>
      <c r="BO64" s="801"/>
      <c r="BP64" s="801"/>
      <c r="BQ64" s="801"/>
      <c r="BR64" s="801"/>
      <c r="BS64" s="801"/>
      <c r="BT64" s="801"/>
      <c r="BU64" s="801"/>
      <c r="BV64" s="801"/>
      <c r="BW64" s="801"/>
      <c r="BX64" s="801"/>
      <c r="BY64" s="801"/>
      <c r="BZ64" s="801"/>
      <c r="CA64" s="801"/>
      <c r="CB64" s="801"/>
      <c r="CC64" s="801"/>
      <c r="CD64" s="801"/>
      <c r="CE64" s="801"/>
      <c r="CF64" s="801"/>
      <c r="CG64" s="801"/>
      <c r="CH64" s="801"/>
      <c r="CI64" s="801"/>
      <c r="CJ64" s="801"/>
      <c r="CK64" s="801"/>
      <c r="CL64" s="801"/>
      <c r="CM64" s="801"/>
      <c r="CN64" s="801"/>
      <c r="CO64" s="801"/>
      <c r="CP64" s="801"/>
      <c r="CQ64" s="801"/>
      <c r="CR64" s="801"/>
      <c r="CS64" s="801"/>
      <c r="CT64" s="801"/>
      <c r="CU64" s="801"/>
      <c r="CV64" s="801"/>
      <c r="CW64" s="801"/>
      <c r="CX64" s="801"/>
      <c r="CY64" s="801"/>
    </row>
    <row r="65" spans="1:103" ht="17">
      <c r="A65" s="796" t="s">
        <v>148</v>
      </c>
      <c r="B65" s="797">
        <f t="shared" si="0"/>
        <v>0</v>
      </c>
      <c r="C65" s="798">
        <v>1</v>
      </c>
      <c r="D65" s="799"/>
      <c r="E65" s="801"/>
      <c r="F65" s="801"/>
      <c r="G65" s="801"/>
      <c r="H65" s="801"/>
      <c r="I65" s="801"/>
      <c r="J65" s="801"/>
      <c r="K65" s="801"/>
      <c r="L65" s="801"/>
      <c r="M65" s="801"/>
      <c r="N65" s="801"/>
      <c r="O65" s="801"/>
      <c r="P65" s="801"/>
      <c r="Q65" s="801"/>
      <c r="R65" s="801"/>
      <c r="S65" s="801"/>
      <c r="T65" s="801"/>
      <c r="U65" s="801"/>
      <c r="V65" s="801"/>
      <c r="W65" s="801"/>
      <c r="X65" s="801"/>
      <c r="Y65" s="801"/>
      <c r="Z65" s="801"/>
      <c r="AA65" s="801"/>
      <c r="AB65" s="801"/>
      <c r="AC65" s="801"/>
      <c r="AD65" s="801"/>
      <c r="AE65" s="801"/>
      <c r="AF65" s="801"/>
      <c r="AG65" s="801"/>
      <c r="AH65" s="801"/>
      <c r="AI65" s="801"/>
      <c r="AJ65" s="801"/>
      <c r="AK65" s="801"/>
      <c r="AL65" s="801"/>
      <c r="AM65" s="801"/>
      <c r="AN65" s="801"/>
      <c r="AO65" s="801"/>
      <c r="AP65" s="801"/>
      <c r="AQ65" s="801"/>
      <c r="AR65" s="801"/>
      <c r="AS65" s="801"/>
      <c r="AT65" s="801"/>
      <c r="AU65" s="801"/>
      <c r="AV65" s="801"/>
      <c r="AW65" s="801"/>
      <c r="AX65" s="801"/>
      <c r="AY65" s="801"/>
      <c r="AZ65" s="801"/>
      <c r="BA65" s="801"/>
      <c r="BB65" s="801"/>
      <c r="BC65" s="801"/>
      <c r="BD65" s="801"/>
      <c r="BE65" s="801"/>
      <c r="BF65" s="801"/>
      <c r="BG65" s="801"/>
      <c r="BH65" s="801"/>
      <c r="BI65" s="801"/>
      <c r="BJ65" s="801"/>
      <c r="BK65" s="801"/>
      <c r="BL65" s="801"/>
      <c r="BM65" s="801"/>
      <c r="BN65" s="801"/>
      <c r="BO65" s="801"/>
      <c r="BP65" s="801"/>
      <c r="BQ65" s="801"/>
      <c r="BR65" s="801"/>
      <c r="BS65" s="801"/>
      <c r="BT65" s="801"/>
      <c r="BU65" s="801"/>
      <c r="BV65" s="801"/>
      <c r="BW65" s="801"/>
      <c r="BX65" s="801"/>
      <c r="BY65" s="801"/>
      <c r="BZ65" s="801"/>
      <c r="CA65" s="801"/>
      <c r="CB65" s="801"/>
      <c r="CC65" s="801"/>
      <c r="CD65" s="801"/>
      <c r="CE65" s="801"/>
      <c r="CF65" s="801"/>
      <c r="CG65" s="801"/>
      <c r="CH65" s="801"/>
      <c r="CI65" s="801"/>
      <c r="CJ65" s="801"/>
      <c r="CK65" s="801"/>
      <c r="CL65" s="801"/>
      <c r="CM65" s="801"/>
      <c r="CN65" s="801"/>
      <c r="CO65" s="801"/>
      <c r="CP65" s="801"/>
      <c r="CQ65" s="801"/>
      <c r="CR65" s="801"/>
      <c r="CS65" s="801"/>
      <c r="CT65" s="801"/>
      <c r="CU65" s="801"/>
      <c r="CV65" s="801"/>
      <c r="CW65" s="801"/>
      <c r="CX65" s="801"/>
      <c r="CY65" s="801"/>
    </row>
    <row r="66" spans="1:103" ht="17">
      <c r="A66" s="796" t="s">
        <v>150</v>
      </c>
      <c r="B66" s="797">
        <f t="shared" si="0"/>
        <v>0</v>
      </c>
      <c r="C66" s="798">
        <v>1</v>
      </c>
      <c r="D66" s="799"/>
      <c r="E66" s="801"/>
      <c r="F66" s="801"/>
      <c r="G66" s="801"/>
      <c r="H66" s="801"/>
      <c r="I66" s="801"/>
      <c r="J66" s="801"/>
      <c r="K66" s="801"/>
      <c r="L66" s="801"/>
      <c r="M66" s="801"/>
      <c r="N66" s="801"/>
      <c r="O66" s="801"/>
      <c r="P66" s="801"/>
      <c r="Q66" s="801"/>
      <c r="R66" s="801"/>
      <c r="S66" s="801"/>
      <c r="T66" s="801"/>
      <c r="U66" s="801"/>
      <c r="V66" s="801"/>
      <c r="W66" s="801"/>
      <c r="X66" s="801"/>
      <c r="Y66" s="801"/>
      <c r="Z66" s="801"/>
      <c r="AA66" s="801"/>
      <c r="AB66" s="801"/>
      <c r="AC66" s="801"/>
      <c r="AD66" s="801"/>
      <c r="AE66" s="801"/>
      <c r="AF66" s="801"/>
      <c r="AG66" s="801"/>
      <c r="AH66" s="801"/>
      <c r="AI66" s="801"/>
      <c r="AJ66" s="801"/>
      <c r="AK66" s="801"/>
      <c r="AL66" s="801"/>
      <c r="AM66" s="801"/>
      <c r="AN66" s="801"/>
      <c r="AO66" s="801"/>
      <c r="AP66" s="801"/>
      <c r="AQ66" s="801"/>
      <c r="AR66" s="801"/>
      <c r="AS66" s="801"/>
      <c r="AT66" s="801"/>
      <c r="AU66" s="801"/>
      <c r="AV66" s="801"/>
      <c r="AW66" s="801"/>
      <c r="AX66" s="801"/>
      <c r="AY66" s="801"/>
      <c r="AZ66" s="801"/>
      <c r="BA66" s="801"/>
      <c r="BB66" s="801"/>
      <c r="BC66" s="801"/>
      <c r="BD66" s="801"/>
      <c r="BE66" s="801"/>
      <c r="BF66" s="801"/>
      <c r="BG66" s="801"/>
      <c r="BH66" s="801"/>
      <c r="BI66" s="801"/>
      <c r="BJ66" s="801"/>
      <c r="BK66" s="801"/>
      <c r="BL66" s="801"/>
      <c r="BM66" s="801"/>
      <c r="BN66" s="801"/>
      <c r="BO66" s="801"/>
      <c r="BP66" s="801"/>
      <c r="BQ66" s="801"/>
      <c r="BR66" s="801"/>
      <c r="BS66" s="801"/>
      <c r="BT66" s="801"/>
      <c r="BU66" s="801"/>
      <c r="BV66" s="801"/>
      <c r="BW66" s="801"/>
      <c r="BX66" s="801"/>
      <c r="BY66" s="801"/>
      <c r="BZ66" s="801"/>
      <c r="CA66" s="801"/>
      <c r="CB66" s="801"/>
      <c r="CC66" s="801"/>
      <c r="CD66" s="801"/>
      <c r="CE66" s="801"/>
      <c r="CF66" s="801"/>
      <c r="CG66" s="801"/>
      <c r="CH66" s="801"/>
      <c r="CI66" s="801"/>
      <c r="CJ66" s="801"/>
      <c r="CK66" s="801"/>
      <c r="CL66" s="801"/>
      <c r="CM66" s="801"/>
      <c r="CN66" s="801"/>
      <c r="CO66" s="801"/>
      <c r="CP66" s="801"/>
      <c r="CQ66" s="801"/>
      <c r="CR66" s="801"/>
      <c r="CS66" s="801"/>
      <c r="CT66" s="801"/>
      <c r="CU66" s="801"/>
      <c r="CV66" s="801"/>
      <c r="CW66" s="801"/>
      <c r="CX66" s="801"/>
      <c r="CY66" s="801"/>
    </row>
    <row r="67" spans="1:103" ht="17">
      <c r="A67" s="796" t="s">
        <v>152</v>
      </c>
      <c r="B67" s="797">
        <f t="shared" ref="B67:B100" si="1">SUM(D67:CY67)</f>
        <v>0</v>
      </c>
      <c r="C67" s="798">
        <v>1</v>
      </c>
      <c r="D67" s="799"/>
      <c r="E67" s="801"/>
      <c r="F67" s="801"/>
      <c r="G67" s="801"/>
      <c r="H67" s="801"/>
      <c r="I67" s="801"/>
      <c r="J67" s="801"/>
      <c r="K67" s="801"/>
      <c r="L67" s="801"/>
      <c r="M67" s="801"/>
      <c r="N67" s="801"/>
      <c r="O67" s="801"/>
      <c r="P67" s="801"/>
      <c r="Q67" s="801"/>
      <c r="R67" s="801"/>
      <c r="S67" s="801"/>
      <c r="T67" s="801"/>
      <c r="U67" s="801"/>
      <c r="V67" s="801"/>
      <c r="W67" s="801"/>
      <c r="X67" s="801"/>
      <c r="Y67" s="801"/>
      <c r="Z67" s="801"/>
      <c r="AA67" s="801"/>
      <c r="AB67" s="801"/>
      <c r="AC67" s="801"/>
      <c r="AD67" s="801"/>
      <c r="AE67" s="801"/>
      <c r="AF67" s="801"/>
      <c r="AG67" s="801"/>
      <c r="AH67" s="801"/>
      <c r="AI67" s="801"/>
      <c r="AJ67" s="801"/>
      <c r="AK67" s="801"/>
      <c r="AL67" s="801"/>
      <c r="AM67" s="801"/>
      <c r="AN67" s="801"/>
      <c r="AO67" s="801"/>
      <c r="AP67" s="801"/>
      <c r="AQ67" s="801"/>
      <c r="AR67" s="801"/>
      <c r="AS67" s="801"/>
      <c r="AT67" s="801"/>
      <c r="AU67" s="801"/>
      <c r="AV67" s="801"/>
      <c r="AW67" s="801"/>
      <c r="AX67" s="801"/>
      <c r="AY67" s="801"/>
      <c r="AZ67" s="801"/>
      <c r="BA67" s="801"/>
      <c r="BB67" s="801"/>
      <c r="BC67" s="801"/>
      <c r="BD67" s="801"/>
      <c r="BE67" s="801"/>
      <c r="BF67" s="801"/>
      <c r="BG67" s="801"/>
      <c r="BH67" s="801"/>
      <c r="BI67" s="801"/>
      <c r="BJ67" s="801"/>
      <c r="BK67" s="801"/>
      <c r="BL67" s="801"/>
      <c r="BM67" s="801"/>
      <c r="BN67" s="801"/>
      <c r="BO67" s="801"/>
      <c r="BP67" s="801"/>
      <c r="BQ67" s="801"/>
      <c r="BR67" s="801"/>
      <c r="BS67" s="801"/>
      <c r="BT67" s="801"/>
      <c r="BU67" s="801"/>
      <c r="BV67" s="801"/>
      <c r="BW67" s="801"/>
      <c r="BX67" s="801"/>
      <c r="BY67" s="801"/>
      <c r="BZ67" s="801"/>
      <c r="CA67" s="801"/>
      <c r="CB67" s="801"/>
      <c r="CC67" s="801"/>
      <c r="CD67" s="801"/>
      <c r="CE67" s="801"/>
      <c r="CF67" s="801"/>
      <c r="CG67" s="801"/>
      <c r="CH67" s="801"/>
      <c r="CI67" s="801"/>
      <c r="CJ67" s="801"/>
      <c r="CK67" s="801"/>
      <c r="CL67" s="801"/>
      <c r="CM67" s="801"/>
      <c r="CN67" s="801"/>
      <c r="CO67" s="801"/>
      <c r="CP67" s="801"/>
      <c r="CQ67" s="801"/>
      <c r="CR67" s="801"/>
      <c r="CS67" s="801"/>
      <c r="CT67" s="801"/>
      <c r="CU67" s="801"/>
      <c r="CV67" s="801"/>
      <c r="CW67" s="801"/>
      <c r="CX67" s="801"/>
      <c r="CY67" s="801"/>
    </row>
    <row r="68" spans="1:103" ht="17">
      <c r="A68" s="796" t="s">
        <v>154</v>
      </c>
      <c r="B68" s="797">
        <f t="shared" si="1"/>
        <v>0</v>
      </c>
      <c r="C68" s="798">
        <v>1</v>
      </c>
      <c r="D68" s="799"/>
      <c r="E68" s="801"/>
      <c r="F68" s="801"/>
      <c r="G68" s="801"/>
      <c r="H68" s="801"/>
      <c r="I68" s="801"/>
      <c r="J68" s="801"/>
      <c r="K68" s="801"/>
      <c r="L68" s="801"/>
      <c r="M68" s="801"/>
      <c r="N68" s="801"/>
      <c r="O68" s="801"/>
      <c r="P68" s="801"/>
      <c r="Q68" s="801"/>
      <c r="R68" s="801"/>
      <c r="S68" s="801"/>
      <c r="T68" s="801"/>
      <c r="U68" s="801"/>
      <c r="V68" s="801"/>
      <c r="W68" s="801"/>
      <c r="X68" s="801"/>
      <c r="Y68" s="801"/>
      <c r="Z68" s="801"/>
      <c r="AA68" s="801"/>
      <c r="AB68" s="801"/>
      <c r="AC68" s="801"/>
      <c r="AD68" s="801"/>
      <c r="AE68" s="801"/>
      <c r="AF68" s="801"/>
      <c r="AG68" s="801"/>
      <c r="AH68" s="801"/>
      <c r="AI68" s="801"/>
      <c r="AJ68" s="801"/>
      <c r="AK68" s="801"/>
      <c r="AL68" s="801"/>
      <c r="AM68" s="801"/>
      <c r="AN68" s="801"/>
      <c r="AO68" s="801"/>
      <c r="AP68" s="801"/>
      <c r="AQ68" s="801"/>
      <c r="AR68" s="801"/>
      <c r="AS68" s="801"/>
      <c r="AT68" s="801"/>
      <c r="AU68" s="801"/>
      <c r="AV68" s="801"/>
      <c r="AW68" s="801"/>
      <c r="AX68" s="801"/>
      <c r="AY68" s="801"/>
      <c r="AZ68" s="801"/>
      <c r="BA68" s="801"/>
      <c r="BB68" s="801"/>
      <c r="BC68" s="801"/>
      <c r="BD68" s="801"/>
      <c r="BE68" s="801"/>
      <c r="BF68" s="801"/>
      <c r="BG68" s="801"/>
      <c r="BH68" s="801"/>
      <c r="BI68" s="801"/>
      <c r="BJ68" s="801"/>
      <c r="BK68" s="801"/>
      <c r="BL68" s="801"/>
      <c r="BM68" s="801"/>
      <c r="BN68" s="801"/>
      <c r="BO68" s="801"/>
      <c r="BP68" s="801"/>
      <c r="BQ68" s="801"/>
      <c r="BR68" s="801"/>
      <c r="BS68" s="801"/>
      <c r="BT68" s="801"/>
      <c r="BU68" s="801"/>
      <c r="BV68" s="801"/>
      <c r="BW68" s="801"/>
      <c r="BX68" s="801"/>
      <c r="BY68" s="801"/>
      <c r="BZ68" s="801"/>
      <c r="CA68" s="801"/>
      <c r="CB68" s="801"/>
      <c r="CC68" s="801"/>
      <c r="CD68" s="801"/>
      <c r="CE68" s="801"/>
      <c r="CF68" s="801"/>
      <c r="CG68" s="801"/>
      <c r="CH68" s="801"/>
      <c r="CI68" s="801"/>
      <c r="CJ68" s="801"/>
      <c r="CK68" s="801"/>
      <c r="CL68" s="801"/>
      <c r="CM68" s="801"/>
      <c r="CN68" s="801"/>
      <c r="CO68" s="801"/>
      <c r="CP68" s="801"/>
      <c r="CQ68" s="801"/>
      <c r="CR68" s="801"/>
      <c r="CS68" s="801"/>
      <c r="CT68" s="801"/>
      <c r="CU68" s="801"/>
      <c r="CV68" s="801"/>
      <c r="CW68" s="801"/>
      <c r="CX68" s="801"/>
      <c r="CY68" s="801"/>
    </row>
    <row r="69" spans="1:103" ht="17">
      <c r="A69" s="796" t="s">
        <v>156</v>
      </c>
      <c r="B69" s="797">
        <f t="shared" si="1"/>
        <v>0</v>
      </c>
      <c r="C69" s="798"/>
      <c r="D69" s="799"/>
      <c r="E69" s="801"/>
      <c r="F69" s="801"/>
      <c r="G69" s="801"/>
      <c r="H69" s="801"/>
      <c r="I69" s="801"/>
      <c r="J69" s="801"/>
      <c r="K69" s="801"/>
      <c r="L69" s="801"/>
      <c r="M69" s="801"/>
      <c r="N69" s="801"/>
      <c r="O69" s="801"/>
      <c r="P69" s="801"/>
      <c r="Q69" s="801"/>
      <c r="R69" s="801"/>
      <c r="S69" s="801"/>
      <c r="T69" s="801"/>
      <c r="U69" s="801"/>
      <c r="V69" s="801"/>
      <c r="W69" s="801"/>
      <c r="X69" s="801"/>
      <c r="Y69" s="801"/>
      <c r="Z69" s="801"/>
      <c r="AA69" s="801"/>
      <c r="AB69" s="801"/>
      <c r="AC69" s="801"/>
      <c r="AD69" s="801"/>
      <c r="AE69" s="801"/>
      <c r="AF69" s="801"/>
      <c r="AG69" s="801"/>
      <c r="AH69" s="801"/>
      <c r="AI69" s="801"/>
      <c r="AJ69" s="801"/>
      <c r="AK69" s="801"/>
      <c r="AL69" s="801"/>
      <c r="AM69" s="801"/>
      <c r="AN69" s="801"/>
      <c r="AO69" s="801"/>
      <c r="AP69" s="801"/>
      <c r="AQ69" s="801"/>
      <c r="AR69" s="801"/>
      <c r="AS69" s="801"/>
      <c r="AT69" s="801"/>
      <c r="AU69" s="801"/>
      <c r="AV69" s="801"/>
      <c r="AW69" s="801"/>
      <c r="AX69" s="801"/>
      <c r="AY69" s="801"/>
      <c r="AZ69" s="801"/>
      <c r="BA69" s="801"/>
      <c r="BB69" s="801"/>
      <c r="BC69" s="801"/>
      <c r="BD69" s="801"/>
      <c r="BE69" s="801"/>
      <c r="BF69" s="801"/>
      <c r="BG69" s="801"/>
      <c r="BH69" s="801"/>
      <c r="BI69" s="801"/>
      <c r="BJ69" s="801"/>
      <c r="BK69" s="801"/>
      <c r="BL69" s="801"/>
      <c r="BM69" s="801"/>
      <c r="BN69" s="801"/>
      <c r="BO69" s="801"/>
      <c r="BP69" s="801"/>
      <c r="BQ69" s="801"/>
      <c r="BR69" s="801"/>
      <c r="BS69" s="801"/>
      <c r="BT69" s="801"/>
      <c r="BU69" s="801"/>
      <c r="BV69" s="801"/>
      <c r="BW69" s="801"/>
      <c r="BX69" s="801"/>
      <c r="BY69" s="801"/>
      <c r="BZ69" s="801"/>
      <c r="CA69" s="801"/>
      <c r="CB69" s="801"/>
      <c r="CC69" s="801"/>
      <c r="CD69" s="801"/>
      <c r="CE69" s="801"/>
      <c r="CF69" s="801"/>
      <c r="CG69" s="801"/>
      <c r="CH69" s="801"/>
      <c r="CI69" s="801"/>
      <c r="CJ69" s="801"/>
      <c r="CK69" s="801"/>
      <c r="CL69" s="801"/>
      <c r="CM69" s="801"/>
      <c r="CN69" s="801"/>
      <c r="CO69" s="801"/>
      <c r="CP69" s="801"/>
      <c r="CQ69" s="801"/>
      <c r="CR69" s="801"/>
      <c r="CS69" s="801"/>
      <c r="CT69" s="801"/>
      <c r="CU69" s="801"/>
      <c r="CV69" s="801"/>
      <c r="CW69" s="801"/>
      <c r="CX69" s="801"/>
      <c r="CY69" s="801"/>
    </row>
    <row r="70" spans="1:103" ht="17">
      <c r="A70" s="796" t="s">
        <v>156</v>
      </c>
      <c r="B70" s="797">
        <f t="shared" si="1"/>
        <v>0</v>
      </c>
      <c r="C70" s="798"/>
      <c r="D70" s="799"/>
      <c r="E70" s="801"/>
      <c r="F70" s="801"/>
      <c r="G70" s="801"/>
      <c r="H70" s="801"/>
      <c r="I70" s="801"/>
      <c r="J70" s="801"/>
      <c r="K70" s="801"/>
      <c r="L70" s="801"/>
      <c r="M70" s="801"/>
      <c r="N70" s="801"/>
      <c r="O70" s="801"/>
      <c r="P70" s="801"/>
      <c r="Q70" s="801"/>
      <c r="R70" s="801"/>
      <c r="S70" s="801"/>
      <c r="T70" s="801"/>
      <c r="U70" s="801"/>
      <c r="V70" s="801"/>
      <c r="W70" s="801"/>
      <c r="X70" s="801"/>
      <c r="Y70" s="801"/>
      <c r="Z70" s="801"/>
      <c r="AA70" s="801"/>
      <c r="AB70" s="801"/>
      <c r="AC70" s="801"/>
      <c r="AD70" s="801"/>
      <c r="AE70" s="801"/>
      <c r="AF70" s="801"/>
      <c r="AG70" s="801"/>
      <c r="AH70" s="801"/>
      <c r="AI70" s="801"/>
      <c r="AJ70" s="801"/>
      <c r="AK70" s="801"/>
      <c r="AL70" s="801"/>
      <c r="AM70" s="801"/>
      <c r="AN70" s="801"/>
      <c r="AO70" s="801"/>
      <c r="AP70" s="801"/>
      <c r="AQ70" s="801"/>
      <c r="AR70" s="801"/>
      <c r="AS70" s="801"/>
      <c r="AT70" s="801"/>
      <c r="AU70" s="801"/>
      <c r="AV70" s="801"/>
      <c r="AW70" s="801"/>
      <c r="AX70" s="801"/>
      <c r="AY70" s="801"/>
      <c r="AZ70" s="801"/>
      <c r="BA70" s="801"/>
      <c r="BB70" s="801"/>
      <c r="BC70" s="801"/>
      <c r="BD70" s="801"/>
      <c r="BE70" s="801"/>
      <c r="BF70" s="801"/>
      <c r="BG70" s="801"/>
      <c r="BH70" s="801"/>
      <c r="BI70" s="801"/>
      <c r="BJ70" s="801"/>
      <c r="BK70" s="801"/>
      <c r="BL70" s="801"/>
      <c r="BM70" s="801"/>
      <c r="BN70" s="801"/>
      <c r="BO70" s="801"/>
      <c r="BP70" s="801"/>
      <c r="BQ70" s="801"/>
      <c r="BR70" s="801"/>
      <c r="BS70" s="801"/>
      <c r="BT70" s="801"/>
      <c r="BU70" s="801"/>
      <c r="BV70" s="801"/>
      <c r="BW70" s="801"/>
      <c r="BX70" s="801"/>
      <c r="BY70" s="801"/>
      <c r="BZ70" s="801"/>
      <c r="CA70" s="801"/>
      <c r="CB70" s="801"/>
      <c r="CC70" s="801"/>
      <c r="CD70" s="801"/>
      <c r="CE70" s="801"/>
      <c r="CF70" s="801"/>
      <c r="CG70" s="801"/>
      <c r="CH70" s="801"/>
      <c r="CI70" s="801"/>
      <c r="CJ70" s="801"/>
      <c r="CK70" s="801"/>
      <c r="CL70" s="801"/>
      <c r="CM70" s="801"/>
      <c r="CN70" s="801"/>
      <c r="CO70" s="801"/>
      <c r="CP70" s="801"/>
      <c r="CQ70" s="801"/>
      <c r="CR70" s="801"/>
      <c r="CS70" s="801"/>
      <c r="CT70" s="801"/>
      <c r="CU70" s="801"/>
      <c r="CV70" s="801"/>
      <c r="CW70" s="801"/>
      <c r="CX70" s="801"/>
      <c r="CY70" s="801"/>
    </row>
    <row r="71" spans="1:103" ht="17">
      <c r="A71" s="796" t="s">
        <v>313</v>
      </c>
      <c r="B71" s="797">
        <f t="shared" si="1"/>
        <v>0</v>
      </c>
      <c r="C71" s="798"/>
      <c r="D71" s="799"/>
      <c r="E71" s="801"/>
      <c r="F71" s="801"/>
      <c r="G71" s="801"/>
      <c r="H71" s="801"/>
      <c r="I71" s="801"/>
      <c r="J71" s="801"/>
      <c r="K71" s="801"/>
      <c r="L71" s="801"/>
      <c r="M71" s="801"/>
      <c r="N71" s="801"/>
      <c r="O71" s="801"/>
      <c r="P71" s="801"/>
      <c r="Q71" s="801"/>
      <c r="R71" s="801"/>
      <c r="S71" s="801"/>
      <c r="T71" s="801"/>
      <c r="U71" s="801"/>
      <c r="V71" s="801"/>
      <c r="W71" s="801"/>
      <c r="X71" s="801"/>
      <c r="Y71" s="801"/>
      <c r="Z71" s="801"/>
      <c r="AA71" s="801"/>
      <c r="AB71" s="801"/>
      <c r="AC71" s="801"/>
      <c r="AD71" s="801"/>
      <c r="AE71" s="801"/>
      <c r="AF71" s="801"/>
      <c r="AG71" s="801"/>
      <c r="AH71" s="801"/>
      <c r="AI71" s="801"/>
      <c r="AJ71" s="801"/>
      <c r="AK71" s="801"/>
      <c r="AL71" s="801"/>
      <c r="AM71" s="801"/>
      <c r="AN71" s="801"/>
      <c r="AO71" s="801"/>
      <c r="AP71" s="801"/>
      <c r="AQ71" s="801"/>
      <c r="AR71" s="801"/>
      <c r="AS71" s="801"/>
      <c r="AT71" s="801"/>
      <c r="AU71" s="801"/>
      <c r="AV71" s="801"/>
      <c r="AW71" s="801"/>
      <c r="AX71" s="801"/>
      <c r="AY71" s="801"/>
      <c r="AZ71" s="801"/>
      <c r="BA71" s="801"/>
      <c r="BB71" s="801"/>
      <c r="BC71" s="801"/>
      <c r="BD71" s="801"/>
      <c r="BE71" s="801"/>
      <c r="BF71" s="801"/>
      <c r="BG71" s="801"/>
      <c r="BH71" s="801"/>
      <c r="BI71" s="801"/>
      <c r="BJ71" s="801"/>
      <c r="BK71" s="801"/>
      <c r="BL71" s="801"/>
      <c r="BM71" s="801"/>
      <c r="BN71" s="801"/>
      <c r="BO71" s="801"/>
      <c r="BP71" s="801"/>
      <c r="BQ71" s="801"/>
      <c r="BR71" s="801"/>
      <c r="BS71" s="801"/>
      <c r="BT71" s="801"/>
      <c r="BU71" s="801"/>
      <c r="BV71" s="801"/>
      <c r="BW71" s="801"/>
      <c r="BX71" s="801"/>
      <c r="BY71" s="801"/>
      <c r="BZ71" s="801"/>
      <c r="CA71" s="801"/>
      <c r="CB71" s="801"/>
      <c r="CC71" s="801"/>
      <c r="CD71" s="801"/>
      <c r="CE71" s="801"/>
      <c r="CF71" s="801"/>
      <c r="CG71" s="801"/>
      <c r="CH71" s="801"/>
      <c r="CI71" s="801"/>
      <c r="CJ71" s="801"/>
      <c r="CK71" s="801"/>
      <c r="CL71" s="801"/>
      <c r="CM71" s="801"/>
      <c r="CN71" s="801"/>
      <c r="CO71" s="801"/>
      <c r="CP71" s="801"/>
      <c r="CQ71" s="801"/>
      <c r="CR71" s="801"/>
      <c r="CS71" s="801"/>
      <c r="CT71" s="801"/>
      <c r="CU71" s="801"/>
      <c r="CV71" s="801"/>
      <c r="CW71" s="801"/>
      <c r="CX71" s="801"/>
      <c r="CY71" s="801"/>
    </row>
    <row r="72" spans="1:103" ht="17">
      <c r="A72" s="796" t="s">
        <v>317</v>
      </c>
      <c r="B72" s="797">
        <f t="shared" si="1"/>
        <v>0</v>
      </c>
      <c r="C72" s="798"/>
      <c r="D72" s="799"/>
      <c r="E72" s="801"/>
      <c r="F72" s="801"/>
      <c r="G72" s="801"/>
      <c r="H72" s="801"/>
      <c r="I72" s="801"/>
      <c r="J72" s="801"/>
      <c r="K72" s="801"/>
      <c r="L72" s="801"/>
      <c r="M72" s="801"/>
      <c r="N72" s="801"/>
      <c r="O72" s="801"/>
      <c r="P72" s="801"/>
      <c r="Q72" s="801"/>
      <c r="R72" s="801"/>
      <c r="S72" s="801"/>
      <c r="T72" s="801"/>
      <c r="U72" s="801"/>
      <c r="V72" s="801"/>
      <c r="W72" s="801"/>
      <c r="X72" s="801"/>
      <c r="Y72" s="801"/>
      <c r="Z72" s="801"/>
      <c r="AA72" s="801"/>
      <c r="AB72" s="801"/>
      <c r="AC72" s="801"/>
      <c r="AD72" s="801"/>
      <c r="AE72" s="801"/>
      <c r="AF72" s="801"/>
      <c r="AG72" s="801"/>
      <c r="AH72" s="801"/>
      <c r="AI72" s="801"/>
      <c r="AJ72" s="801"/>
      <c r="AK72" s="801"/>
      <c r="AL72" s="801"/>
      <c r="AM72" s="801"/>
      <c r="AN72" s="801"/>
      <c r="AO72" s="801"/>
      <c r="AP72" s="801"/>
      <c r="AQ72" s="801"/>
      <c r="AR72" s="801"/>
      <c r="AS72" s="801"/>
      <c r="AT72" s="801"/>
      <c r="AU72" s="801"/>
      <c r="AV72" s="801"/>
      <c r="AW72" s="801"/>
      <c r="AX72" s="801"/>
      <c r="AY72" s="801"/>
      <c r="AZ72" s="801"/>
      <c r="BA72" s="801"/>
      <c r="BB72" s="801"/>
      <c r="BC72" s="801"/>
      <c r="BD72" s="801"/>
      <c r="BE72" s="801"/>
      <c r="BF72" s="801"/>
      <c r="BG72" s="801"/>
      <c r="BH72" s="801"/>
      <c r="BI72" s="801"/>
      <c r="BJ72" s="801"/>
      <c r="BK72" s="801"/>
      <c r="BL72" s="801"/>
      <c r="BM72" s="801"/>
      <c r="BN72" s="801"/>
      <c r="BO72" s="801"/>
      <c r="BP72" s="801"/>
      <c r="BQ72" s="801"/>
      <c r="BR72" s="801"/>
      <c r="BS72" s="801"/>
      <c r="BT72" s="801"/>
      <c r="BU72" s="801"/>
      <c r="BV72" s="801"/>
      <c r="BW72" s="801"/>
      <c r="BX72" s="801"/>
      <c r="BY72" s="801"/>
      <c r="BZ72" s="801"/>
      <c r="CA72" s="801"/>
      <c r="CB72" s="801"/>
      <c r="CC72" s="801"/>
      <c r="CD72" s="801"/>
      <c r="CE72" s="801"/>
      <c r="CF72" s="801"/>
      <c r="CG72" s="801"/>
      <c r="CH72" s="801"/>
      <c r="CI72" s="801"/>
      <c r="CJ72" s="801"/>
      <c r="CK72" s="801"/>
      <c r="CL72" s="801"/>
      <c r="CM72" s="801"/>
      <c r="CN72" s="801"/>
      <c r="CO72" s="801"/>
      <c r="CP72" s="801"/>
      <c r="CQ72" s="801"/>
      <c r="CR72" s="801"/>
      <c r="CS72" s="801"/>
      <c r="CT72" s="801"/>
      <c r="CU72" s="801"/>
      <c r="CV72" s="801"/>
      <c r="CW72" s="801"/>
      <c r="CX72" s="801"/>
      <c r="CY72" s="801"/>
    </row>
    <row r="73" spans="1:103" ht="17">
      <c r="A73" s="796" t="s">
        <v>320</v>
      </c>
      <c r="B73" s="797">
        <f t="shared" si="1"/>
        <v>0</v>
      </c>
      <c r="C73" s="798"/>
      <c r="D73" s="799"/>
      <c r="E73" s="801"/>
      <c r="F73" s="801"/>
      <c r="G73" s="801"/>
      <c r="H73" s="801"/>
      <c r="I73" s="801"/>
      <c r="J73" s="801"/>
      <c r="K73" s="801"/>
      <c r="L73" s="801"/>
      <c r="M73" s="801"/>
      <c r="N73" s="801"/>
      <c r="O73" s="801"/>
      <c r="P73" s="801"/>
      <c r="Q73" s="801"/>
      <c r="R73" s="801"/>
      <c r="S73" s="801"/>
      <c r="T73" s="801"/>
      <c r="U73" s="801"/>
      <c r="V73" s="801"/>
      <c r="W73" s="801"/>
      <c r="X73" s="801"/>
      <c r="Y73" s="801"/>
      <c r="Z73" s="801"/>
      <c r="AA73" s="801"/>
      <c r="AB73" s="801"/>
      <c r="AC73" s="801"/>
      <c r="AD73" s="801"/>
      <c r="AE73" s="801"/>
      <c r="AF73" s="801"/>
      <c r="AG73" s="801"/>
      <c r="AH73" s="801"/>
      <c r="AI73" s="801"/>
      <c r="AJ73" s="801"/>
      <c r="AK73" s="801"/>
      <c r="AL73" s="801"/>
      <c r="AM73" s="801"/>
      <c r="AN73" s="801"/>
      <c r="AO73" s="801"/>
      <c r="AP73" s="801"/>
      <c r="AQ73" s="801"/>
      <c r="AR73" s="801"/>
      <c r="AS73" s="801"/>
      <c r="AT73" s="801"/>
      <c r="AU73" s="801"/>
      <c r="AV73" s="801"/>
      <c r="AW73" s="801"/>
      <c r="AX73" s="801"/>
      <c r="AY73" s="801"/>
      <c r="AZ73" s="801"/>
      <c r="BA73" s="801"/>
      <c r="BB73" s="801"/>
      <c r="BC73" s="801"/>
      <c r="BD73" s="801"/>
      <c r="BE73" s="801"/>
      <c r="BF73" s="801"/>
      <c r="BG73" s="801"/>
      <c r="BH73" s="801"/>
      <c r="BI73" s="801"/>
      <c r="BJ73" s="801"/>
      <c r="BK73" s="801"/>
      <c r="BL73" s="801"/>
      <c r="BM73" s="801"/>
      <c r="BN73" s="801"/>
      <c r="BO73" s="801"/>
      <c r="BP73" s="801"/>
      <c r="BQ73" s="801"/>
      <c r="BR73" s="801"/>
      <c r="BS73" s="801"/>
      <c r="BT73" s="801"/>
      <c r="BU73" s="801"/>
      <c r="BV73" s="801"/>
      <c r="BW73" s="801"/>
      <c r="BX73" s="801"/>
      <c r="BY73" s="801"/>
      <c r="BZ73" s="801"/>
      <c r="CA73" s="801"/>
      <c r="CB73" s="801"/>
      <c r="CC73" s="801"/>
      <c r="CD73" s="801"/>
      <c r="CE73" s="801"/>
      <c r="CF73" s="801"/>
      <c r="CG73" s="801"/>
      <c r="CH73" s="801"/>
      <c r="CI73" s="801"/>
      <c r="CJ73" s="801"/>
      <c r="CK73" s="801"/>
      <c r="CL73" s="801"/>
      <c r="CM73" s="801"/>
      <c r="CN73" s="801"/>
      <c r="CO73" s="801"/>
      <c r="CP73" s="801"/>
      <c r="CQ73" s="801"/>
      <c r="CR73" s="801"/>
      <c r="CS73" s="801"/>
      <c r="CT73" s="801"/>
      <c r="CU73" s="801"/>
      <c r="CV73" s="801"/>
      <c r="CW73" s="801"/>
      <c r="CX73" s="801"/>
      <c r="CY73" s="801"/>
    </row>
    <row r="74" spans="1:103" ht="17">
      <c r="A74" s="796" t="s">
        <v>314</v>
      </c>
      <c r="B74" s="797">
        <f t="shared" si="1"/>
        <v>0</v>
      </c>
      <c r="C74" s="798"/>
      <c r="D74" s="799"/>
      <c r="E74" s="801"/>
      <c r="F74" s="801"/>
      <c r="G74" s="801"/>
      <c r="H74" s="801"/>
      <c r="I74" s="801"/>
      <c r="J74" s="801"/>
      <c r="K74" s="801"/>
      <c r="L74" s="801"/>
      <c r="M74" s="801"/>
      <c r="N74" s="801"/>
      <c r="O74" s="801"/>
      <c r="P74" s="801"/>
      <c r="Q74" s="801"/>
      <c r="R74" s="801"/>
      <c r="S74" s="801"/>
      <c r="T74" s="801"/>
      <c r="U74" s="801"/>
      <c r="V74" s="801"/>
      <c r="W74" s="801"/>
      <c r="X74" s="801"/>
      <c r="Y74" s="801"/>
      <c r="Z74" s="801"/>
      <c r="AA74" s="801"/>
      <c r="AB74" s="801"/>
      <c r="AC74" s="801"/>
      <c r="AD74" s="801"/>
      <c r="AE74" s="801"/>
      <c r="AF74" s="801"/>
      <c r="AG74" s="801"/>
      <c r="AH74" s="801"/>
      <c r="AI74" s="801"/>
      <c r="AJ74" s="801"/>
      <c r="AK74" s="801"/>
      <c r="AL74" s="801"/>
      <c r="AM74" s="801"/>
      <c r="AN74" s="801"/>
      <c r="AO74" s="801"/>
      <c r="AP74" s="801"/>
      <c r="AQ74" s="801"/>
      <c r="AR74" s="801"/>
      <c r="AS74" s="801"/>
      <c r="AT74" s="801"/>
      <c r="AU74" s="801"/>
      <c r="AV74" s="801"/>
      <c r="AW74" s="801"/>
      <c r="AX74" s="801"/>
      <c r="AY74" s="801"/>
      <c r="AZ74" s="801"/>
      <c r="BA74" s="801"/>
      <c r="BB74" s="801"/>
      <c r="BC74" s="801"/>
      <c r="BD74" s="801"/>
      <c r="BE74" s="801"/>
      <c r="BF74" s="801"/>
      <c r="BG74" s="801"/>
      <c r="BH74" s="801"/>
      <c r="BI74" s="801"/>
      <c r="BJ74" s="801"/>
      <c r="BK74" s="801"/>
      <c r="BL74" s="801"/>
      <c r="BM74" s="801"/>
      <c r="BN74" s="801"/>
      <c r="BO74" s="801"/>
      <c r="BP74" s="801"/>
      <c r="BQ74" s="801"/>
      <c r="BR74" s="801"/>
      <c r="BS74" s="801"/>
      <c r="BT74" s="801"/>
      <c r="BU74" s="801"/>
      <c r="BV74" s="801"/>
      <c r="BW74" s="801"/>
      <c r="BX74" s="801"/>
      <c r="BY74" s="801"/>
      <c r="BZ74" s="801"/>
      <c r="CA74" s="801"/>
      <c r="CB74" s="801"/>
      <c r="CC74" s="801"/>
      <c r="CD74" s="801"/>
      <c r="CE74" s="801"/>
      <c r="CF74" s="801"/>
      <c r="CG74" s="801"/>
      <c r="CH74" s="801"/>
      <c r="CI74" s="801"/>
      <c r="CJ74" s="801"/>
      <c r="CK74" s="801"/>
      <c r="CL74" s="801"/>
      <c r="CM74" s="801"/>
      <c r="CN74" s="801"/>
      <c r="CO74" s="801"/>
      <c r="CP74" s="801"/>
      <c r="CQ74" s="801"/>
      <c r="CR74" s="801"/>
      <c r="CS74" s="801"/>
      <c r="CT74" s="801"/>
      <c r="CU74" s="801"/>
      <c r="CV74" s="801"/>
      <c r="CW74" s="801"/>
      <c r="CX74" s="801"/>
      <c r="CY74" s="801"/>
    </row>
    <row r="75" spans="1:103" ht="17">
      <c r="A75" s="796" t="s">
        <v>318</v>
      </c>
      <c r="B75" s="797">
        <f t="shared" si="1"/>
        <v>0</v>
      </c>
      <c r="C75" s="798"/>
      <c r="D75" s="799"/>
      <c r="E75" s="801"/>
      <c r="F75" s="801"/>
      <c r="G75" s="801"/>
      <c r="H75" s="801"/>
      <c r="I75" s="801"/>
      <c r="J75" s="801"/>
      <c r="K75" s="801"/>
      <c r="L75" s="801"/>
      <c r="M75" s="801"/>
      <c r="N75" s="801"/>
      <c r="O75" s="801"/>
      <c r="P75" s="801"/>
      <c r="Q75" s="801"/>
      <c r="R75" s="801"/>
      <c r="S75" s="801"/>
      <c r="T75" s="801"/>
      <c r="U75" s="801"/>
      <c r="V75" s="801"/>
      <c r="W75" s="801"/>
      <c r="X75" s="801"/>
      <c r="Y75" s="801"/>
      <c r="Z75" s="801"/>
      <c r="AA75" s="801"/>
      <c r="AB75" s="801"/>
      <c r="AC75" s="801"/>
      <c r="AD75" s="801"/>
      <c r="AE75" s="801"/>
      <c r="AF75" s="801"/>
      <c r="AG75" s="801"/>
      <c r="AH75" s="801"/>
      <c r="AI75" s="801"/>
      <c r="AJ75" s="801"/>
      <c r="AK75" s="801"/>
      <c r="AL75" s="801"/>
      <c r="AM75" s="801"/>
      <c r="AN75" s="801"/>
      <c r="AO75" s="801"/>
      <c r="AP75" s="801"/>
      <c r="AQ75" s="801"/>
      <c r="AR75" s="801"/>
      <c r="AS75" s="801"/>
      <c r="AT75" s="801"/>
      <c r="AU75" s="801"/>
      <c r="AV75" s="801"/>
      <c r="AW75" s="801"/>
      <c r="AX75" s="801"/>
      <c r="AY75" s="801"/>
      <c r="AZ75" s="801"/>
      <c r="BA75" s="801"/>
      <c r="BB75" s="801"/>
      <c r="BC75" s="801"/>
      <c r="BD75" s="801"/>
      <c r="BE75" s="801"/>
      <c r="BF75" s="801"/>
      <c r="BG75" s="801"/>
      <c r="BH75" s="801"/>
      <c r="BI75" s="801"/>
      <c r="BJ75" s="801"/>
      <c r="BK75" s="801"/>
      <c r="BL75" s="801"/>
      <c r="BM75" s="801"/>
      <c r="BN75" s="801"/>
      <c r="BO75" s="801"/>
      <c r="BP75" s="801"/>
      <c r="BQ75" s="801"/>
      <c r="BR75" s="801"/>
      <c r="BS75" s="801"/>
      <c r="BT75" s="801"/>
      <c r="BU75" s="801"/>
      <c r="BV75" s="801"/>
      <c r="BW75" s="801"/>
      <c r="BX75" s="801"/>
      <c r="BY75" s="801"/>
      <c r="BZ75" s="801"/>
      <c r="CA75" s="801"/>
      <c r="CB75" s="801"/>
      <c r="CC75" s="801"/>
      <c r="CD75" s="801"/>
      <c r="CE75" s="801"/>
      <c r="CF75" s="801"/>
      <c r="CG75" s="801"/>
      <c r="CH75" s="801"/>
      <c r="CI75" s="801"/>
      <c r="CJ75" s="801"/>
      <c r="CK75" s="801"/>
      <c r="CL75" s="801"/>
      <c r="CM75" s="801"/>
      <c r="CN75" s="801"/>
      <c r="CO75" s="801"/>
      <c r="CP75" s="801"/>
      <c r="CQ75" s="801"/>
      <c r="CR75" s="801"/>
      <c r="CS75" s="801"/>
      <c r="CT75" s="801"/>
      <c r="CU75" s="801"/>
      <c r="CV75" s="801"/>
      <c r="CW75" s="801"/>
      <c r="CX75" s="801"/>
      <c r="CY75" s="801"/>
    </row>
    <row r="76" spans="1:103" ht="17">
      <c r="A76" s="796" t="s">
        <v>316</v>
      </c>
      <c r="B76" s="797">
        <f t="shared" si="1"/>
        <v>0</v>
      </c>
      <c r="C76" s="798"/>
      <c r="D76" s="799"/>
      <c r="E76" s="801"/>
      <c r="F76" s="801"/>
      <c r="G76" s="801"/>
      <c r="H76" s="801"/>
      <c r="I76" s="801"/>
      <c r="J76" s="801"/>
      <c r="K76" s="801"/>
      <c r="L76" s="801"/>
      <c r="M76" s="801"/>
      <c r="N76" s="801"/>
      <c r="O76" s="801"/>
      <c r="P76" s="801"/>
      <c r="Q76" s="801"/>
      <c r="R76" s="801"/>
      <c r="S76" s="801"/>
      <c r="T76" s="801"/>
      <c r="U76" s="801"/>
      <c r="V76" s="801"/>
      <c r="W76" s="801"/>
      <c r="X76" s="801"/>
      <c r="Y76" s="801"/>
      <c r="Z76" s="801"/>
      <c r="AA76" s="801"/>
      <c r="AB76" s="801"/>
      <c r="AC76" s="801"/>
      <c r="AD76" s="801"/>
      <c r="AE76" s="801"/>
      <c r="AF76" s="801"/>
      <c r="AG76" s="801"/>
      <c r="AH76" s="801"/>
      <c r="AI76" s="801"/>
      <c r="AJ76" s="801"/>
      <c r="AK76" s="801"/>
      <c r="AL76" s="801"/>
      <c r="AM76" s="801"/>
      <c r="AN76" s="801"/>
      <c r="AO76" s="801"/>
      <c r="AP76" s="801"/>
      <c r="AQ76" s="801"/>
      <c r="AR76" s="801"/>
      <c r="AS76" s="801"/>
      <c r="AT76" s="801"/>
      <c r="AU76" s="801"/>
      <c r="AV76" s="801"/>
      <c r="AW76" s="801"/>
      <c r="AX76" s="801"/>
      <c r="AY76" s="801"/>
      <c r="AZ76" s="801"/>
      <c r="BA76" s="801"/>
      <c r="BB76" s="801"/>
      <c r="BC76" s="801"/>
      <c r="BD76" s="801"/>
      <c r="BE76" s="801"/>
      <c r="BF76" s="801"/>
      <c r="BG76" s="801"/>
      <c r="BH76" s="801"/>
      <c r="BI76" s="801"/>
      <c r="BJ76" s="801"/>
      <c r="BK76" s="801"/>
      <c r="BL76" s="801"/>
      <c r="BM76" s="801"/>
      <c r="BN76" s="801"/>
      <c r="BO76" s="801"/>
      <c r="BP76" s="801"/>
      <c r="BQ76" s="801"/>
      <c r="BR76" s="801"/>
      <c r="BS76" s="801"/>
      <c r="BT76" s="801"/>
      <c r="BU76" s="801"/>
      <c r="BV76" s="801"/>
      <c r="BW76" s="801"/>
      <c r="BX76" s="801"/>
      <c r="BY76" s="801"/>
      <c r="BZ76" s="801"/>
      <c r="CA76" s="801"/>
      <c r="CB76" s="801"/>
      <c r="CC76" s="801"/>
      <c r="CD76" s="801"/>
      <c r="CE76" s="801"/>
      <c r="CF76" s="801"/>
      <c r="CG76" s="801"/>
      <c r="CH76" s="801"/>
      <c r="CI76" s="801"/>
      <c r="CJ76" s="801"/>
      <c r="CK76" s="801"/>
      <c r="CL76" s="801"/>
      <c r="CM76" s="801"/>
      <c r="CN76" s="801"/>
      <c r="CO76" s="801"/>
      <c r="CP76" s="801"/>
      <c r="CQ76" s="801"/>
      <c r="CR76" s="801"/>
      <c r="CS76" s="801"/>
      <c r="CT76" s="801"/>
      <c r="CU76" s="801"/>
      <c r="CV76" s="801"/>
      <c r="CW76" s="801"/>
      <c r="CX76" s="801"/>
      <c r="CY76" s="801"/>
    </row>
    <row r="77" spans="1:103" ht="17">
      <c r="A77" s="796" t="s">
        <v>315</v>
      </c>
      <c r="B77" s="797">
        <f t="shared" si="1"/>
        <v>0</v>
      </c>
      <c r="C77" s="798"/>
      <c r="D77" s="799"/>
      <c r="E77" s="801"/>
      <c r="F77" s="801"/>
      <c r="G77" s="801"/>
      <c r="H77" s="801"/>
      <c r="I77" s="801"/>
      <c r="J77" s="801"/>
      <c r="K77" s="801"/>
      <c r="L77" s="801"/>
      <c r="M77" s="801"/>
      <c r="N77" s="801"/>
      <c r="O77" s="801"/>
      <c r="P77" s="801"/>
      <c r="Q77" s="801"/>
      <c r="R77" s="801"/>
      <c r="S77" s="801"/>
      <c r="T77" s="801"/>
      <c r="U77" s="801"/>
      <c r="V77" s="801"/>
      <c r="W77" s="801"/>
      <c r="X77" s="801"/>
      <c r="Y77" s="801"/>
      <c r="Z77" s="801"/>
      <c r="AA77" s="801"/>
      <c r="AB77" s="801"/>
      <c r="AC77" s="801"/>
      <c r="AD77" s="801"/>
      <c r="AE77" s="801"/>
      <c r="AF77" s="801"/>
      <c r="AG77" s="801"/>
      <c r="AH77" s="801"/>
      <c r="AI77" s="801"/>
      <c r="AJ77" s="801"/>
      <c r="AK77" s="801"/>
      <c r="AL77" s="801"/>
      <c r="AM77" s="801"/>
      <c r="AN77" s="801"/>
      <c r="AO77" s="801"/>
      <c r="AP77" s="801"/>
      <c r="AQ77" s="801"/>
      <c r="AR77" s="801"/>
      <c r="AS77" s="801"/>
      <c r="AT77" s="801"/>
      <c r="AU77" s="801"/>
      <c r="AV77" s="801"/>
      <c r="AW77" s="801"/>
      <c r="AX77" s="801"/>
      <c r="AY77" s="801"/>
      <c r="AZ77" s="801"/>
      <c r="BA77" s="801"/>
      <c r="BB77" s="801"/>
      <c r="BC77" s="801"/>
      <c r="BD77" s="801"/>
      <c r="BE77" s="801"/>
      <c r="BF77" s="801"/>
      <c r="BG77" s="801"/>
      <c r="BH77" s="801"/>
      <c r="BI77" s="801"/>
      <c r="BJ77" s="801"/>
      <c r="BK77" s="801"/>
      <c r="BL77" s="801"/>
      <c r="BM77" s="801"/>
      <c r="BN77" s="801"/>
      <c r="BO77" s="801"/>
      <c r="BP77" s="801"/>
      <c r="BQ77" s="801"/>
      <c r="BR77" s="801"/>
      <c r="BS77" s="801"/>
      <c r="BT77" s="801"/>
      <c r="BU77" s="801"/>
      <c r="BV77" s="801"/>
      <c r="BW77" s="801"/>
      <c r="BX77" s="801"/>
      <c r="BY77" s="801"/>
      <c r="BZ77" s="801"/>
      <c r="CA77" s="801"/>
      <c r="CB77" s="801"/>
      <c r="CC77" s="801"/>
      <c r="CD77" s="801"/>
      <c r="CE77" s="801"/>
      <c r="CF77" s="801"/>
      <c r="CG77" s="801"/>
      <c r="CH77" s="801"/>
      <c r="CI77" s="801"/>
      <c r="CJ77" s="801"/>
      <c r="CK77" s="801"/>
      <c r="CL77" s="801"/>
      <c r="CM77" s="801"/>
      <c r="CN77" s="801"/>
      <c r="CO77" s="801"/>
      <c r="CP77" s="801"/>
      <c r="CQ77" s="801"/>
      <c r="CR77" s="801"/>
      <c r="CS77" s="801"/>
      <c r="CT77" s="801"/>
      <c r="CU77" s="801"/>
      <c r="CV77" s="801"/>
      <c r="CW77" s="801"/>
      <c r="CX77" s="801"/>
      <c r="CY77" s="801"/>
    </row>
    <row r="78" spans="1:103" ht="17">
      <c r="A78" s="796" t="s">
        <v>319</v>
      </c>
      <c r="B78" s="797">
        <f t="shared" si="1"/>
        <v>0</v>
      </c>
      <c r="C78" s="798"/>
      <c r="D78" s="799"/>
      <c r="E78" s="801"/>
      <c r="F78" s="801"/>
      <c r="G78" s="801"/>
      <c r="H78" s="801"/>
      <c r="I78" s="801"/>
      <c r="J78" s="801"/>
      <c r="K78" s="801"/>
      <c r="L78" s="801"/>
      <c r="M78" s="801"/>
      <c r="N78" s="801"/>
      <c r="O78" s="801"/>
      <c r="P78" s="801"/>
      <c r="Q78" s="801"/>
      <c r="R78" s="801"/>
      <c r="S78" s="801"/>
      <c r="T78" s="801"/>
      <c r="U78" s="801"/>
      <c r="V78" s="801"/>
      <c r="W78" s="801"/>
      <c r="X78" s="801"/>
      <c r="Y78" s="801"/>
      <c r="Z78" s="801"/>
      <c r="AA78" s="801"/>
      <c r="AB78" s="801"/>
      <c r="AC78" s="801"/>
      <c r="AD78" s="801"/>
      <c r="AE78" s="801"/>
      <c r="AF78" s="801"/>
      <c r="AG78" s="801"/>
      <c r="AH78" s="801"/>
      <c r="AI78" s="801"/>
      <c r="AJ78" s="801"/>
      <c r="AK78" s="801"/>
      <c r="AL78" s="801"/>
      <c r="AM78" s="801"/>
      <c r="AN78" s="801"/>
      <c r="AO78" s="801"/>
      <c r="AP78" s="801"/>
      <c r="AQ78" s="801"/>
      <c r="AR78" s="801"/>
      <c r="AS78" s="801"/>
      <c r="AT78" s="801"/>
      <c r="AU78" s="801"/>
      <c r="AV78" s="801"/>
      <c r="AW78" s="801"/>
      <c r="AX78" s="801"/>
      <c r="AY78" s="801"/>
      <c r="AZ78" s="801"/>
      <c r="BA78" s="801"/>
      <c r="BB78" s="801"/>
      <c r="BC78" s="801"/>
      <c r="BD78" s="801"/>
      <c r="BE78" s="801"/>
      <c r="BF78" s="801"/>
      <c r="BG78" s="801"/>
      <c r="BH78" s="801"/>
      <c r="BI78" s="801"/>
      <c r="BJ78" s="801"/>
      <c r="BK78" s="801"/>
      <c r="BL78" s="801"/>
      <c r="BM78" s="801"/>
      <c r="BN78" s="801"/>
      <c r="BO78" s="801"/>
      <c r="BP78" s="801"/>
      <c r="BQ78" s="801"/>
      <c r="BR78" s="801"/>
      <c r="BS78" s="801"/>
      <c r="BT78" s="801"/>
      <c r="BU78" s="801"/>
      <c r="BV78" s="801"/>
      <c r="BW78" s="801"/>
      <c r="BX78" s="801"/>
      <c r="BY78" s="801"/>
      <c r="BZ78" s="801"/>
      <c r="CA78" s="801"/>
      <c r="CB78" s="801"/>
      <c r="CC78" s="801"/>
      <c r="CD78" s="801"/>
      <c r="CE78" s="801"/>
      <c r="CF78" s="801"/>
      <c r="CG78" s="801"/>
      <c r="CH78" s="801"/>
      <c r="CI78" s="801"/>
      <c r="CJ78" s="801"/>
      <c r="CK78" s="801"/>
      <c r="CL78" s="801"/>
      <c r="CM78" s="801"/>
      <c r="CN78" s="801"/>
      <c r="CO78" s="801"/>
      <c r="CP78" s="801"/>
      <c r="CQ78" s="801"/>
      <c r="CR78" s="801"/>
      <c r="CS78" s="801"/>
      <c r="CT78" s="801"/>
      <c r="CU78" s="801"/>
      <c r="CV78" s="801"/>
      <c r="CW78" s="801"/>
      <c r="CX78" s="801"/>
      <c r="CY78" s="801"/>
    </row>
    <row r="79" spans="1:103" ht="16.25" customHeight="1">
      <c r="A79" s="796" t="s">
        <v>393</v>
      </c>
      <c r="B79" s="797">
        <f t="shared" si="1"/>
        <v>0</v>
      </c>
      <c r="C79" s="798"/>
      <c r="D79" s="799"/>
      <c r="E79" s="801"/>
      <c r="F79" s="801"/>
      <c r="G79" s="801"/>
      <c r="H79" s="801"/>
      <c r="I79" s="801"/>
      <c r="J79" s="801"/>
      <c r="K79" s="801"/>
      <c r="L79" s="801"/>
      <c r="M79" s="801"/>
      <c r="N79" s="801"/>
      <c r="O79" s="801"/>
      <c r="P79" s="801"/>
      <c r="Q79" s="801"/>
      <c r="R79" s="801"/>
      <c r="S79" s="801"/>
      <c r="T79" s="801"/>
      <c r="U79" s="801"/>
      <c r="V79" s="801"/>
      <c r="W79" s="801"/>
      <c r="X79" s="801"/>
      <c r="Y79" s="801"/>
      <c r="Z79" s="801"/>
      <c r="AA79" s="801"/>
      <c r="AB79" s="801"/>
      <c r="AC79" s="801"/>
      <c r="AD79" s="801"/>
      <c r="AE79" s="801"/>
      <c r="AF79" s="801"/>
      <c r="AG79" s="801"/>
      <c r="AH79" s="801"/>
      <c r="AI79" s="801"/>
      <c r="AJ79" s="801"/>
      <c r="AK79" s="801"/>
      <c r="AL79" s="801"/>
      <c r="AM79" s="801"/>
      <c r="AN79" s="801"/>
      <c r="AO79" s="801"/>
      <c r="AP79" s="801"/>
      <c r="AQ79" s="801"/>
      <c r="AR79" s="801"/>
      <c r="AS79" s="801"/>
      <c r="AT79" s="801"/>
      <c r="AU79" s="801"/>
      <c r="AV79" s="801"/>
      <c r="AW79" s="801"/>
      <c r="AX79" s="801"/>
      <c r="AY79" s="801"/>
      <c r="AZ79" s="801"/>
      <c r="BA79" s="801"/>
      <c r="BB79" s="801"/>
      <c r="BC79" s="801"/>
      <c r="BD79" s="801"/>
      <c r="BE79" s="801"/>
      <c r="BF79" s="801"/>
      <c r="BG79" s="801"/>
      <c r="BH79" s="801"/>
      <c r="BI79" s="801"/>
      <c r="BJ79" s="801"/>
      <c r="BK79" s="801"/>
      <c r="BL79" s="801"/>
      <c r="BM79" s="801"/>
      <c r="BN79" s="801"/>
      <c r="BO79" s="801"/>
      <c r="BP79" s="801"/>
      <c r="BQ79" s="801"/>
      <c r="BR79" s="801"/>
      <c r="BS79" s="801"/>
      <c r="BT79" s="801"/>
      <c r="BU79" s="801"/>
      <c r="BV79" s="801"/>
      <c r="BW79" s="801"/>
      <c r="BX79" s="801"/>
      <c r="BY79" s="801"/>
      <c r="BZ79" s="801"/>
      <c r="CA79" s="801"/>
      <c r="CB79" s="801"/>
      <c r="CC79" s="801"/>
      <c r="CD79" s="801"/>
      <c r="CE79" s="801"/>
      <c r="CF79" s="801"/>
      <c r="CG79" s="801"/>
      <c r="CH79" s="801"/>
      <c r="CI79" s="801"/>
      <c r="CJ79" s="801"/>
      <c r="CK79" s="801"/>
      <c r="CL79" s="801"/>
      <c r="CM79" s="801"/>
      <c r="CN79" s="801"/>
      <c r="CO79" s="801"/>
      <c r="CP79" s="801"/>
      <c r="CQ79" s="801"/>
      <c r="CR79" s="801"/>
      <c r="CS79" s="801"/>
      <c r="CT79" s="801"/>
      <c r="CU79" s="801"/>
      <c r="CV79" s="801"/>
      <c r="CW79" s="801"/>
      <c r="CX79" s="801"/>
      <c r="CY79" s="801"/>
    </row>
    <row r="80" spans="1:103" ht="16.25" customHeight="1">
      <c r="A80" s="796" t="s">
        <v>367</v>
      </c>
      <c r="B80" s="797">
        <f t="shared" si="1"/>
        <v>0</v>
      </c>
      <c r="C80" s="798"/>
      <c r="D80" s="799"/>
      <c r="E80" s="801"/>
      <c r="F80" s="801"/>
      <c r="G80" s="801"/>
      <c r="H80" s="801"/>
      <c r="I80" s="801"/>
      <c r="J80" s="801"/>
      <c r="K80" s="801"/>
      <c r="L80" s="801"/>
      <c r="M80" s="801"/>
      <c r="N80" s="801"/>
      <c r="O80" s="801"/>
      <c r="P80" s="801"/>
      <c r="Q80" s="801"/>
      <c r="R80" s="801"/>
      <c r="S80" s="801"/>
      <c r="T80" s="801"/>
      <c r="U80" s="801"/>
      <c r="V80" s="801"/>
      <c r="W80" s="801"/>
      <c r="X80" s="801"/>
      <c r="Y80" s="801"/>
      <c r="Z80" s="801"/>
      <c r="AA80" s="801"/>
      <c r="AB80" s="801"/>
      <c r="AC80" s="801"/>
      <c r="AD80" s="801"/>
      <c r="AE80" s="801"/>
      <c r="AF80" s="801"/>
      <c r="AG80" s="801"/>
      <c r="AH80" s="801"/>
      <c r="AI80" s="801"/>
      <c r="AJ80" s="801"/>
      <c r="AK80" s="801"/>
      <c r="AL80" s="801"/>
      <c r="AM80" s="801"/>
      <c r="AN80" s="801"/>
      <c r="AO80" s="801"/>
      <c r="AP80" s="801"/>
      <c r="AQ80" s="801"/>
      <c r="AR80" s="801"/>
      <c r="AS80" s="801"/>
      <c r="AT80" s="801"/>
      <c r="AU80" s="801"/>
      <c r="AV80" s="801"/>
      <c r="AW80" s="801"/>
      <c r="AX80" s="801"/>
      <c r="AY80" s="801"/>
      <c r="AZ80" s="801"/>
      <c r="BA80" s="801"/>
      <c r="BB80" s="801"/>
      <c r="BC80" s="801"/>
      <c r="BD80" s="801"/>
      <c r="BE80" s="801"/>
      <c r="BF80" s="801"/>
      <c r="BG80" s="801"/>
      <c r="BH80" s="801"/>
      <c r="BI80" s="801"/>
      <c r="BJ80" s="801"/>
      <c r="BK80" s="801"/>
      <c r="BL80" s="801"/>
      <c r="BM80" s="801"/>
      <c r="BN80" s="801"/>
      <c r="BO80" s="801"/>
      <c r="BP80" s="801"/>
      <c r="BQ80" s="801"/>
      <c r="BR80" s="801"/>
      <c r="BS80" s="801"/>
      <c r="BT80" s="801"/>
      <c r="BU80" s="801"/>
      <c r="BV80" s="801"/>
      <c r="BW80" s="801"/>
      <c r="BX80" s="801"/>
      <c r="BY80" s="801"/>
      <c r="BZ80" s="801"/>
      <c r="CA80" s="801"/>
      <c r="CB80" s="801"/>
      <c r="CC80" s="801"/>
      <c r="CD80" s="801"/>
      <c r="CE80" s="801"/>
      <c r="CF80" s="801"/>
      <c r="CG80" s="801"/>
      <c r="CH80" s="801"/>
      <c r="CI80" s="801"/>
      <c r="CJ80" s="801"/>
      <c r="CK80" s="801"/>
      <c r="CL80" s="801"/>
      <c r="CM80" s="801"/>
      <c r="CN80" s="801"/>
      <c r="CO80" s="801"/>
      <c r="CP80" s="801"/>
      <c r="CQ80" s="801"/>
      <c r="CR80" s="801"/>
      <c r="CS80" s="801"/>
      <c r="CT80" s="801"/>
      <c r="CU80" s="801"/>
      <c r="CV80" s="801"/>
      <c r="CW80" s="801"/>
      <c r="CX80" s="801"/>
      <c r="CY80" s="801"/>
    </row>
    <row r="81" spans="1:103" ht="16.25" customHeight="1">
      <c r="A81" s="796"/>
      <c r="B81" s="797">
        <f t="shared" si="1"/>
        <v>0</v>
      </c>
      <c r="C81" s="798"/>
      <c r="D81" s="799"/>
      <c r="E81" s="801"/>
      <c r="F81" s="801"/>
      <c r="G81" s="801"/>
      <c r="H81" s="801"/>
      <c r="I81" s="801"/>
      <c r="J81" s="801"/>
      <c r="K81" s="801"/>
      <c r="L81" s="801"/>
      <c r="M81" s="801"/>
      <c r="N81" s="801"/>
      <c r="O81" s="801"/>
      <c r="P81" s="801"/>
      <c r="Q81" s="801"/>
      <c r="R81" s="801"/>
      <c r="S81" s="801"/>
      <c r="T81" s="801"/>
      <c r="U81" s="801"/>
      <c r="V81" s="801"/>
      <c r="W81" s="801"/>
      <c r="X81" s="801"/>
      <c r="Y81" s="801"/>
      <c r="Z81" s="801"/>
      <c r="AA81" s="801"/>
      <c r="AB81" s="801"/>
      <c r="AC81" s="801"/>
      <c r="AD81" s="801"/>
      <c r="AE81" s="801"/>
      <c r="AF81" s="801"/>
      <c r="AG81" s="801"/>
      <c r="AH81" s="801"/>
      <c r="AI81" s="801"/>
      <c r="AJ81" s="801"/>
      <c r="AK81" s="801"/>
      <c r="AL81" s="801"/>
      <c r="AM81" s="801"/>
      <c r="AN81" s="801"/>
      <c r="AO81" s="801"/>
      <c r="AP81" s="801"/>
      <c r="AQ81" s="801"/>
      <c r="AR81" s="801"/>
      <c r="AS81" s="801"/>
      <c r="AT81" s="801"/>
      <c r="AU81" s="801"/>
      <c r="AV81" s="801"/>
      <c r="AW81" s="801"/>
      <c r="AX81" s="801"/>
      <c r="AY81" s="801"/>
      <c r="AZ81" s="801"/>
      <c r="BA81" s="801"/>
      <c r="BB81" s="801"/>
      <c r="BC81" s="801"/>
      <c r="BD81" s="801"/>
      <c r="BE81" s="801"/>
      <c r="BF81" s="801"/>
      <c r="BG81" s="801"/>
      <c r="BH81" s="801"/>
      <c r="BI81" s="801"/>
      <c r="BJ81" s="801"/>
      <c r="BK81" s="801"/>
      <c r="BL81" s="801"/>
      <c r="BM81" s="801"/>
      <c r="BN81" s="801"/>
      <c r="BO81" s="801"/>
      <c r="BP81" s="801"/>
      <c r="BQ81" s="801"/>
      <c r="BR81" s="801"/>
      <c r="BS81" s="801"/>
      <c r="BT81" s="801"/>
      <c r="BU81" s="801"/>
      <c r="BV81" s="801"/>
      <c r="BW81" s="801"/>
      <c r="BX81" s="801"/>
      <c r="BY81" s="801"/>
      <c r="BZ81" s="801"/>
      <c r="CA81" s="801"/>
      <c r="CB81" s="801"/>
      <c r="CC81" s="801"/>
      <c r="CD81" s="801"/>
      <c r="CE81" s="801"/>
      <c r="CF81" s="801"/>
      <c r="CG81" s="801"/>
      <c r="CH81" s="801"/>
      <c r="CI81" s="801"/>
      <c r="CJ81" s="801"/>
      <c r="CK81" s="801"/>
      <c r="CL81" s="801"/>
      <c r="CM81" s="801"/>
      <c r="CN81" s="801"/>
      <c r="CO81" s="801"/>
      <c r="CP81" s="801"/>
      <c r="CQ81" s="801"/>
      <c r="CR81" s="801"/>
      <c r="CS81" s="801"/>
      <c r="CT81" s="801"/>
      <c r="CU81" s="801"/>
      <c r="CV81" s="801"/>
      <c r="CW81" s="801"/>
      <c r="CX81" s="801"/>
      <c r="CY81" s="801"/>
    </row>
    <row r="82" spans="1:103" ht="16.25" customHeight="1">
      <c r="A82" s="796"/>
      <c r="B82" s="797">
        <f t="shared" si="1"/>
        <v>0</v>
      </c>
      <c r="C82" s="798"/>
      <c r="D82" s="799"/>
      <c r="E82" s="801"/>
      <c r="F82" s="801"/>
      <c r="G82" s="801"/>
      <c r="H82" s="801"/>
      <c r="I82" s="801"/>
      <c r="J82" s="801"/>
      <c r="K82" s="801"/>
      <c r="L82" s="801"/>
      <c r="M82" s="801"/>
      <c r="N82" s="801"/>
      <c r="O82" s="801"/>
      <c r="P82" s="801"/>
      <c r="Q82" s="801"/>
      <c r="R82" s="801"/>
      <c r="S82" s="801"/>
      <c r="T82" s="801"/>
      <c r="U82" s="801"/>
      <c r="V82" s="801"/>
      <c r="W82" s="801"/>
      <c r="X82" s="801"/>
      <c r="Y82" s="801"/>
      <c r="Z82" s="801"/>
      <c r="AA82" s="801"/>
      <c r="AB82" s="801"/>
      <c r="AC82" s="801"/>
      <c r="AD82" s="801"/>
      <c r="AE82" s="801"/>
      <c r="AF82" s="801"/>
      <c r="AG82" s="801"/>
      <c r="AH82" s="801"/>
      <c r="AI82" s="801"/>
      <c r="AJ82" s="801"/>
      <c r="AK82" s="801"/>
      <c r="AL82" s="801"/>
      <c r="AM82" s="801"/>
      <c r="AN82" s="801"/>
      <c r="AO82" s="801"/>
      <c r="AP82" s="801"/>
      <c r="AQ82" s="801"/>
      <c r="AR82" s="801"/>
      <c r="AS82" s="801"/>
      <c r="AT82" s="801"/>
      <c r="AU82" s="801"/>
      <c r="AV82" s="801"/>
      <c r="AW82" s="801"/>
      <c r="AX82" s="801"/>
      <c r="AY82" s="801"/>
      <c r="AZ82" s="801"/>
      <c r="BA82" s="801"/>
      <c r="BB82" s="801"/>
      <c r="BC82" s="801"/>
      <c r="BD82" s="801"/>
      <c r="BE82" s="801"/>
      <c r="BF82" s="801"/>
      <c r="BG82" s="801"/>
      <c r="BH82" s="801"/>
      <c r="BI82" s="801"/>
      <c r="BJ82" s="801"/>
      <c r="BK82" s="801"/>
      <c r="BL82" s="801"/>
      <c r="BM82" s="801"/>
      <c r="BN82" s="801"/>
      <c r="BO82" s="801"/>
      <c r="BP82" s="801"/>
      <c r="BQ82" s="801"/>
      <c r="BR82" s="801"/>
      <c r="BS82" s="801"/>
      <c r="BT82" s="801"/>
      <c r="BU82" s="801"/>
      <c r="BV82" s="801"/>
      <c r="BW82" s="801"/>
      <c r="BX82" s="801"/>
      <c r="BY82" s="801"/>
      <c r="BZ82" s="801"/>
      <c r="CA82" s="801"/>
      <c r="CB82" s="801"/>
      <c r="CC82" s="801"/>
      <c r="CD82" s="801"/>
      <c r="CE82" s="801"/>
      <c r="CF82" s="801"/>
      <c r="CG82" s="801"/>
      <c r="CH82" s="801"/>
      <c r="CI82" s="801"/>
      <c r="CJ82" s="801"/>
      <c r="CK82" s="801"/>
      <c r="CL82" s="801"/>
      <c r="CM82" s="801"/>
      <c r="CN82" s="801"/>
      <c r="CO82" s="801"/>
      <c r="CP82" s="801"/>
      <c r="CQ82" s="801"/>
      <c r="CR82" s="801"/>
      <c r="CS82" s="801"/>
      <c r="CT82" s="801"/>
      <c r="CU82" s="801"/>
      <c r="CV82" s="801"/>
      <c r="CW82" s="801"/>
      <c r="CX82" s="801"/>
      <c r="CY82" s="801"/>
    </row>
    <row r="83" spans="1:103" ht="16.25" customHeight="1">
      <c r="A83" s="796"/>
      <c r="B83" s="797">
        <f t="shared" si="1"/>
        <v>0</v>
      </c>
      <c r="C83" s="798"/>
      <c r="D83" s="799"/>
      <c r="E83" s="801"/>
      <c r="F83" s="801"/>
      <c r="G83" s="801"/>
      <c r="H83" s="801"/>
      <c r="I83" s="801"/>
      <c r="J83" s="801"/>
      <c r="K83" s="801"/>
      <c r="L83" s="801"/>
      <c r="M83" s="801"/>
      <c r="N83" s="801"/>
      <c r="O83" s="801"/>
      <c r="P83" s="801"/>
      <c r="Q83" s="801"/>
      <c r="R83" s="801"/>
      <c r="S83" s="801"/>
      <c r="T83" s="801"/>
      <c r="U83" s="801"/>
      <c r="V83" s="801"/>
      <c r="W83" s="801"/>
      <c r="X83" s="801"/>
      <c r="Y83" s="801"/>
      <c r="Z83" s="801"/>
      <c r="AA83" s="801"/>
      <c r="AB83" s="801"/>
      <c r="AC83" s="801"/>
      <c r="AD83" s="801"/>
      <c r="AE83" s="801"/>
      <c r="AF83" s="801"/>
      <c r="AG83" s="801"/>
      <c r="AH83" s="801"/>
      <c r="AI83" s="801"/>
      <c r="AJ83" s="801"/>
      <c r="AK83" s="801"/>
      <c r="AL83" s="801"/>
      <c r="AM83" s="801"/>
      <c r="AN83" s="801"/>
      <c r="AO83" s="801"/>
      <c r="AP83" s="801"/>
      <c r="AQ83" s="801"/>
      <c r="AR83" s="801"/>
      <c r="AS83" s="801"/>
      <c r="AT83" s="801"/>
      <c r="AU83" s="801"/>
      <c r="AV83" s="801"/>
      <c r="AW83" s="801"/>
      <c r="AX83" s="801"/>
      <c r="AY83" s="801"/>
      <c r="AZ83" s="801"/>
      <c r="BA83" s="801"/>
      <c r="BB83" s="801"/>
      <c r="BC83" s="801"/>
      <c r="BD83" s="801"/>
      <c r="BE83" s="801"/>
      <c r="BF83" s="801"/>
      <c r="BG83" s="801"/>
      <c r="BH83" s="801"/>
      <c r="BI83" s="801"/>
      <c r="BJ83" s="801"/>
      <c r="BK83" s="801"/>
      <c r="BL83" s="801"/>
      <c r="BM83" s="801"/>
      <c r="BN83" s="801"/>
      <c r="BO83" s="801"/>
      <c r="BP83" s="801"/>
      <c r="BQ83" s="801"/>
      <c r="BR83" s="801"/>
      <c r="BS83" s="801"/>
      <c r="BT83" s="801"/>
      <c r="BU83" s="801"/>
      <c r="BV83" s="801"/>
      <c r="BW83" s="801"/>
      <c r="BX83" s="801"/>
      <c r="BY83" s="801"/>
      <c r="BZ83" s="801"/>
      <c r="CA83" s="801"/>
      <c r="CB83" s="801"/>
      <c r="CC83" s="801"/>
      <c r="CD83" s="801"/>
      <c r="CE83" s="801"/>
      <c r="CF83" s="801"/>
      <c r="CG83" s="801"/>
      <c r="CH83" s="801"/>
      <c r="CI83" s="801"/>
      <c r="CJ83" s="801"/>
      <c r="CK83" s="801"/>
      <c r="CL83" s="801"/>
      <c r="CM83" s="801"/>
      <c r="CN83" s="801"/>
      <c r="CO83" s="801"/>
      <c r="CP83" s="801"/>
      <c r="CQ83" s="801"/>
      <c r="CR83" s="801"/>
      <c r="CS83" s="801"/>
      <c r="CT83" s="801"/>
      <c r="CU83" s="801"/>
      <c r="CV83" s="801"/>
      <c r="CW83" s="801"/>
      <c r="CX83" s="801"/>
      <c r="CY83" s="801"/>
    </row>
    <row r="84" spans="1:103" ht="16.25" customHeight="1">
      <c r="A84" s="796"/>
      <c r="B84" s="797">
        <f t="shared" si="1"/>
        <v>0</v>
      </c>
      <c r="C84" s="798"/>
      <c r="D84" s="799"/>
      <c r="E84" s="801"/>
      <c r="F84" s="801"/>
      <c r="G84" s="801"/>
      <c r="H84" s="801"/>
      <c r="I84" s="801"/>
      <c r="J84" s="801"/>
      <c r="K84" s="801"/>
      <c r="L84" s="801"/>
      <c r="M84" s="801"/>
      <c r="N84" s="801"/>
      <c r="O84" s="801"/>
      <c r="P84" s="801"/>
      <c r="Q84" s="801"/>
      <c r="R84" s="801"/>
      <c r="S84" s="801"/>
      <c r="T84" s="801"/>
      <c r="U84" s="801"/>
      <c r="V84" s="801"/>
      <c r="W84" s="801"/>
      <c r="X84" s="801"/>
      <c r="Y84" s="801"/>
      <c r="Z84" s="801"/>
      <c r="AA84" s="801"/>
      <c r="AB84" s="801"/>
      <c r="AC84" s="801"/>
      <c r="AD84" s="801"/>
      <c r="AE84" s="801"/>
      <c r="AF84" s="801"/>
      <c r="AG84" s="801"/>
      <c r="AH84" s="801"/>
      <c r="AI84" s="801"/>
      <c r="AJ84" s="801"/>
      <c r="AK84" s="801"/>
      <c r="AL84" s="801"/>
      <c r="AM84" s="801"/>
      <c r="AN84" s="801"/>
      <c r="AO84" s="801"/>
      <c r="AP84" s="801"/>
      <c r="AQ84" s="801"/>
      <c r="AR84" s="801"/>
      <c r="AS84" s="801"/>
      <c r="AT84" s="801"/>
      <c r="AU84" s="801"/>
      <c r="AV84" s="801"/>
      <c r="AW84" s="801"/>
      <c r="AX84" s="801"/>
      <c r="AY84" s="801"/>
      <c r="AZ84" s="801"/>
      <c r="BA84" s="801"/>
      <c r="BB84" s="801"/>
      <c r="BC84" s="801"/>
      <c r="BD84" s="801"/>
      <c r="BE84" s="801"/>
      <c r="BF84" s="801"/>
      <c r="BG84" s="801"/>
      <c r="BH84" s="801"/>
      <c r="BI84" s="801"/>
      <c r="BJ84" s="801"/>
      <c r="BK84" s="801"/>
      <c r="BL84" s="801"/>
      <c r="BM84" s="801"/>
      <c r="BN84" s="801"/>
      <c r="BO84" s="801"/>
      <c r="BP84" s="801"/>
      <c r="BQ84" s="801"/>
      <c r="BR84" s="801"/>
      <c r="BS84" s="801"/>
      <c r="BT84" s="801"/>
      <c r="BU84" s="801"/>
      <c r="BV84" s="801"/>
      <c r="BW84" s="801"/>
      <c r="BX84" s="801"/>
      <c r="BY84" s="801"/>
      <c r="BZ84" s="801"/>
      <c r="CA84" s="801"/>
      <c r="CB84" s="801"/>
      <c r="CC84" s="801"/>
      <c r="CD84" s="801"/>
      <c r="CE84" s="801"/>
      <c r="CF84" s="801"/>
      <c r="CG84" s="801"/>
      <c r="CH84" s="801"/>
      <c r="CI84" s="801"/>
      <c r="CJ84" s="801"/>
      <c r="CK84" s="801"/>
      <c r="CL84" s="801"/>
      <c r="CM84" s="801"/>
      <c r="CN84" s="801"/>
      <c r="CO84" s="801"/>
      <c r="CP84" s="801"/>
      <c r="CQ84" s="801"/>
      <c r="CR84" s="801"/>
      <c r="CS84" s="801"/>
      <c r="CT84" s="801"/>
      <c r="CU84" s="801"/>
      <c r="CV84" s="801"/>
      <c r="CW84" s="801"/>
      <c r="CX84" s="801"/>
      <c r="CY84" s="801"/>
    </row>
    <row r="85" spans="1:103" ht="16.25" customHeight="1">
      <c r="A85" s="796"/>
      <c r="B85" s="797">
        <f t="shared" si="1"/>
        <v>0</v>
      </c>
      <c r="C85" s="798"/>
      <c r="D85" s="799"/>
      <c r="E85" s="801"/>
      <c r="F85" s="801"/>
      <c r="G85" s="801"/>
      <c r="H85" s="801"/>
      <c r="I85" s="801"/>
      <c r="J85" s="801"/>
      <c r="K85" s="801"/>
      <c r="L85" s="801"/>
      <c r="M85" s="801"/>
      <c r="N85" s="801"/>
      <c r="O85" s="801"/>
      <c r="P85" s="801"/>
      <c r="Q85" s="801"/>
      <c r="R85" s="801"/>
      <c r="S85" s="801"/>
      <c r="T85" s="801"/>
      <c r="U85" s="801"/>
      <c r="V85" s="801"/>
      <c r="W85" s="801"/>
      <c r="X85" s="801"/>
      <c r="Y85" s="801"/>
      <c r="Z85" s="801"/>
      <c r="AA85" s="801"/>
      <c r="AB85" s="801"/>
      <c r="AC85" s="801"/>
      <c r="AD85" s="801"/>
      <c r="AE85" s="801"/>
      <c r="AF85" s="801"/>
      <c r="AG85" s="801"/>
      <c r="AH85" s="801"/>
      <c r="AI85" s="801"/>
      <c r="AJ85" s="801"/>
      <c r="AK85" s="801"/>
      <c r="AL85" s="801"/>
      <c r="AM85" s="801"/>
      <c r="AN85" s="801"/>
      <c r="AO85" s="801"/>
      <c r="AP85" s="801"/>
      <c r="AQ85" s="801"/>
      <c r="AR85" s="801"/>
      <c r="AS85" s="801"/>
      <c r="AT85" s="801"/>
      <c r="AU85" s="801"/>
      <c r="AV85" s="801"/>
      <c r="AW85" s="801"/>
      <c r="AX85" s="801"/>
      <c r="AY85" s="801"/>
      <c r="AZ85" s="801"/>
      <c r="BA85" s="801"/>
      <c r="BB85" s="801"/>
      <c r="BC85" s="801"/>
      <c r="BD85" s="801"/>
      <c r="BE85" s="801"/>
      <c r="BF85" s="801"/>
      <c r="BG85" s="801"/>
      <c r="BH85" s="801"/>
      <c r="BI85" s="801"/>
      <c r="BJ85" s="801"/>
      <c r="BK85" s="801"/>
      <c r="BL85" s="801"/>
      <c r="BM85" s="801"/>
      <c r="BN85" s="801"/>
      <c r="BO85" s="801"/>
      <c r="BP85" s="801"/>
      <c r="BQ85" s="801"/>
      <c r="BR85" s="801"/>
      <c r="BS85" s="801"/>
      <c r="BT85" s="801"/>
      <c r="BU85" s="801"/>
      <c r="BV85" s="801"/>
      <c r="BW85" s="801"/>
      <c r="BX85" s="801"/>
      <c r="BY85" s="801"/>
      <c r="BZ85" s="801"/>
      <c r="CA85" s="801"/>
      <c r="CB85" s="801"/>
      <c r="CC85" s="801"/>
      <c r="CD85" s="801"/>
      <c r="CE85" s="801"/>
      <c r="CF85" s="801"/>
      <c r="CG85" s="801"/>
      <c r="CH85" s="801"/>
      <c r="CI85" s="801"/>
      <c r="CJ85" s="801"/>
      <c r="CK85" s="801"/>
      <c r="CL85" s="801"/>
      <c r="CM85" s="801"/>
      <c r="CN85" s="801"/>
      <c r="CO85" s="801"/>
      <c r="CP85" s="801"/>
      <c r="CQ85" s="801"/>
      <c r="CR85" s="801"/>
      <c r="CS85" s="801"/>
      <c r="CT85" s="801"/>
      <c r="CU85" s="801"/>
      <c r="CV85" s="801"/>
      <c r="CW85" s="801"/>
      <c r="CX85" s="801"/>
      <c r="CY85" s="801"/>
    </row>
    <row r="86" spans="1:103" ht="16.25" customHeight="1">
      <c r="A86" s="796"/>
      <c r="B86" s="797">
        <f t="shared" si="1"/>
        <v>0</v>
      </c>
      <c r="C86" s="798"/>
      <c r="D86" s="799"/>
      <c r="E86" s="801"/>
      <c r="F86" s="801"/>
      <c r="G86" s="801"/>
      <c r="H86" s="801"/>
      <c r="I86" s="801"/>
      <c r="J86" s="801"/>
      <c r="K86" s="801"/>
      <c r="L86" s="801"/>
      <c r="M86" s="801"/>
      <c r="N86" s="801"/>
      <c r="O86" s="801"/>
      <c r="P86" s="801"/>
      <c r="Q86" s="801"/>
      <c r="R86" s="801"/>
      <c r="S86" s="801"/>
      <c r="T86" s="801"/>
      <c r="U86" s="801"/>
      <c r="V86" s="801"/>
      <c r="W86" s="801"/>
      <c r="X86" s="801"/>
      <c r="Y86" s="801"/>
      <c r="Z86" s="801"/>
      <c r="AA86" s="801"/>
      <c r="AB86" s="801"/>
      <c r="AC86" s="801"/>
      <c r="AD86" s="801"/>
      <c r="AE86" s="801"/>
      <c r="AF86" s="801"/>
      <c r="AG86" s="801"/>
      <c r="AH86" s="801"/>
      <c r="AI86" s="801"/>
      <c r="AJ86" s="801"/>
      <c r="AK86" s="801"/>
      <c r="AL86" s="801"/>
      <c r="AM86" s="801"/>
      <c r="AN86" s="801"/>
      <c r="AO86" s="801"/>
      <c r="AP86" s="801"/>
      <c r="AQ86" s="801"/>
      <c r="AR86" s="801"/>
      <c r="AS86" s="801"/>
      <c r="AT86" s="801"/>
      <c r="AU86" s="801"/>
      <c r="AV86" s="801"/>
      <c r="AW86" s="801"/>
      <c r="AX86" s="801"/>
      <c r="AY86" s="801"/>
      <c r="AZ86" s="801"/>
      <c r="BA86" s="801"/>
      <c r="BB86" s="801"/>
      <c r="BC86" s="801"/>
      <c r="BD86" s="801"/>
      <c r="BE86" s="801"/>
      <c r="BF86" s="801"/>
      <c r="BG86" s="801"/>
      <c r="BH86" s="801"/>
      <c r="BI86" s="801"/>
      <c r="BJ86" s="801"/>
      <c r="BK86" s="801"/>
      <c r="BL86" s="801"/>
      <c r="BM86" s="801"/>
      <c r="BN86" s="801"/>
      <c r="BO86" s="801"/>
      <c r="BP86" s="801"/>
      <c r="BQ86" s="801"/>
      <c r="BR86" s="801"/>
      <c r="BS86" s="801"/>
      <c r="BT86" s="801"/>
      <c r="BU86" s="801"/>
      <c r="BV86" s="801"/>
      <c r="BW86" s="801"/>
      <c r="BX86" s="801"/>
      <c r="BY86" s="801"/>
      <c r="BZ86" s="801"/>
      <c r="CA86" s="801"/>
      <c r="CB86" s="801"/>
      <c r="CC86" s="801"/>
      <c r="CD86" s="801"/>
      <c r="CE86" s="801"/>
      <c r="CF86" s="801"/>
      <c r="CG86" s="801"/>
      <c r="CH86" s="801"/>
      <c r="CI86" s="801"/>
      <c r="CJ86" s="801"/>
      <c r="CK86" s="801"/>
      <c r="CL86" s="801"/>
      <c r="CM86" s="801"/>
      <c r="CN86" s="801"/>
      <c r="CO86" s="801"/>
      <c r="CP86" s="801"/>
      <c r="CQ86" s="801"/>
      <c r="CR86" s="801"/>
      <c r="CS86" s="801"/>
      <c r="CT86" s="801"/>
      <c r="CU86" s="801"/>
      <c r="CV86" s="801"/>
      <c r="CW86" s="801"/>
      <c r="CX86" s="801"/>
      <c r="CY86" s="801"/>
    </row>
    <row r="87" spans="1:103" ht="16.25" customHeight="1">
      <c r="A87" s="796"/>
      <c r="B87" s="797">
        <f t="shared" si="1"/>
        <v>0</v>
      </c>
      <c r="C87" s="798"/>
      <c r="D87" s="799"/>
      <c r="E87" s="801"/>
      <c r="F87" s="801"/>
      <c r="G87" s="801"/>
      <c r="H87" s="801"/>
      <c r="I87" s="801"/>
      <c r="J87" s="801"/>
      <c r="K87" s="801"/>
      <c r="L87" s="801"/>
      <c r="M87" s="801"/>
      <c r="N87" s="801"/>
      <c r="O87" s="801"/>
      <c r="P87" s="801"/>
      <c r="Q87" s="801"/>
      <c r="R87" s="801"/>
      <c r="S87" s="801"/>
      <c r="T87" s="801"/>
      <c r="U87" s="801"/>
      <c r="V87" s="801"/>
      <c r="W87" s="801"/>
      <c r="X87" s="801"/>
      <c r="Y87" s="801"/>
      <c r="Z87" s="801"/>
      <c r="AA87" s="801"/>
      <c r="AB87" s="801"/>
      <c r="AC87" s="801"/>
      <c r="AD87" s="801"/>
      <c r="AE87" s="801"/>
      <c r="AF87" s="801"/>
      <c r="AG87" s="801"/>
      <c r="AH87" s="801"/>
      <c r="AI87" s="801"/>
      <c r="AJ87" s="801"/>
      <c r="AK87" s="801"/>
      <c r="AL87" s="801"/>
      <c r="AM87" s="801"/>
      <c r="AN87" s="801"/>
      <c r="AO87" s="801"/>
      <c r="AP87" s="801"/>
      <c r="AQ87" s="801"/>
      <c r="AR87" s="801"/>
      <c r="AS87" s="801"/>
      <c r="AT87" s="801"/>
      <c r="AU87" s="801"/>
      <c r="AV87" s="801"/>
      <c r="AW87" s="801"/>
      <c r="AX87" s="801"/>
      <c r="AY87" s="801"/>
      <c r="AZ87" s="801"/>
      <c r="BA87" s="801"/>
      <c r="BB87" s="801"/>
      <c r="BC87" s="801"/>
      <c r="BD87" s="801"/>
      <c r="BE87" s="801"/>
      <c r="BF87" s="801"/>
      <c r="BG87" s="801"/>
      <c r="BH87" s="801"/>
      <c r="BI87" s="801"/>
      <c r="BJ87" s="801"/>
      <c r="BK87" s="801"/>
      <c r="BL87" s="801"/>
      <c r="BM87" s="801"/>
      <c r="BN87" s="801"/>
      <c r="BO87" s="801"/>
      <c r="BP87" s="801"/>
      <c r="BQ87" s="801"/>
      <c r="BR87" s="801"/>
      <c r="BS87" s="801"/>
      <c r="BT87" s="801"/>
      <c r="BU87" s="801"/>
      <c r="BV87" s="801"/>
      <c r="BW87" s="801"/>
      <c r="BX87" s="801"/>
      <c r="BY87" s="801"/>
      <c r="BZ87" s="801"/>
      <c r="CA87" s="801"/>
      <c r="CB87" s="801"/>
      <c r="CC87" s="801"/>
      <c r="CD87" s="801"/>
      <c r="CE87" s="801"/>
      <c r="CF87" s="801"/>
      <c r="CG87" s="801"/>
      <c r="CH87" s="801"/>
      <c r="CI87" s="801"/>
      <c r="CJ87" s="801"/>
      <c r="CK87" s="801"/>
      <c r="CL87" s="801"/>
      <c r="CM87" s="801"/>
      <c r="CN87" s="801"/>
      <c r="CO87" s="801"/>
      <c r="CP87" s="801"/>
      <c r="CQ87" s="801"/>
      <c r="CR87" s="801"/>
      <c r="CS87" s="801"/>
      <c r="CT87" s="801"/>
      <c r="CU87" s="801"/>
      <c r="CV87" s="801"/>
      <c r="CW87" s="801"/>
      <c r="CX87" s="801"/>
      <c r="CY87" s="801"/>
    </row>
    <row r="88" spans="1:103" ht="16.25" customHeight="1">
      <c r="A88" s="796"/>
      <c r="B88" s="797">
        <f t="shared" si="1"/>
        <v>0</v>
      </c>
      <c r="C88" s="798"/>
      <c r="D88" s="799"/>
      <c r="E88" s="801"/>
      <c r="F88" s="801"/>
      <c r="G88" s="801"/>
      <c r="H88" s="801"/>
      <c r="I88" s="801"/>
      <c r="J88" s="801"/>
      <c r="K88" s="801"/>
      <c r="L88" s="801"/>
      <c r="M88" s="801"/>
      <c r="N88" s="801"/>
      <c r="O88" s="801"/>
      <c r="P88" s="801"/>
      <c r="Q88" s="801"/>
      <c r="R88" s="801"/>
      <c r="S88" s="801"/>
      <c r="T88" s="801"/>
      <c r="U88" s="801"/>
      <c r="V88" s="801"/>
      <c r="W88" s="801"/>
      <c r="X88" s="801"/>
      <c r="Y88" s="801"/>
      <c r="Z88" s="801"/>
      <c r="AA88" s="801"/>
      <c r="AB88" s="801"/>
      <c r="AC88" s="801"/>
      <c r="AD88" s="801"/>
      <c r="AE88" s="801"/>
      <c r="AF88" s="801"/>
      <c r="AG88" s="801"/>
      <c r="AH88" s="801"/>
      <c r="AI88" s="801"/>
      <c r="AJ88" s="801"/>
      <c r="AK88" s="801"/>
      <c r="AL88" s="801"/>
      <c r="AM88" s="801"/>
      <c r="AN88" s="801"/>
      <c r="AO88" s="801"/>
      <c r="AP88" s="801"/>
      <c r="AQ88" s="801"/>
      <c r="AR88" s="801"/>
      <c r="AS88" s="801"/>
      <c r="AT88" s="801"/>
      <c r="AU88" s="801"/>
      <c r="AV88" s="801"/>
      <c r="AW88" s="801"/>
      <c r="AX88" s="801"/>
      <c r="AY88" s="801"/>
      <c r="AZ88" s="801"/>
      <c r="BA88" s="801"/>
      <c r="BB88" s="801"/>
      <c r="BC88" s="801"/>
      <c r="BD88" s="801"/>
      <c r="BE88" s="801"/>
      <c r="BF88" s="801"/>
      <c r="BG88" s="801"/>
      <c r="BH88" s="801"/>
      <c r="BI88" s="801"/>
      <c r="BJ88" s="801"/>
      <c r="BK88" s="801"/>
      <c r="BL88" s="801"/>
      <c r="BM88" s="801"/>
      <c r="BN88" s="801"/>
      <c r="BO88" s="801"/>
      <c r="BP88" s="801"/>
      <c r="BQ88" s="801"/>
      <c r="BR88" s="801"/>
      <c r="BS88" s="801"/>
      <c r="BT88" s="801"/>
      <c r="BU88" s="801"/>
      <c r="BV88" s="801"/>
      <c r="BW88" s="801"/>
      <c r="BX88" s="801"/>
      <c r="BY88" s="801"/>
      <c r="BZ88" s="801"/>
      <c r="CA88" s="801"/>
      <c r="CB88" s="801"/>
      <c r="CC88" s="801"/>
      <c r="CD88" s="801"/>
      <c r="CE88" s="801"/>
      <c r="CF88" s="801"/>
      <c r="CG88" s="801"/>
      <c r="CH88" s="801"/>
      <c r="CI88" s="801"/>
      <c r="CJ88" s="801"/>
      <c r="CK88" s="801"/>
      <c r="CL88" s="801"/>
      <c r="CM88" s="801"/>
      <c r="CN88" s="801"/>
      <c r="CO88" s="801"/>
      <c r="CP88" s="801"/>
      <c r="CQ88" s="801"/>
      <c r="CR88" s="801"/>
      <c r="CS88" s="801"/>
      <c r="CT88" s="801"/>
      <c r="CU88" s="801"/>
      <c r="CV88" s="801"/>
      <c r="CW88" s="801"/>
      <c r="CX88" s="801"/>
      <c r="CY88" s="801"/>
    </row>
    <row r="89" spans="1:103" ht="16.25" customHeight="1">
      <c r="A89" s="796"/>
      <c r="B89" s="797">
        <f t="shared" si="1"/>
        <v>0</v>
      </c>
      <c r="C89" s="798"/>
      <c r="D89" s="799"/>
      <c r="E89" s="801"/>
      <c r="F89" s="801"/>
      <c r="G89" s="801"/>
      <c r="H89" s="801"/>
      <c r="I89" s="801"/>
      <c r="J89" s="801"/>
      <c r="K89" s="801"/>
      <c r="L89" s="801"/>
      <c r="M89" s="801"/>
      <c r="N89" s="801"/>
      <c r="O89" s="801"/>
      <c r="P89" s="801"/>
      <c r="Q89" s="801"/>
      <c r="R89" s="801"/>
      <c r="S89" s="801"/>
      <c r="T89" s="801"/>
      <c r="U89" s="801"/>
      <c r="V89" s="801"/>
      <c r="W89" s="801"/>
      <c r="X89" s="801"/>
      <c r="Y89" s="801"/>
      <c r="Z89" s="801"/>
      <c r="AA89" s="801"/>
      <c r="AB89" s="801"/>
      <c r="AC89" s="801"/>
      <c r="AD89" s="801"/>
      <c r="AE89" s="801"/>
      <c r="AF89" s="801"/>
      <c r="AG89" s="801"/>
      <c r="AH89" s="801"/>
      <c r="AI89" s="801"/>
      <c r="AJ89" s="801"/>
      <c r="AK89" s="801"/>
      <c r="AL89" s="801"/>
      <c r="AM89" s="801"/>
      <c r="AN89" s="801"/>
      <c r="AO89" s="801"/>
      <c r="AP89" s="801"/>
      <c r="AQ89" s="801"/>
      <c r="AR89" s="801"/>
      <c r="AS89" s="801"/>
      <c r="AT89" s="801"/>
      <c r="AU89" s="801"/>
      <c r="AV89" s="801"/>
      <c r="AW89" s="801"/>
      <c r="AX89" s="801"/>
      <c r="AY89" s="801"/>
      <c r="AZ89" s="801"/>
      <c r="BA89" s="801"/>
      <c r="BB89" s="801"/>
      <c r="BC89" s="801"/>
      <c r="BD89" s="801"/>
      <c r="BE89" s="801"/>
      <c r="BF89" s="801"/>
      <c r="BG89" s="801"/>
      <c r="BH89" s="801"/>
      <c r="BI89" s="801"/>
      <c r="BJ89" s="801"/>
      <c r="BK89" s="801"/>
      <c r="BL89" s="801"/>
      <c r="BM89" s="801"/>
      <c r="BN89" s="801"/>
      <c r="BO89" s="801"/>
      <c r="BP89" s="801"/>
      <c r="BQ89" s="801"/>
      <c r="BR89" s="801"/>
      <c r="BS89" s="801"/>
      <c r="BT89" s="801"/>
      <c r="BU89" s="801"/>
      <c r="BV89" s="801"/>
      <c r="BW89" s="801"/>
      <c r="BX89" s="801"/>
      <c r="BY89" s="801"/>
      <c r="BZ89" s="801"/>
      <c r="CA89" s="801"/>
      <c r="CB89" s="801"/>
      <c r="CC89" s="801"/>
      <c r="CD89" s="801"/>
      <c r="CE89" s="801"/>
      <c r="CF89" s="801"/>
      <c r="CG89" s="801"/>
      <c r="CH89" s="801"/>
      <c r="CI89" s="801"/>
      <c r="CJ89" s="801"/>
      <c r="CK89" s="801"/>
      <c r="CL89" s="801"/>
      <c r="CM89" s="801"/>
      <c r="CN89" s="801"/>
      <c r="CO89" s="801"/>
      <c r="CP89" s="801"/>
      <c r="CQ89" s="801"/>
      <c r="CR89" s="801"/>
      <c r="CS89" s="801"/>
      <c r="CT89" s="801"/>
      <c r="CU89" s="801"/>
      <c r="CV89" s="801"/>
      <c r="CW89" s="801"/>
      <c r="CX89" s="801"/>
      <c r="CY89" s="801"/>
    </row>
    <row r="90" spans="1:103" ht="16.25" customHeight="1">
      <c r="A90" s="796"/>
      <c r="B90" s="797">
        <f t="shared" si="1"/>
        <v>0</v>
      </c>
      <c r="C90" s="798"/>
      <c r="D90" s="799"/>
      <c r="E90" s="801"/>
      <c r="F90" s="801"/>
      <c r="G90" s="801"/>
      <c r="H90" s="801"/>
      <c r="I90" s="801"/>
      <c r="J90" s="801"/>
      <c r="K90" s="801"/>
      <c r="L90" s="801"/>
      <c r="M90" s="801"/>
      <c r="N90" s="801"/>
      <c r="O90" s="801"/>
      <c r="P90" s="801"/>
      <c r="Q90" s="801"/>
      <c r="R90" s="801"/>
      <c r="S90" s="801"/>
      <c r="T90" s="801"/>
      <c r="U90" s="801"/>
      <c r="V90" s="801"/>
      <c r="W90" s="801"/>
      <c r="X90" s="801"/>
      <c r="Y90" s="801"/>
      <c r="Z90" s="801"/>
      <c r="AA90" s="801"/>
      <c r="AB90" s="801"/>
      <c r="AC90" s="801"/>
      <c r="AD90" s="801"/>
      <c r="AE90" s="801"/>
      <c r="AF90" s="801"/>
      <c r="AG90" s="801"/>
      <c r="AH90" s="801"/>
      <c r="AI90" s="801"/>
      <c r="AJ90" s="801"/>
      <c r="AK90" s="801"/>
      <c r="AL90" s="801"/>
      <c r="AM90" s="801"/>
      <c r="AN90" s="801"/>
      <c r="AO90" s="801"/>
      <c r="AP90" s="801"/>
      <c r="AQ90" s="801"/>
      <c r="AR90" s="801"/>
      <c r="AS90" s="801"/>
      <c r="AT90" s="801"/>
      <c r="AU90" s="801"/>
      <c r="AV90" s="801"/>
      <c r="AW90" s="801"/>
      <c r="AX90" s="801"/>
      <c r="AY90" s="801"/>
      <c r="AZ90" s="801"/>
      <c r="BA90" s="801"/>
      <c r="BB90" s="801"/>
      <c r="BC90" s="801"/>
      <c r="BD90" s="801"/>
      <c r="BE90" s="801"/>
      <c r="BF90" s="801"/>
      <c r="BG90" s="801"/>
      <c r="BH90" s="801"/>
      <c r="BI90" s="801"/>
      <c r="BJ90" s="801"/>
      <c r="BK90" s="801"/>
      <c r="BL90" s="801"/>
      <c r="BM90" s="801"/>
      <c r="BN90" s="801"/>
      <c r="BO90" s="801"/>
      <c r="BP90" s="801"/>
      <c r="BQ90" s="801"/>
      <c r="BR90" s="801"/>
      <c r="BS90" s="801"/>
      <c r="BT90" s="801"/>
      <c r="BU90" s="801"/>
      <c r="BV90" s="801"/>
      <c r="BW90" s="801"/>
      <c r="BX90" s="801"/>
      <c r="BY90" s="801"/>
      <c r="BZ90" s="801"/>
      <c r="CA90" s="801"/>
      <c r="CB90" s="801"/>
      <c r="CC90" s="801"/>
      <c r="CD90" s="801"/>
      <c r="CE90" s="801"/>
      <c r="CF90" s="801"/>
      <c r="CG90" s="801"/>
      <c r="CH90" s="801"/>
      <c r="CI90" s="801"/>
      <c r="CJ90" s="801"/>
      <c r="CK90" s="801"/>
      <c r="CL90" s="801"/>
      <c r="CM90" s="801"/>
      <c r="CN90" s="801"/>
      <c r="CO90" s="801"/>
      <c r="CP90" s="801"/>
      <c r="CQ90" s="801"/>
      <c r="CR90" s="801"/>
      <c r="CS90" s="801"/>
      <c r="CT90" s="801"/>
      <c r="CU90" s="801"/>
      <c r="CV90" s="801"/>
      <c r="CW90" s="801"/>
      <c r="CX90" s="801"/>
      <c r="CY90" s="801"/>
    </row>
    <row r="91" spans="1:103" ht="16.25" customHeight="1">
      <c r="A91" s="796"/>
      <c r="B91" s="797">
        <f t="shared" si="1"/>
        <v>0</v>
      </c>
      <c r="C91" s="798"/>
      <c r="D91" s="799"/>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801"/>
      <c r="AQ91" s="801"/>
      <c r="AR91" s="801"/>
      <c r="AS91" s="801"/>
      <c r="AT91" s="801"/>
      <c r="AU91" s="801"/>
      <c r="AV91" s="801"/>
      <c r="AW91" s="801"/>
      <c r="AX91" s="801"/>
      <c r="AY91" s="801"/>
      <c r="AZ91" s="801"/>
      <c r="BA91" s="801"/>
      <c r="BB91" s="801"/>
      <c r="BC91" s="801"/>
      <c r="BD91" s="801"/>
      <c r="BE91" s="801"/>
      <c r="BF91" s="801"/>
      <c r="BG91" s="801"/>
      <c r="BH91" s="801"/>
      <c r="BI91" s="801"/>
      <c r="BJ91" s="801"/>
      <c r="BK91" s="801"/>
      <c r="BL91" s="801"/>
      <c r="BM91" s="801"/>
      <c r="BN91" s="801"/>
      <c r="BO91" s="801"/>
      <c r="BP91" s="801"/>
      <c r="BQ91" s="801"/>
      <c r="BR91" s="801"/>
      <c r="BS91" s="801"/>
      <c r="BT91" s="801"/>
      <c r="BU91" s="801"/>
      <c r="BV91" s="801"/>
      <c r="BW91" s="801"/>
      <c r="BX91" s="801"/>
      <c r="BY91" s="801"/>
      <c r="BZ91" s="801"/>
      <c r="CA91" s="801"/>
      <c r="CB91" s="801"/>
      <c r="CC91" s="801"/>
      <c r="CD91" s="801"/>
      <c r="CE91" s="801"/>
      <c r="CF91" s="801"/>
      <c r="CG91" s="801"/>
      <c r="CH91" s="801"/>
      <c r="CI91" s="801"/>
      <c r="CJ91" s="801"/>
      <c r="CK91" s="801"/>
      <c r="CL91" s="801"/>
      <c r="CM91" s="801"/>
      <c r="CN91" s="801"/>
      <c r="CO91" s="801"/>
      <c r="CP91" s="801"/>
      <c r="CQ91" s="801"/>
      <c r="CR91" s="801"/>
      <c r="CS91" s="801"/>
      <c r="CT91" s="801"/>
      <c r="CU91" s="801"/>
      <c r="CV91" s="801"/>
      <c r="CW91" s="801"/>
      <c r="CX91" s="801"/>
      <c r="CY91" s="801"/>
    </row>
    <row r="92" spans="1:103" ht="16.25" customHeight="1">
      <c r="A92" s="796"/>
      <c r="B92" s="797">
        <f t="shared" si="1"/>
        <v>0</v>
      </c>
      <c r="C92" s="798"/>
      <c r="D92" s="799"/>
      <c r="E92" s="801"/>
      <c r="F92" s="801"/>
      <c r="G92" s="801"/>
      <c r="H92" s="801"/>
      <c r="I92" s="801"/>
      <c r="J92" s="801"/>
      <c r="K92" s="801"/>
      <c r="L92" s="801"/>
      <c r="M92" s="801"/>
      <c r="N92" s="801"/>
      <c r="O92" s="801"/>
      <c r="P92" s="801"/>
      <c r="Q92" s="801"/>
      <c r="R92" s="801"/>
      <c r="S92" s="801"/>
      <c r="T92" s="801"/>
      <c r="U92" s="801"/>
      <c r="V92" s="801"/>
      <c r="W92" s="801"/>
      <c r="X92" s="801"/>
      <c r="Y92" s="801"/>
      <c r="Z92" s="801"/>
      <c r="AA92" s="801"/>
      <c r="AB92" s="801"/>
      <c r="AC92" s="801"/>
      <c r="AD92" s="801"/>
      <c r="AE92" s="801"/>
      <c r="AF92" s="801"/>
      <c r="AG92" s="801"/>
      <c r="AH92" s="801"/>
      <c r="AI92" s="801"/>
      <c r="AJ92" s="801"/>
      <c r="AK92" s="801"/>
      <c r="AL92" s="801"/>
      <c r="AM92" s="801"/>
      <c r="AN92" s="801"/>
      <c r="AO92" s="801"/>
      <c r="AP92" s="801"/>
      <c r="AQ92" s="801"/>
      <c r="AR92" s="801"/>
      <c r="AS92" s="801"/>
      <c r="AT92" s="801"/>
      <c r="AU92" s="801"/>
      <c r="AV92" s="801"/>
      <c r="AW92" s="801"/>
      <c r="AX92" s="801"/>
      <c r="AY92" s="801"/>
      <c r="AZ92" s="801"/>
      <c r="BA92" s="801"/>
      <c r="BB92" s="801"/>
      <c r="BC92" s="801"/>
      <c r="BD92" s="801"/>
      <c r="BE92" s="801"/>
      <c r="BF92" s="801"/>
      <c r="BG92" s="801"/>
      <c r="BH92" s="801"/>
      <c r="BI92" s="801"/>
      <c r="BJ92" s="801"/>
      <c r="BK92" s="801"/>
      <c r="BL92" s="801"/>
      <c r="BM92" s="801"/>
      <c r="BN92" s="801"/>
      <c r="BO92" s="801"/>
      <c r="BP92" s="801"/>
      <c r="BQ92" s="801"/>
      <c r="BR92" s="801"/>
      <c r="BS92" s="801"/>
      <c r="BT92" s="801"/>
      <c r="BU92" s="801"/>
      <c r="BV92" s="801"/>
      <c r="BW92" s="801"/>
      <c r="BX92" s="801"/>
      <c r="BY92" s="801"/>
      <c r="BZ92" s="801"/>
      <c r="CA92" s="801"/>
      <c r="CB92" s="801"/>
      <c r="CC92" s="801"/>
      <c r="CD92" s="801"/>
      <c r="CE92" s="801"/>
      <c r="CF92" s="801"/>
      <c r="CG92" s="801"/>
      <c r="CH92" s="801"/>
      <c r="CI92" s="801"/>
      <c r="CJ92" s="801"/>
      <c r="CK92" s="801"/>
      <c r="CL92" s="801"/>
      <c r="CM92" s="801"/>
      <c r="CN92" s="801"/>
      <c r="CO92" s="801"/>
      <c r="CP92" s="801"/>
      <c r="CQ92" s="801"/>
      <c r="CR92" s="801"/>
      <c r="CS92" s="801"/>
      <c r="CT92" s="801"/>
      <c r="CU92" s="801"/>
      <c r="CV92" s="801"/>
      <c r="CW92" s="801"/>
      <c r="CX92" s="801"/>
      <c r="CY92" s="801"/>
    </row>
    <row r="93" spans="1:103" ht="16.25" customHeight="1">
      <c r="A93" s="796"/>
      <c r="B93" s="797">
        <f t="shared" si="1"/>
        <v>0</v>
      </c>
      <c r="C93" s="798"/>
      <c r="D93" s="799"/>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801"/>
      <c r="AQ93" s="801"/>
      <c r="AR93" s="801"/>
      <c r="AS93" s="801"/>
      <c r="AT93" s="801"/>
      <c r="AU93" s="801"/>
      <c r="AV93" s="801"/>
      <c r="AW93" s="801"/>
      <c r="AX93" s="801"/>
      <c r="AY93" s="801"/>
      <c r="AZ93" s="801"/>
      <c r="BA93" s="801"/>
      <c r="BB93" s="801"/>
      <c r="BC93" s="801"/>
      <c r="BD93" s="801"/>
      <c r="BE93" s="801"/>
      <c r="BF93" s="801"/>
      <c r="BG93" s="801"/>
      <c r="BH93" s="801"/>
      <c r="BI93" s="801"/>
      <c r="BJ93" s="801"/>
      <c r="BK93" s="801"/>
      <c r="BL93" s="801"/>
      <c r="BM93" s="801"/>
      <c r="BN93" s="801"/>
      <c r="BO93" s="801"/>
      <c r="BP93" s="801"/>
      <c r="BQ93" s="801"/>
      <c r="BR93" s="801"/>
      <c r="BS93" s="801"/>
      <c r="BT93" s="801"/>
      <c r="BU93" s="801"/>
      <c r="BV93" s="801"/>
      <c r="BW93" s="801"/>
      <c r="BX93" s="801"/>
      <c r="BY93" s="801"/>
      <c r="BZ93" s="801"/>
      <c r="CA93" s="801"/>
      <c r="CB93" s="801"/>
      <c r="CC93" s="801"/>
      <c r="CD93" s="801"/>
      <c r="CE93" s="801"/>
      <c r="CF93" s="801"/>
      <c r="CG93" s="801"/>
      <c r="CH93" s="801"/>
      <c r="CI93" s="801"/>
      <c r="CJ93" s="801"/>
      <c r="CK93" s="801"/>
      <c r="CL93" s="801"/>
      <c r="CM93" s="801"/>
      <c r="CN93" s="801"/>
      <c r="CO93" s="801"/>
      <c r="CP93" s="801"/>
      <c r="CQ93" s="801"/>
      <c r="CR93" s="801"/>
      <c r="CS93" s="801"/>
      <c r="CT93" s="801"/>
      <c r="CU93" s="801"/>
      <c r="CV93" s="801"/>
      <c r="CW93" s="801"/>
      <c r="CX93" s="801"/>
      <c r="CY93" s="801"/>
    </row>
    <row r="94" spans="1:103" ht="16.25" customHeight="1">
      <c r="A94" s="796"/>
      <c r="B94" s="797">
        <f t="shared" si="1"/>
        <v>0</v>
      </c>
      <c r="C94" s="798"/>
      <c r="D94" s="799"/>
      <c r="E94" s="801"/>
      <c r="F94" s="801"/>
      <c r="G94" s="801"/>
      <c r="H94" s="801"/>
      <c r="I94" s="801"/>
      <c r="J94" s="801"/>
      <c r="K94" s="801"/>
      <c r="L94" s="801"/>
      <c r="M94" s="801"/>
      <c r="N94" s="801"/>
      <c r="O94" s="801"/>
      <c r="P94" s="801"/>
      <c r="Q94" s="801"/>
      <c r="R94" s="801"/>
      <c r="S94" s="801"/>
      <c r="T94" s="801"/>
      <c r="U94" s="801"/>
      <c r="V94" s="801"/>
      <c r="W94" s="801"/>
      <c r="X94" s="801"/>
      <c r="Y94" s="801"/>
      <c r="Z94" s="801"/>
      <c r="AA94" s="801"/>
      <c r="AB94" s="801"/>
      <c r="AC94" s="801"/>
      <c r="AD94" s="801"/>
      <c r="AE94" s="801"/>
      <c r="AF94" s="801"/>
      <c r="AG94" s="801"/>
      <c r="AH94" s="801"/>
      <c r="AI94" s="801"/>
      <c r="AJ94" s="801"/>
      <c r="AK94" s="801"/>
      <c r="AL94" s="801"/>
      <c r="AM94" s="801"/>
      <c r="AN94" s="801"/>
      <c r="AO94" s="801"/>
      <c r="AP94" s="801"/>
      <c r="AQ94" s="801"/>
      <c r="AR94" s="801"/>
      <c r="AS94" s="801"/>
      <c r="AT94" s="801"/>
      <c r="AU94" s="801"/>
      <c r="AV94" s="801"/>
      <c r="AW94" s="801"/>
      <c r="AX94" s="801"/>
      <c r="AY94" s="801"/>
      <c r="AZ94" s="801"/>
      <c r="BA94" s="801"/>
      <c r="BB94" s="801"/>
      <c r="BC94" s="801"/>
      <c r="BD94" s="801"/>
      <c r="BE94" s="801"/>
      <c r="BF94" s="801"/>
      <c r="BG94" s="801"/>
      <c r="BH94" s="801"/>
      <c r="BI94" s="801"/>
      <c r="BJ94" s="801"/>
      <c r="BK94" s="801"/>
      <c r="BL94" s="801"/>
      <c r="BM94" s="801"/>
      <c r="BN94" s="801"/>
      <c r="BO94" s="801"/>
      <c r="BP94" s="801"/>
      <c r="BQ94" s="801"/>
      <c r="BR94" s="801"/>
      <c r="BS94" s="801"/>
      <c r="BT94" s="801"/>
      <c r="BU94" s="801"/>
      <c r="BV94" s="801"/>
      <c r="BW94" s="801"/>
      <c r="BX94" s="801"/>
      <c r="BY94" s="801"/>
      <c r="BZ94" s="801"/>
      <c r="CA94" s="801"/>
      <c r="CB94" s="801"/>
      <c r="CC94" s="801"/>
      <c r="CD94" s="801"/>
      <c r="CE94" s="801"/>
      <c r="CF94" s="801"/>
      <c r="CG94" s="801"/>
      <c r="CH94" s="801"/>
      <c r="CI94" s="801"/>
      <c r="CJ94" s="801"/>
      <c r="CK94" s="801"/>
      <c r="CL94" s="801"/>
      <c r="CM94" s="801"/>
      <c r="CN94" s="801"/>
      <c r="CO94" s="801"/>
      <c r="CP94" s="801"/>
      <c r="CQ94" s="801"/>
      <c r="CR94" s="801"/>
      <c r="CS94" s="801"/>
      <c r="CT94" s="801"/>
      <c r="CU94" s="801"/>
      <c r="CV94" s="801"/>
      <c r="CW94" s="801"/>
      <c r="CX94" s="801"/>
      <c r="CY94" s="801"/>
    </row>
    <row r="95" spans="1:103" ht="16.25" customHeight="1">
      <c r="A95" s="796"/>
      <c r="B95" s="797">
        <f t="shared" si="1"/>
        <v>0</v>
      </c>
      <c r="C95" s="798"/>
      <c r="D95" s="799"/>
      <c r="E95" s="801"/>
      <c r="F95" s="801"/>
      <c r="G95" s="801"/>
      <c r="H95" s="801"/>
      <c r="I95" s="801"/>
      <c r="J95" s="801"/>
      <c r="K95" s="801"/>
      <c r="L95" s="801"/>
      <c r="M95" s="801"/>
      <c r="N95" s="801"/>
      <c r="O95" s="801"/>
      <c r="P95" s="801"/>
      <c r="Q95" s="801"/>
      <c r="R95" s="801"/>
      <c r="S95" s="801"/>
      <c r="T95" s="801"/>
      <c r="U95" s="801"/>
      <c r="V95" s="801"/>
      <c r="W95" s="801"/>
      <c r="X95" s="801"/>
      <c r="Y95" s="801"/>
      <c r="Z95" s="801"/>
      <c r="AA95" s="801"/>
      <c r="AB95" s="801"/>
      <c r="AC95" s="801"/>
      <c r="AD95" s="801"/>
      <c r="AE95" s="801"/>
      <c r="AF95" s="801"/>
      <c r="AG95" s="801"/>
      <c r="AH95" s="801"/>
      <c r="AI95" s="801"/>
      <c r="AJ95" s="801"/>
      <c r="AK95" s="801"/>
      <c r="AL95" s="801"/>
      <c r="AM95" s="801"/>
      <c r="AN95" s="801"/>
      <c r="AO95" s="801"/>
      <c r="AP95" s="801"/>
      <c r="AQ95" s="801"/>
      <c r="AR95" s="801"/>
      <c r="AS95" s="801"/>
      <c r="AT95" s="801"/>
      <c r="AU95" s="801"/>
      <c r="AV95" s="801"/>
      <c r="AW95" s="801"/>
      <c r="AX95" s="801"/>
      <c r="AY95" s="801"/>
      <c r="AZ95" s="801"/>
      <c r="BA95" s="801"/>
      <c r="BB95" s="801"/>
      <c r="BC95" s="801"/>
      <c r="BD95" s="801"/>
      <c r="BE95" s="801"/>
      <c r="BF95" s="801"/>
      <c r="BG95" s="801"/>
      <c r="BH95" s="801"/>
      <c r="BI95" s="801"/>
      <c r="BJ95" s="801"/>
      <c r="BK95" s="801"/>
      <c r="BL95" s="801"/>
      <c r="BM95" s="801"/>
      <c r="BN95" s="801"/>
      <c r="BO95" s="801"/>
      <c r="BP95" s="801"/>
      <c r="BQ95" s="801"/>
      <c r="BR95" s="801"/>
      <c r="BS95" s="801"/>
      <c r="BT95" s="801"/>
      <c r="BU95" s="801"/>
      <c r="BV95" s="801"/>
      <c r="BW95" s="801"/>
      <c r="BX95" s="801"/>
      <c r="BY95" s="801"/>
      <c r="BZ95" s="801"/>
      <c r="CA95" s="801"/>
      <c r="CB95" s="801"/>
      <c r="CC95" s="801"/>
      <c r="CD95" s="801"/>
      <c r="CE95" s="801"/>
      <c r="CF95" s="801"/>
      <c r="CG95" s="801"/>
      <c r="CH95" s="801"/>
      <c r="CI95" s="801"/>
      <c r="CJ95" s="801"/>
      <c r="CK95" s="801"/>
      <c r="CL95" s="801"/>
      <c r="CM95" s="801"/>
      <c r="CN95" s="801"/>
      <c r="CO95" s="801"/>
      <c r="CP95" s="801"/>
      <c r="CQ95" s="801"/>
      <c r="CR95" s="801"/>
      <c r="CS95" s="801"/>
      <c r="CT95" s="801"/>
      <c r="CU95" s="801"/>
      <c r="CV95" s="801"/>
      <c r="CW95" s="801"/>
      <c r="CX95" s="801"/>
      <c r="CY95" s="801"/>
    </row>
    <row r="96" spans="1:103" ht="16.25" customHeight="1">
      <c r="A96" s="796"/>
      <c r="B96" s="797">
        <f t="shared" si="1"/>
        <v>0</v>
      </c>
      <c r="C96" s="798"/>
      <c r="D96" s="799"/>
      <c r="E96" s="801"/>
      <c r="F96" s="801"/>
      <c r="G96" s="801"/>
      <c r="H96" s="801"/>
      <c r="I96" s="801"/>
      <c r="J96" s="801"/>
      <c r="K96" s="801"/>
      <c r="L96" s="801"/>
      <c r="M96" s="801"/>
      <c r="N96" s="801"/>
      <c r="O96" s="801"/>
      <c r="P96" s="801"/>
      <c r="Q96" s="801"/>
      <c r="R96" s="801"/>
      <c r="S96" s="801"/>
      <c r="T96" s="801"/>
      <c r="U96" s="801"/>
      <c r="V96" s="801"/>
      <c r="W96" s="801"/>
      <c r="X96" s="801"/>
      <c r="Y96" s="801"/>
      <c r="Z96" s="801"/>
      <c r="AA96" s="801"/>
      <c r="AB96" s="801"/>
      <c r="AC96" s="801"/>
      <c r="AD96" s="801"/>
      <c r="AE96" s="801"/>
      <c r="AF96" s="801"/>
      <c r="AG96" s="801"/>
      <c r="AH96" s="801"/>
      <c r="AI96" s="801"/>
      <c r="AJ96" s="801"/>
      <c r="AK96" s="801"/>
      <c r="AL96" s="801"/>
      <c r="AM96" s="801"/>
      <c r="AN96" s="801"/>
      <c r="AO96" s="801"/>
      <c r="AP96" s="801"/>
      <c r="AQ96" s="801"/>
      <c r="AR96" s="801"/>
      <c r="AS96" s="801"/>
      <c r="AT96" s="801"/>
      <c r="AU96" s="801"/>
      <c r="AV96" s="801"/>
      <c r="AW96" s="801"/>
      <c r="AX96" s="801"/>
      <c r="AY96" s="801"/>
      <c r="AZ96" s="801"/>
      <c r="BA96" s="801"/>
      <c r="BB96" s="801"/>
      <c r="BC96" s="801"/>
      <c r="BD96" s="801"/>
      <c r="BE96" s="801"/>
      <c r="BF96" s="801"/>
      <c r="BG96" s="801"/>
      <c r="BH96" s="801"/>
      <c r="BI96" s="801"/>
      <c r="BJ96" s="801"/>
      <c r="BK96" s="801"/>
      <c r="BL96" s="801"/>
      <c r="BM96" s="801"/>
      <c r="BN96" s="801"/>
      <c r="BO96" s="801"/>
      <c r="BP96" s="801"/>
      <c r="BQ96" s="801"/>
      <c r="BR96" s="801"/>
      <c r="BS96" s="801"/>
      <c r="BT96" s="801"/>
      <c r="BU96" s="801"/>
      <c r="BV96" s="801"/>
      <c r="BW96" s="801"/>
      <c r="BX96" s="801"/>
      <c r="BY96" s="801"/>
      <c r="BZ96" s="801"/>
      <c r="CA96" s="801"/>
      <c r="CB96" s="801"/>
      <c r="CC96" s="801"/>
      <c r="CD96" s="801"/>
      <c r="CE96" s="801"/>
      <c r="CF96" s="801"/>
      <c r="CG96" s="801"/>
      <c r="CH96" s="801"/>
      <c r="CI96" s="801"/>
      <c r="CJ96" s="801"/>
      <c r="CK96" s="801"/>
      <c r="CL96" s="801"/>
      <c r="CM96" s="801"/>
      <c r="CN96" s="801"/>
      <c r="CO96" s="801"/>
      <c r="CP96" s="801"/>
      <c r="CQ96" s="801"/>
      <c r="CR96" s="801"/>
      <c r="CS96" s="801"/>
      <c r="CT96" s="801"/>
      <c r="CU96" s="801"/>
      <c r="CV96" s="801"/>
      <c r="CW96" s="801"/>
      <c r="CX96" s="801"/>
      <c r="CY96" s="801"/>
    </row>
    <row r="97" spans="1:103" ht="16.25" customHeight="1">
      <c r="A97" s="796"/>
      <c r="B97" s="797">
        <f t="shared" si="1"/>
        <v>0</v>
      </c>
      <c r="C97" s="798"/>
      <c r="D97" s="799"/>
      <c r="E97" s="801"/>
      <c r="F97" s="801"/>
      <c r="G97" s="801"/>
      <c r="H97" s="801"/>
      <c r="I97" s="801"/>
      <c r="J97" s="801"/>
      <c r="K97" s="801"/>
      <c r="L97" s="801"/>
      <c r="M97" s="801"/>
      <c r="N97" s="801"/>
      <c r="O97" s="801"/>
      <c r="P97" s="801"/>
      <c r="Q97" s="801"/>
      <c r="R97" s="801"/>
      <c r="S97" s="801"/>
      <c r="T97" s="801"/>
      <c r="U97" s="801"/>
      <c r="V97" s="801"/>
      <c r="W97" s="801"/>
      <c r="X97" s="801"/>
      <c r="Y97" s="801"/>
      <c r="Z97" s="801"/>
      <c r="AA97" s="801"/>
      <c r="AB97" s="801"/>
      <c r="AC97" s="801"/>
      <c r="AD97" s="801"/>
      <c r="AE97" s="801"/>
      <c r="AF97" s="801"/>
      <c r="AG97" s="801"/>
      <c r="AH97" s="801"/>
      <c r="AI97" s="801"/>
      <c r="AJ97" s="801"/>
      <c r="AK97" s="801"/>
      <c r="AL97" s="801"/>
      <c r="AM97" s="801"/>
      <c r="AN97" s="801"/>
      <c r="AO97" s="801"/>
      <c r="AP97" s="801"/>
      <c r="AQ97" s="801"/>
      <c r="AR97" s="801"/>
      <c r="AS97" s="801"/>
      <c r="AT97" s="801"/>
      <c r="AU97" s="801"/>
      <c r="AV97" s="801"/>
      <c r="AW97" s="801"/>
      <c r="AX97" s="801"/>
      <c r="AY97" s="801"/>
      <c r="AZ97" s="801"/>
      <c r="BA97" s="801"/>
      <c r="BB97" s="801"/>
      <c r="BC97" s="801"/>
      <c r="BD97" s="801"/>
      <c r="BE97" s="801"/>
      <c r="BF97" s="801"/>
      <c r="BG97" s="801"/>
      <c r="BH97" s="801"/>
      <c r="BI97" s="801"/>
      <c r="BJ97" s="801"/>
      <c r="BK97" s="801"/>
      <c r="BL97" s="801"/>
      <c r="BM97" s="801"/>
      <c r="BN97" s="801"/>
      <c r="BO97" s="801"/>
      <c r="BP97" s="801"/>
      <c r="BQ97" s="801"/>
      <c r="BR97" s="801"/>
      <c r="BS97" s="801"/>
      <c r="BT97" s="801"/>
      <c r="BU97" s="801"/>
      <c r="BV97" s="801"/>
      <c r="BW97" s="801"/>
      <c r="BX97" s="801"/>
      <c r="BY97" s="801"/>
      <c r="BZ97" s="801"/>
      <c r="CA97" s="801"/>
      <c r="CB97" s="801"/>
      <c r="CC97" s="801"/>
      <c r="CD97" s="801"/>
      <c r="CE97" s="801"/>
      <c r="CF97" s="801"/>
      <c r="CG97" s="801"/>
      <c r="CH97" s="801"/>
      <c r="CI97" s="801"/>
      <c r="CJ97" s="801"/>
      <c r="CK97" s="801"/>
      <c r="CL97" s="801"/>
      <c r="CM97" s="801"/>
      <c r="CN97" s="801"/>
      <c r="CO97" s="801"/>
      <c r="CP97" s="801"/>
      <c r="CQ97" s="801"/>
      <c r="CR97" s="801"/>
      <c r="CS97" s="801"/>
      <c r="CT97" s="801"/>
      <c r="CU97" s="801"/>
      <c r="CV97" s="801"/>
      <c r="CW97" s="801"/>
      <c r="CX97" s="801"/>
      <c r="CY97" s="801"/>
    </row>
    <row r="98" spans="1:103" ht="16.25" customHeight="1">
      <c r="A98" s="796"/>
      <c r="B98" s="797">
        <f t="shared" si="1"/>
        <v>0</v>
      </c>
      <c r="C98" s="798"/>
      <c r="D98" s="799"/>
      <c r="E98" s="801"/>
      <c r="F98" s="801"/>
      <c r="G98" s="801"/>
      <c r="H98" s="801"/>
      <c r="I98" s="801"/>
      <c r="J98" s="801"/>
      <c r="K98" s="801"/>
      <c r="L98" s="801"/>
      <c r="M98" s="801"/>
      <c r="N98" s="801"/>
      <c r="O98" s="801"/>
      <c r="P98" s="801"/>
      <c r="Q98" s="801"/>
      <c r="R98" s="801"/>
      <c r="S98" s="801"/>
      <c r="T98" s="801"/>
      <c r="U98" s="801"/>
      <c r="V98" s="801"/>
      <c r="W98" s="801"/>
      <c r="X98" s="801"/>
      <c r="Y98" s="801"/>
      <c r="Z98" s="801"/>
      <c r="AA98" s="801"/>
      <c r="AB98" s="801"/>
      <c r="AC98" s="801"/>
      <c r="AD98" s="801"/>
      <c r="AE98" s="801"/>
      <c r="AF98" s="801"/>
      <c r="AG98" s="801"/>
      <c r="AH98" s="801"/>
      <c r="AI98" s="801"/>
      <c r="AJ98" s="801"/>
      <c r="AK98" s="801"/>
      <c r="AL98" s="801"/>
      <c r="AM98" s="801"/>
      <c r="AN98" s="801"/>
      <c r="AO98" s="801"/>
      <c r="AP98" s="801"/>
      <c r="AQ98" s="801"/>
      <c r="AR98" s="801"/>
      <c r="AS98" s="801"/>
      <c r="AT98" s="801"/>
      <c r="AU98" s="801"/>
      <c r="AV98" s="801"/>
      <c r="AW98" s="801"/>
      <c r="AX98" s="801"/>
      <c r="AY98" s="801"/>
      <c r="AZ98" s="801"/>
      <c r="BA98" s="801"/>
      <c r="BB98" s="801"/>
      <c r="BC98" s="801"/>
      <c r="BD98" s="801"/>
      <c r="BE98" s="801"/>
      <c r="BF98" s="801"/>
      <c r="BG98" s="801"/>
      <c r="BH98" s="801"/>
      <c r="BI98" s="801"/>
      <c r="BJ98" s="801"/>
      <c r="BK98" s="801"/>
      <c r="BL98" s="801"/>
      <c r="BM98" s="801"/>
      <c r="BN98" s="801"/>
      <c r="BO98" s="801"/>
      <c r="BP98" s="801"/>
      <c r="BQ98" s="801"/>
      <c r="BR98" s="801"/>
      <c r="BS98" s="801"/>
      <c r="BT98" s="801"/>
      <c r="BU98" s="801"/>
      <c r="BV98" s="801"/>
      <c r="BW98" s="801"/>
      <c r="BX98" s="801"/>
      <c r="BY98" s="801"/>
      <c r="BZ98" s="801"/>
      <c r="CA98" s="801"/>
      <c r="CB98" s="801"/>
      <c r="CC98" s="801"/>
      <c r="CD98" s="801"/>
      <c r="CE98" s="801"/>
      <c r="CF98" s="801"/>
      <c r="CG98" s="801"/>
      <c r="CH98" s="801"/>
      <c r="CI98" s="801"/>
      <c r="CJ98" s="801"/>
      <c r="CK98" s="801"/>
      <c r="CL98" s="801"/>
      <c r="CM98" s="801"/>
      <c r="CN98" s="801"/>
      <c r="CO98" s="801"/>
      <c r="CP98" s="801"/>
      <c r="CQ98" s="801"/>
      <c r="CR98" s="801"/>
      <c r="CS98" s="801"/>
      <c r="CT98" s="801"/>
      <c r="CU98" s="801"/>
      <c r="CV98" s="801"/>
      <c r="CW98" s="801"/>
      <c r="CX98" s="801"/>
      <c r="CY98" s="801"/>
    </row>
    <row r="99" spans="1:103" ht="16.25" customHeight="1">
      <c r="A99" s="796"/>
      <c r="B99" s="797">
        <f t="shared" si="1"/>
        <v>0</v>
      </c>
      <c r="C99" s="798"/>
      <c r="D99" s="799"/>
      <c r="E99" s="801"/>
      <c r="F99" s="801"/>
      <c r="G99" s="801"/>
      <c r="H99" s="801"/>
      <c r="I99" s="801"/>
      <c r="J99" s="801"/>
      <c r="K99" s="801"/>
      <c r="L99" s="801"/>
      <c r="M99" s="801"/>
      <c r="N99" s="801"/>
      <c r="O99" s="801"/>
      <c r="P99" s="801"/>
      <c r="Q99" s="801"/>
      <c r="R99" s="801"/>
      <c r="S99" s="801"/>
      <c r="T99" s="801"/>
      <c r="U99" s="801"/>
      <c r="V99" s="801"/>
      <c r="W99" s="801"/>
      <c r="X99" s="801"/>
      <c r="Y99" s="801"/>
      <c r="Z99" s="801"/>
      <c r="AA99" s="801"/>
      <c r="AB99" s="801"/>
      <c r="AC99" s="801"/>
      <c r="AD99" s="801"/>
      <c r="AE99" s="801"/>
      <c r="AF99" s="801"/>
      <c r="AG99" s="801"/>
      <c r="AH99" s="801"/>
      <c r="AI99" s="801"/>
      <c r="AJ99" s="801"/>
      <c r="AK99" s="801"/>
      <c r="AL99" s="801"/>
      <c r="AM99" s="801"/>
      <c r="AN99" s="801"/>
      <c r="AO99" s="801"/>
      <c r="AP99" s="801"/>
      <c r="AQ99" s="801"/>
      <c r="AR99" s="801"/>
      <c r="AS99" s="801"/>
      <c r="AT99" s="801"/>
      <c r="AU99" s="801"/>
      <c r="AV99" s="801"/>
      <c r="AW99" s="801"/>
      <c r="AX99" s="801"/>
      <c r="AY99" s="801"/>
      <c r="AZ99" s="801"/>
      <c r="BA99" s="801"/>
      <c r="BB99" s="801"/>
      <c r="BC99" s="801"/>
      <c r="BD99" s="801"/>
      <c r="BE99" s="801"/>
      <c r="BF99" s="801"/>
      <c r="BG99" s="801"/>
      <c r="BH99" s="801"/>
      <c r="BI99" s="801"/>
      <c r="BJ99" s="801"/>
      <c r="BK99" s="801"/>
      <c r="BL99" s="801"/>
      <c r="BM99" s="801"/>
      <c r="BN99" s="801"/>
      <c r="BO99" s="801"/>
      <c r="BP99" s="801"/>
      <c r="BQ99" s="801"/>
      <c r="BR99" s="801"/>
      <c r="BS99" s="801"/>
      <c r="BT99" s="801"/>
      <c r="BU99" s="801"/>
      <c r="BV99" s="801"/>
      <c r="BW99" s="801"/>
      <c r="BX99" s="801"/>
      <c r="BY99" s="801"/>
      <c r="BZ99" s="801"/>
      <c r="CA99" s="801"/>
      <c r="CB99" s="801"/>
      <c r="CC99" s="801"/>
      <c r="CD99" s="801"/>
      <c r="CE99" s="801"/>
      <c r="CF99" s="801"/>
      <c r="CG99" s="801"/>
      <c r="CH99" s="801"/>
      <c r="CI99" s="801"/>
      <c r="CJ99" s="801"/>
      <c r="CK99" s="801"/>
      <c r="CL99" s="801"/>
      <c r="CM99" s="801"/>
      <c r="CN99" s="801"/>
      <c r="CO99" s="801"/>
      <c r="CP99" s="801"/>
      <c r="CQ99" s="801"/>
      <c r="CR99" s="801"/>
      <c r="CS99" s="801"/>
      <c r="CT99" s="801"/>
      <c r="CU99" s="801"/>
      <c r="CV99" s="801"/>
      <c r="CW99" s="801"/>
      <c r="CX99" s="801"/>
      <c r="CY99" s="801"/>
    </row>
    <row r="100" spans="1:103" ht="16.25" customHeight="1">
      <c r="A100" s="796"/>
      <c r="B100" s="797">
        <f t="shared" si="1"/>
        <v>0</v>
      </c>
      <c r="C100" s="798"/>
      <c r="D100" s="799"/>
      <c r="E100" s="801"/>
      <c r="F100" s="801"/>
      <c r="G100" s="801"/>
      <c r="H100" s="801"/>
      <c r="I100" s="801"/>
      <c r="J100" s="801"/>
      <c r="K100" s="801"/>
      <c r="L100" s="801"/>
      <c r="M100" s="801"/>
      <c r="N100" s="801"/>
      <c r="O100" s="801"/>
      <c r="P100" s="801"/>
      <c r="Q100" s="801"/>
      <c r="R100" s="801"/>
      <c r="S100" s="801"/>
      <c r="T100" s="801"/>
      <c r="U100" s="801"/>
      <c r="V100" s="801"/>
      <c r="W100" s="801"/>
      <c r="X100" s="801"/>
      <c r="Y100" s="801"/>
      <c r="Z100" s="801"/>
      <c r="AA100" s="801"/>
      <c r="AB100" s="801"/>
      <c r="AC100" s="801"/>
      <c r="AD100" s="801"/>
      <c r="AE100" s="801"/>
      <c r="AF100" s="801"/>
      <c r="AG100" s="801"/>
      <c r="AH100" s="801"/>
      <c r="AI100" s="801"/>
      <c r="AJ100" s="801"/>
      <c r="AK100" s="801"/>
      <c r="AL100" s="801"/>
      <c r="AM100" s="801"/>
      <c r="AN100" s="801"/>
      <c r="AO100" s="801"/>
      <c r="AP100" s="801"/>
      <c r="AQ100" s="801"/>
      <c r="AR100" s="801"/>
      <c r="AS100" s="801"/>
      <c r="AT100" s="801"/>
      <c r="AU100" s="801"/>
      <c r="AV100" s="801"/>
      <c r="AW100" s="801"/>
      <c r="AX100" s="801"/>
      <c r="AY100" s="801"/>
      <c r="AZ100" s="801"/>
      <c r="BA100" s="801"/>
      <c r="BB100" s="801"/>
      <c r="BC100" s="801"/>
      <c r="BD100" s="801"/>
      <c r="BE100" s="801"/>
      <c r="BF100" s="801"/>
      <c r="BG100" s="801"/>
      <c r="BH100" s="801"/>
      <c r="BI100" s="801"/>
      <c r="BJ100" s="801"/>
      <c r="BK100" s="801"/>
      <c r="BL100" s="801"/>
      <c r="BM100" s="801"/>
      <c r="BN100" s="801"/>
      <c r="BO100" s="801"/>
      <c r="BP100" s="801"/>
      <c r="BQ100" s="801"/>
      <c r="BR100" s="801"/>
      <c r="BS100" s="801"/>
      <c r="BT100" s="801"/>
      <c r="BU100" s="801"/>
      <c r="BV100" s="801"/>
      <c r="BW100" s="801"/>
      <c r="BX100" s="801"/>
      <c r="BY100" s="801"/>
      <c r="BZ100" s="801"/>
      <c r="CA100" s="801"/>
      <c r="CB100" s="801"/>
      <c r="CC100" s="801"/>
      <c r="CD100" s="801"/>
      <c r="CE100" s="801"/>
      <c r="CF100" s="801"/>
      <c r="CG100" s="801"/>
      <c r="CH100" s="801"/>
      <c r="CI100" s="801"/>
      <c r="CJ100" s="801"/>
      <c r="CK100" s="801"/>
      <c r="CL100" s="801"/>
      <c r="CM100" s="801"/>
      <c r="CN100" s="801"/>
      <c r="CO100" s="801"/>
      <c r="CP100" s="801"/>
      <c r="CQ100" s="801"/>
      <c r="CR100" s="801"/>
      <c r="CS100" s="801"/>
      <c r="CT100" s="801"/>
      <c r="CU100" s="801"/>
      <c r="CV100" s="801"/>
      <c r="CW100" s="801"/>
      <c r="CX100" s="801"/>
      <c r="CY100" s="801"/>
    </row>
  </sheetData>
  <mergeCells count="1">
    <mergeCell ref="B1:D1"/>
  </mergeCells>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X76"/>
  <sheetViews>
    <sheetView workbookViewId="0">
      <pane xSplit="1" topLeftCell="B1" activePane="topRight" state="frozen"/>
      <selection pane="topRight" activeCell="P19" sqref="P19:Q19"/>
    </sheetView>
  </sheetViews>
  <sheetFormatPr baseColWidth="10" defaultColWidth="9" defaultRowHeight="110.25" customHeight="1"/>
  <cols>
    <col min="1" max="1" width="20.5" style="375" customWidth="1"/>
    <col min="2" max="232" width="3.1640625" style="375" customWidth="1"/>
  </cols>
  <sheetData>
    <row r="1" spans="1:232" s="375" customFormat="1" ht="15" customHeight="1">
      <c r="B1" s="375">
        <v>0</v>
      </c>
      <c r="C1" s="732">
        <v>1</v>
      </c>
      <c r="D1" s="732">
        <v>2</v>
      </c>
      <c r="E1" s="732">
        <v>3</v>
      </c>
      <c r="F1" s="732">
        <v>4</v>
      </c>
      <c r="G1" s="732">
        <v>5</v>
      </c>
      <c r="H1" s="732">
        <v>6</v>
      </c>
      <c r="I1" s="732">
        <v>7</v>
      </c>
      <c r="J1" s="732">
        <v>8</v>
      </c>
      <c r="K1" s="732">
        <v>9</v>
      </c>
      <c r="L1" s="732">
        <v>10</v>
      </c>
      <c r="M1" s="732">
        <v>11</v>
      </c>
      <c r="N1" s="732">
        <v>12</v>
      </c>
      <c r="O1" s="732">
        <v>13</v>
      </c>
      <c r="P1" s="732">
        <v>14</v>
      </c>
      <c r="Q1" s="732">
        <v>15</v>
      </c>
      <c r="R1" s="732">
        <v>16</v>
      </c>
      <c r="S1" s="732">
        <v>17</v>
      </c>
      <c r="T1" s="732">
        <v>18</v>
      </c>
      <c r="U1" s="732">
        <v>19</v>
      </c>
      <c r="V1" s="732">
        <v>20</v>
      </c>
      <c r="W1" s="732">
        <v>21</v>
      </c>
      <c r="X1" s="732">
        <v>22</v>
      </c>
      <c r="Y1" s="732">
        <v>23</v>
      </c>
      <c r="Z1" s="732">
        <v>24</v>
      </c>
      <c r="AA1" s="732">
        <v>25</v>
      </c>
      <c r="AB1" s="732">
        <v>26</v>
      </c>
      <c r="AC1" s="732">
        <v>27</v>
      </c>
      <c r="AD1" s="732">
        <v>28</v>
      </c>
      <c r="AE1" s="732">
        <v>29</v>
      </c>
      <c r="AF1" s="732">
        <v>30</v>
      </c>
      <c r="AG1" s="732">
        <v>31</v>
      </c>
      <c r="AH1" s="732">
        <v>32</v>
      </c>
      <c r="AI1" s="732">
        <v>33</v>
      </c>
      <c r="AJ1" s="732">
        <v>34</v>
      </c>
      <c r="AK1" s="732">
        <v>35</v>
      </c>
      <c r="AL1" s="732">
        <v>36</v>
      </c>
      <c r="AM1" s="732">
        <v>37</v>
      </c>
      <c r="AN1" s="732">
        <v>38</v>
      </c>
      <c r="AO1" s="732">
        <v>39</v>
      </c>
      <c r="AP1" s="732">
        <v>40</v>
      </c>
      <c r="AQ1" s="732">
        <v>41</v>
      </c>
      <c r="AR1" s="732">
        <v>42</v>
      </c>
      <c r="AS1" s="732">
        <v>43</v>
      </c>
      <c r="AT1" s="732">
        <v>44</v>
      </c>
      <c r="AU1" s="732">
        <v>45</v>
      </c>
      <c r="AV1" s="732">
        <v>46</v>
      </c>
      <c r="AW1" s="732">
        <v>47</v>
      </c>
      <c r="AX1" s="732">
        <v>48</v>
      </c>
      <c r="AY1" s="732">
        <v>49</v>
      </c>
      <c r="AZ1" s="732">
        <v>50</v>
      </c>
      <c r="BA1" s="732">
        <v>51</v>
      </c>
      <c r="BB1" s="732">
        <v>52</v>
      </c>
      <c r="BC1" s="732">
        <v>53</v>
      </c>
      <c r="BD1" s="732">
        <v>54</v>
      </c>
      <c r="BE1" s="732">
        <v>55</v>
      </c>
      <c r="BF1" s="732">
        <v>56</v>
      </c>
      <c r="BG1" s="732">
        <v>57</v>
      </c>
      <c r="BH1" s="732">
        <v>58</v>
      </c>
      <c r="BI1" s="732">
        <v>59</v>
      </c>
      <c r="BJ1" s="732">
        <v>60</v>
      </c>
      <c r="BK1" s="732">
        <v>61</v>
      </c>
      <c r="BL1" s="732">
        <v>62</v>
      </c>
      <c r="BM1" s="732">
        <v>63</v>
      </c>
      <c r="BN1" s="732">
        <v>64</v>
      </c>
      <c r="BO1" s="732">
        <v>65</v>
      </c>
      <c r="BP1" s="732">
        <v>66</v>
      </c>
      <c r="BQ1" s="732">
        <v>67</v>
      </c>
      <c r="BR1" s="732">
        <v>68</v>
      </c>
      <c r="BS1" s="732">
        <v>69</v>
      </c>
      <c r="BT1" s="732">
        <v>70</v>
      </c>
      <c r="BU1" s="732">
        <v>71</v>
      </c>
      <c r="BV1" s="732">
        <v>72</v>
      </c>
      <c r="BW1" s="732">
        <v>73</v>
      </c>
      <c r="BX1" s="732">
        <v>74</v>
      </c>
      <c r="BY1" s="732">
        <v>75</v>
      </c>
      <c r="BZ1" s="732">
        <v>76</v>
      </c>
      <c r="CA1" s="732">
        <v>77</v>
      </c>
      <c r="CB1" s="732">
        <v>78</v>
      </c>
      <c r="CC1" s="732">
        <v>79</v>
      </c>
      <c r="CD1" s="732">
        <v>80</v>
      </c>
      <c r="CE1" s="732">
        <v>81</v>
      </c>
      <c r="CF1" s="732">
        <v>82</v>
      </c>
      <c r="CG1" s="732">
        <v>83</v>
      </c>
      <c r="CH1" s="732">
        <v>84</v>
      </c>
      <c r="CI1" s="732">
        <v>85</v>
      </c>
      <c r="CJ1" s="732">
        <v>86</v>
      </c>
      <c r="CK1" s="732">
        <v>87</v>
      </c>
      <c r="CL1" s="732">
        <v>88</v>
      </c>
      <c r="CM1" s="732">
        <v>89</v>
      </c>
      <c r="CN1" s="732">
        <v>90</v>
      </c>
      <c r="CO1" s="732">
        <v>91</v>
      </c>
      <c r="CP1" s="732">
        <v>92</v>
      </c>
      <c r="CQ1" s="732">
        <v>93</v>
      </c>
      <c r="CR1" s="732">
        <v>94</v>
      </c>
      <c r="CS1" s="732">
        <v>95</v>
      </c>
      <c r="CT1" s="732">
        <v>96</v>
      </c>
      <c r="CU1" s="732">
        <v>97</v>
      </c>
      <c r="CV1" s="732">
        <v>98</v>
      </c>
      <c r="CW1" s="732">
        <v>99</v>
      </c>
      <c r="CX1" s="732">
        <v>100</v>
      </c>
      <c r="CY1" s="732">
        <v>101</v>
      </c>
      <c r="CZ1" s="732">
        <v>102</v>
      </c>
      <c r="DA1" s="732">
        <v>103</v>
      </c>
      <c r="DB1" s="732">
        <v>104</v>
      </c>
      <c r="DC1" s="732">
        <v>105</v>
      </c>
      <c r="DD1" s="732">
        <v>106</v>
      </c>
      <c r="DE1" s="732">
        <v>107</v>
      </c>
      <c r="DF1" s="732">
        <v>108</v>
      </c>
      <c r="DG1" s="732">
        <v>109</v>
      </c>
      <c r="DH1" s="732">
        <v>110</v>
      </c>
      <c r="DI1" s="732">
        <v>111</v>
      </c>
      <c r="DJ1" s="732">
        <v>112</v>
      </c>
      <c r="DK1" s="732">
        <v>113</v>
      </c>
      <c r="DL1" s="732">
        <v>114</v>
      </c>
      <c r="DM1" s="732">
        <v>115</v>
      </c>
      <c r="DN1" s="732">
        <v>116</v>
      </c>
      <c r="DO1" s="732">
        <v>117</v>
      </c>
      <c r="DP1" s="732">
        <v>118</v>
      </c>
      <c r="DQ1" s="732">
        <v>119</v>
      </c>
      <c r="DR1" s="732">
        <v>120</v>
      </c>
      <c r="DS1" s="732">
        <v>121</v>
      </c>
      <c r="DT1" s="732">
        <v>122</v>
      </c>
      <c r="DU1" s="732">
        <v>123</v>
      </c>
      <c r="DV1" s="732">
        <v>124</v>
      </c>
      <c r="DW1" s="732">
        <v>125</v>
      </c>
      <c r="DX1" s="732">
        <v>126</v>
      </c>
      <c r="DY1" s="732">
        <v>127</v>
      </c>
      <c r="DZ1" s="732">
        <v>128</v>
      </c>
      <c r="EA1" s="732">
        <v>129</v>
      </c>
      <c r="EB1" s="732">
        <v>130</v>
      </c>
      <c r="EC1" s="732">
        <v>131</v>
      </c>
      <c r="ED1" s="732">
        <v>132</v>
      </c>
      <c r="EE1" s="732">
        <v>133</v>
      </c>
      <c r="EF1" s="732">
        <v>134</v>
      </c>
      <c r="EG1" s="732">
        <v>135</v>
      </c>
      <c r="EH1" s="732">
        <v>136</v>
      </c>
      <c r="EI1" s="732">
        <v>137</v>
      </c>
      <c r="EJ1" s="732">
        <v>138</v>
      </c>
      <c r="EK1" s="732">
        <v>139</v>
      </c>
      <c r="EL1" s="732">
        <v>140</v>
      </c>
      <c r="EM1" s="732">
        <v>141</v>
      </c>
      <c r="EN1" s="732">
        <v>142</v>
      </c>
      <c r="EO1" s="732">
        <v>143</v>
      </c>
      <c r="EP1" s="732">
        <v>144</v>
      </c>
      <c r="EQ1" s="732">
        <v>145</v>
      </c>
      <c r="ER1" s="732">
        <v>146</v>
      </c>
      <c r="ES1" s="732">
        <v>147</v>
      </c>
      <c r="ET1" s="732">
        <v>148</v>
      </c>
      <c r="EU1" s="732">
        <v>149</v>
      </c>
      <c r="EV1" s="732">
        <v>150</v>
      </c>
      <c r="EW1" s="732">
        <v>151</v>
      </c>
      <c r="EX1" s="732">
        <v>152</v>
      </c>
      <c r="EY1" s="732">
        <v>153</v>
      </c>
      <c r="EZ1" s="732">
        <v>154</v>
      </c>
      <c r="FA1" s="732">
        <v>155</v>
      </c>
      <c r="FB1" s="732">
        <v>156</v>
      </c>
      <c r="FC1" s="732">
        <v>157</v>
      </c>
      <c r="FD1" s="732">
        <v>158</v>
      </c>
      <c r="FE1" s="732">
        <v>159</v>
      </c>
      <c r="FF1" s="732">
        <v>160</v>
      </c>
      <c r="FG1" s="732">
        <v>161</v>
      </c>
      <c r="FH1" s="732">
        <v>162</v>
      </c>
      <c r="FI1" s="732">
        <v>163</v>
      </c>
      <c r="FJ1" s="732">
        <v>164</v>
      </c>
      <c r="FK1" s="732">
        <v>165</v>
      </c>
      <c r="FL1" s="732">
        <v>166</v>
      </c>
      <c r="FM1" s="732">
        <v>167</v>
      </c>
      <c r="FN1" s="732">
        <v>168</v>
      </c>
      <c r="FO1" s="732">
        <v>169</v>
      </c>
      <c r="FP1" s="732">
        <v>170</v>
      </c>
      <c r="FQ1" s="732">
        <v>171</v>
      </c>
      <c r="FR1" s="732">
        <v>172</v>
      </c>
      <c r="FS1" s="732">
        <v>173</v>
      </c>
      <c r="FT1" s="732">
        <v>174</v>
      </c>
      <c r="FU1" s="732">
        <v>175</v>
      </c>
      <c r="FV1" s="732">
        <v>176</v>
      </c>
      <c r="FW1" s="732">
        <v>177</v>
      </c>
      <c r="FX1" s="732">
        <v>178</v>
      </c>
      <c r="FY1" s="732">
        <v>179</v>
      </c>
      <c r="FZ1" s="732">
        <v>180</v>
      </c>
      <c r="GA1" s="732">
        <v>181</v>
      </c>
      <c r="GB1" s="732">
        <v>182</v>
      </c>
      <c r="GC1" s="732">
        <v>183</v>
      </c>
      <c r="GD1" s="732">
        <v>184</v>
      </c>
      <c r="GE1" s="732">
        <v>185</v>
      </c>
      <c r="GF1" s="732">
        <v>186</v>
      </c>
      <c r="GG1" s="732">
        <v>187</v>
      </c>
      <c r="GH1" s="732">
        <v>188</v>
      </c>
      <c r="GI1" s="732">
        <v>189</v>
      </c>
      <c r="GJ1" s="732">
        <v>190</v>
      </c>
      <c r="GK1" s="732">
        <v>191</v>
      </c>
      <c r="GL1" s="732">
        <v>192</v>
      </c>
      <c r="GM1" s="732">
        <v>193</v>
      </c>
      <c r="GN1" s="732">
        <v>194</v>
      </c>
      <c r="GO1" s="732">
        <v>195</v>
      </c>
      <c r="GP1" s="732">
        <v>196</v>
      </c>
      <c r="GQ1" s="732">
        <v>197</v>
      </c>
      <c r="GR1" s="732">
        <v>198</v>
      </c>
      <c r="GS1" s="732">
        <v>199</v>
      </c>
      <c r="GT1" s="732">
        <v>200</v>
      </c>
      <c r="GU1" s="732">
        <v>201</v>
      </c>
      <c r="GV1" s="732">
        <v>202</v>
      </c>
      <c r="GW1" s="732">
        <v>203</v>
      </c>
      <c r="GX1" s="732">
        <v>204</v>
      </c>
      <c r="GY1" s="782">
        <v>205</v>
      </c>
      <c r="GZ1" s="782">
        <v>206</v>
      </c>
      <c r="HA1" s="782">
        <v>207</v>
      </c>
      <c r="HB1" s="782">
        <v>208</v>
      </c>
      <c r="HC1" s="782">
        <v>209</v>
      </c>
      <c r="HD1" s="782">
        <v>210</v>
      </c>
      <c r="HE1" s="782">
        <v>211</v>
      </c>
      <c r="HF1" s="782">
        <v>212</v>
      </c>
      <c r="HG1" s="782">
        <v>213</v>
      </c>
      <c r="HH1" s="782">
        <v>214</v>
      </c>
      <c r="HI1" s="782">
        <v>215</v>
      </c>
      <c r="HJ1" s="782">
        <v>216</v>
      </c>
      <c r="HK1" s="782">
        <v>217</v>
      </c>
      <c r="HL1" s="782">
        <v>218</v>
      </c>
      <c r="HM1" s="782">
        <v>219</v>
      </c>
      <c r="HN1" s="782">
        <v>220</v>
      </c>
      <c r="HO1" s="782">
        <v>221</v>
      </c>
      <c r="HP1" s="782">
        <v>222</v>
      </c>
      <c r="HQ1" s="782">
        <v>223</v>
      </c>
      <c r="HR1" s="782">
        <v>224</v>
      </c>
      <c r="HS1" s="782">
        <v>225</v>
      </c>
      <c r="HT1" s="782">
        <v>226</v>
      </c>
      <c r="HU1" s="782">
        <v>227</v>
      </c>
      <c r="HV1" s="782">
        <v>228</v>
      </c>
      <c r="HW1" s="782">
        <v>229</v>
      </c>
      <c r="HX1" s="782">
        <v>230</v>
      </c>
    </row>
    <row r="2" spans="1:232" s="638" customFormat="1" ht="148" customHeight="1">
      <c r="C2" s="638" t="s">
        <v>1353</v>
      </c>
      <c r="D2" s="638" t="s">
        <v>424</v>
      </c>
      <c r="E2" s="638" t="s">
        <v>430</v>
      </c>
      <c r="F2" s="638" t="s">
        <v>436</v>
      </c>
      <c r="G2" s="638" t="s">
        <v>442</v>
      </c>
      <c r="H2" s="638" t="s">
        <v>1354</v>
      </c>
      <c r="I2" s="638" t="s">
        <v>452</v>
      </c>
      <c r="J2" s="638" t="s">
        <v>459</v>
      </c>
      <c r="K2" s="638" t="s">
        <v>465</v>
      </c>
      <c r="L2" s="638" t="s">
        <v>470</v>
      </c>
      <c r="M2" s="638" t="s">
        <v>475</v>
      </c>
      <c r="N2" s="638" t="s">
        <v>480</v>
      </c>
      <c r="O2" s="638" t="s">
        <v>487</v>
      </c>
      <c r="P2" s="638" t="s">
        <v>494</v>
      </c>
      <c r="Q2" s="638" t="s">
        <v>499</v>
      </c>
      <c r="R2" s="638" t="s">
        <v>504</v>
      </c>
      <c r="S2" s="638" t="s">
        <v>509</v>
      </c>
      <c r="T2" s="638" t="s">
        <v>514</v>
      </c>
      <c r="U2" s="638" t="s">
        <v>519</v>
      </c>
      <c r="V2" s="638" t="s">
        <v>525</v>
      </c>
      <c r="W2" s="638" t="s">
        <v>529</v>
      </c>
      <c r="X2" s="638" t="s">
        <v>535</v>
      </c>
      <c r="Y2" s="638" t="s">
        <v>538</v>
      </c>
      <c r="Z2" s="638" t="s">
        <v>543</v>
      </c>
      <c r="AA2" s="638" t="s">
        <v>548</v>
      </c>
      <c r="AB2" s="638" t="s">
        <v>552</v>
      </c>
      <c r="AC2" s="638" t="s">
        <v>556</v>
      </c>
      <c r="AD2" s="638" t="s">
        <v>561</v>
      </c>
      <c r="AE2" s="638" t="s">
        <v>566</v>
      </c>
      <c r="AF2" s="638" t="s">
        <v>572</v>
      </c>
      <c r="AG2" s="638" t="s">
        <v>578</v>
      </c>
      <c r="AH2" s="638" t="s">
        <v>583</v>
      </c>
      <c r="AI2" s="638" t="s">
        <v>589</v>
      </c>
      <c r="AJ2" s="638" t="s">
        <v>594</v>
      </c>
      <c r="AK2" s="638" t="s">
        <v>599</v>
      </c>
      <c r="AL2" s="638" t="s">
        <v>603</v>
      </c>
      <c r="AM2" s="638" t="s">
        <v>608</v>
      </c>
      <c r="AN2" s="638" t="s">
        <v>613</v>
      </c>
      <c r="AO2" s="638" t="s">
        <v>618</v>
      </c>
      <c r="AP2" s="638" t="s">
        <v>622</v>
      </c>
      <c r="AQ2" s="638" t="s">
        <v>626</v>
      </c>
      <c r="AR2" s="638" t="s">
        <v>630</v>
      </c>
      <c r="AS2" s="638" t="s">
        <v>635</v>
      </c>
      <c r="AT2" s="638" t="s">
        <v>639</v>
      </c>
      <c r="AU2" s="638" t="s">
        <v>644</v>
      </c>
      <c r="AV2" s="638" t="s">
        <v>650</v>
      </c>
      <c r="AW2" s="638" t="s">
        <v>654</v>
      </c>
      <c r="AX2" s="638" t="s">
        <v>658</v>
      </c>
      <c r="AY2" s="638" t="s">
        <v>662</v>
      </c>
      <c r="AZ2" s="638" t="s">
        <v>667</v>
      </c>
      <c r="BA2" s="638" t="s">
        <v>672</v>
      </c>
      <c r="BB2" s="638" t="s">
        <v>676</v>
      </c>
      <c r="BC2" s="638" t="s">
        <v>680</v>
      </c>
      <c r="BD2" s="638" t="s">
        <v>685</v>
      </c>
      <c r="BE2" s="638" t="s">
        <v>689</v>
      </c>
      <c r="BF2" s="638" t="s">
        <v>693</v>
      </c>
      <c r="BG2" s="638" t="s">
        <v>697</v>
      </c>
      <c r="BH2" s="638" t="s">
        <v>701</v>
      </c>
      <c r="BI2" s="638" t="s">
        <v>706</v>
      </c>
      <c r="BJ2" s="638" t="s">
        <v>712</v>
      </c>
      <c r="BK2" s="638" t="s">
        <v>717</v>
      </c>
      <c r="BL2" s="638" t="s">
        <v>720</v>
      </c>
      <c r="BM2" s="638" t="s">
        <v>725</v>
      </c>
      <c r="BN2" s="638" t="s">
        <v>730</v>
      </c>
      <c r="BO2" s="638" t="s">
        <v>736</v>
      </c>
      <c r="BP2" s="638" t="s">
        <v>740</v>
      </c>
      <c r="BQ2" s="638" t="s">
        <v>744</v>
      </c>
      <c r="BR2" s="638" t="s">
        <v>749</v>
      </c>
      <c r="BS2" s="638" t="s">
        <v>1355</v>
      </c>
      <c r="BT2" s="638" t="s">
        <v>757</v>
      </c>
      <c r="BU2" s="638" t="s">
        <v>760</v>
      </c>
      <c r="BV2" s="638" t="s">
        <v>763</v>
      </c>
      <c r="BW2" s="638" t="s">
        <v>767</v>
      </c>
      <c r="BX2" s="638" t="s">
        <v>772</v>
      </c>
      <c r="BY2" s="638" t="s">
        <v>776</v>
      </c>
      <c r="BZ2" s="638" t="s">
        <v>781</v>
      </c>
      <c r="CA2" s="638" t="s">
        <v>786</v>
      </c>
      <c r="CB2" s="638" t="s">
        <v>790</v>
      </c>
      <c r="CC2" s="638" t="s">
        <v>794</v>
      </c>
      <c r="CD2" s="638" t="s">
        <v>799</v>
      </c>
      <c r="CE2" s="638" t="s">
        <v>803</v>
      </c>
      <c r="CF2" s="638" t="s">
        <v>808</v>
      </c>
      <c r="CG2" s="638" t="s">
        <v>813</v>
      </c>
      <c r="CH2" s="638" t="s">
        <v>817</v>
      </c>
      <c r="CI2" s="638" t="s">
        <v>822</v>
      </c>
      <c r="CJ2" s="638" t="s">
        <v>826</v>
      </c>
      <c r="CK2" s="638" t="s">
        <v>829</v>
      </c>
      <c r="CL2" s="638" t="s">
        <v>833</v>
      </c>
      <c r="CM2" s="638" t="s">
        <v>837</v>
      </c>
      <c r="CN2" s="638" t="s">
        <v>841</v>
      </c>
      <c r="CO2" s="638" t="s">
        <v>845</v>
      </c>
      <c r="CP2" s="638" t="s">
        <v>849</v>
      </c>
      <c r="CQ2" s="638" t="s">
        <v>853</v>
      </c>
      <c r="CR2" s="638" t="s">
        <v>858</v>
      </c>
      <c r="CS2" s="638" t="s">
        <v>863</v>
      </c>
      <c r="CT2" s="638" t="s">
        <v>867</v>
      </c>
      <c r="CU2" s="638" t="s">
        <v>871</v>
      </c>
      <c r="CV2" s="638" t="s">
        <v>875</v>
      </c>
      <c r="CW2" s="638" t="s">
        <v>879</v>
      </c>
      <c r="CX2" s="638" t="s">
        <v>883</v>
      </c>
      <c r="CY2" s="638" t="s">
        <v>887</v>
      </c>
      <c r="CZ2" s="638" t="s">
        <v>891</v>
      </c>
      <c r="DA2" s="638" t="s">
        <v>896</v>
      </c>
      <c r="DB2" s="638" t="s">
        <v>900</v>
      </c>
      <c r="DC2" s="638" t="s">
        <v>903</v>
      </c>
      <c r="DD2" s="638" t="s">
        <v>907</v>
      </c>
      <c r="DE2" s="638" t="s">
        <v>912</v>
      </c>
      <c r="DF2" s="638" t="s">
        <v>917</v>
      </c>
      <c r="DG2" s="638" t="s">
        <v>922</v>
      </c>
      <c r="DH2" s="638" t="s">
        <v>926</v>
      </c>
      <c r="DI2" s="638" t="s">
        <v>930</v>
      </c>
      <c r="DJ2" s="638" t="s">
        <v>934</v>
      </c>
      <c r="DK2" s="638" t="s">
        <v>938</v>
      </c>
      <c r="DL2" s="638" t="s">
        <v>943</v>
      </c>
      <c r="DM2" s="638" t="s">
        <v>947</v>
      </c>
      <c r="DN2" s="638" t="s">
        <v>951</v>
      </c>
      <c r="DO2" s="638" t="s">
        <v>956</v>
      </c>
      <c r="DP2" s="638" t="s">
        <v>958</v>
      </c>
      <c r="DQ2" s="638" t="s">
        <v>963</v>
      </c>
      <c r="DR2" s="638" t="s">
        <v>966</v>
      </c>
      <c r="DS2" s="638" t="s">
        <v>969</v>
      </c>
      <c r="DT2" s="638" t="s">
        <v>972</v>
      </c>
      <c r="DU2" s="638" t="s">
        <v>976</v>
      </c>
      <c r="DV2" s="638" t="s">
        <v>979</v>
      </c>
      <c r="DW2" s="638" t="s">
        <v>980</v>
      </c>
      <c r="DX2" s="638" t="s">
        <v>983</v>
      </c>
      <c r="DY2" s="638" t="s">
        <v>986</v>
      </c>
      <c r="DZ2" s="638" t="s">
        <v>989</v>
      </c>
      <c r="EA2" s="638" t="s">
        <v>992</v>
      </c>
      <c r="EB2" s="638" t="s">
        <v>996</v>
      </c>
      <c r="EC2" s="638" t="s">
        <v>999</v>
      </c>
      <c r="ED2" s="638" t="s">
        <v>1002</v>
      </c>
      <c r="EE2" s="638" t="s">
        <v>1005</v>
      </c>
      <c r="EF2" s="638" t="s">
        <v>1006</v>
      </c>
      <c r="EG2" s="638" t="s">
        <v>1007</v>
      </c>
      <c r="EH2" s="638" t="s">
        <v>1008</v>
      </c>
      <c r="EI2" s="638" t="s">
        <v>1010</v>
      </c>
      <c r="EJ2" s="638" t="s">
        <v>1013</v>
      </c>
      <c r="EK2" s="638" t="s">
        <v>1016</v>
      </c>
      <c r="EL2" s="638" t="s">
        <v>1356</v>
      </c>
      <c r="EM2" s="638" t="s">
        <v>1022</v>
      </c>
      <c r="EN2" s="638" t="s">
        <v>1025</v>
      </c>
      <c r="EO2" s="638" t="s">
        <v>1029</v>
      </c>
      <c r="EP2" s="638" t="s">
        <v>1357</v>
      </c>
      <c r="EQ2" s="638" t="s">
        <v>1035</v>
      </c>
      <c r="ER2" s="638" t="s">
        <v>1038</v>
      </c>
      <c r="ES2" s="638" t="s">
        <v>1040</v>
      </c>
      <c r="ET2" s="638" t="s">
        <v>1042</v>
      </c>
      <c r="EU2" s="638" t="s">
        <v>1045</v>
      </c>
      <c r="EV2" s="638" t="s">
        <v>1048</v>
      </c>
      <c r="EW2" s="638" t="s">
        <v>1052</v>
      </c>
      <c r="EX2" s="638" t="s">
        <v>1055</v>
      </c>
      <c r="EY2" s="638" t="s">
        <v>1058</v>
      </c>
      <c r="EZ2" s="638" t="s">
        <v>1061</v>
      </c>
      <c r="FA2" s="638" t="s">
        <v>1064</v>
      </c>
      <c r="FB2" s="638" t="s">
        <v>1069</v>
      </c>
      <c r="FC2" s="638" t="s">
        <v>1074</v>
      </c>
      <c r="FD2" s="638" t="s">
        <v>1081</v>
      </c>
      <c r="FE2" s="638" t="s">
        <v>1085</v>
      </c>
      <c r="FF2" s="638" t="s">
        <v>1090</v>
      </c>
      <c r="FG2" s="638" t="s">
        <v>1094</v>
      </c>
      <c r="FH2" s="638" t="s">
        <v>1097</v>
      </c>
      <c r="FI2" s="638" t="s">
        <v>1101</v>
      </c>
      <c r="FJ2" s="638" t="s">
        <v>1105</v>
      </c>
      <c r="FK2" s="638" t="s">
        <v>1108</v>
      </c>
      <c r="FL2" s="638" t="s">
        <v>1110</v>
      </c>
      <c r="FM2" s="638" t="s">
        <v>1112</v>
      </c>
      <c r="FN2" s="638" t="s">
        <v>1116</v>
      </c>
      <c r="FO2" s="638" t="s">
        <v>1358</v>
      </c>
      <c r="FP2" s="638" t="s">
        <v>1122</v>
      </c>
      <c r="FQ2" s="638" t="s">
        <v>1127</v>
      </c>
      <c r="FR2" s="638" t="s">
        <v>1130</v>
      </c>
      <c r="FS2" s="638" t="s">
        <v>1133</v>
      </c>
      <c r="FT2" s="638" t="s">
        <v>1136</v>
      </c>
      <c r="FU2" s="638" t="s">
        <v>1140</v>
      </c>
      <c r="FV2" s="638" t="s">
        <v>1142</v>
      </c>
      <c r="FW2" s="638" t="s">
        <v>1144</v>
      </c>
      <c r="FX2" s="638" t="s">
        <v>1145</v>
      </c>
      <c r="FY2" s="638" t="s">
        <v>1148</v>
      </c>
      <c r="FZ2" s="638" t="s">
        <v>1149</v>
      </c>
      <c r="GA2" s="638" t="s">
        <v>1151</v>
      </c>
      <c r="GB2" s="638" t="s">
        <v>1153</v>
      </c>
      <c r="GC2" s="638" t="s">
        <v>1155</v>
      </c>
      <c r="GD2" s="638" t="s">
        <v>1156</v>
      </c>
      <c r="GE2" s="638" t="s">
        <v>1157</v>
      </c>
      <c r="GF2" s="638" t="s">
        <v>1159</v>
      </c>
      <c r="GG2" s="638" t="s">
        <v>1160</v>
      </c>
      <c r="GH2" s="638" t="s">
        <v>1162</v>
      </c>
      <c r="GI2" s="638" t="s">
        <v>1164</v>
      </c>
      <c r="GJ2" s="638" t="s">
        <v>1166</v>
      </c>
      <c r="GK2" s="638" t="s">
        <v>1168</v>
      </c>
      <c r="GL2" s="638" t="s">
        <v>1169</v>
      </c>
      <c r="GM2" s="638" t="s">
        <v>1170</v>
      </c>
      <c r="GN2" s="638" t="s">
        <v>1171</v>
      </c>
      <c r="GO2" s="638" t="s">
        <v>1173</v>
      </c>
      <c r="GP2" s="638" t="s">
        <v>1175</v>
      </c>
      <c r="GQ2" s="638" t="s">
        <v>1177</v>
      </c>
      <c r="GR2" s="638" t="s">
        <v>1180</v>
      </c>
      <c r="GS2" s="638" t="s">
        <v>1181</v>
      </c>
      <c r="GT2" s="638" t="s">
        <v>1183</v>
      </c>
      <c r="GU2" s="638" t="s">
        <v>1185</v>
      </c>
      <c r="GV2" s="638" t="s">
        <v>1186</v>
      </c>
      <c r="GW2" s="638" t="s">
        <v>1189</v>
      </c>
      <c r="GX2" s="638" t="s">
        <v>1191</v>
      </c>
      <c r="GY2" s="638" t="s">
        <v>1193</v>
      </c>
      <c r="GZ2" s="638" t="s">
        <v>1197</v>
      </c>
      <c r="HA2" s="638" t="s">
        <v>1199</v>
      </c>
      <c r="HB2" s="638" t="s">
        <v>487</v>
      </c>
      <c r="HC2" s="638" t="s">
        <v>1203</v>
      </c>
      <c r="HD2" s="638" t="s">
        <v>1205</v>
      </c>
      <c r="HE2" s="638" t="s">
        <v>1207</v>
      </c>
      <c r="HF2" s="638" t="s">
        <v>1210</v>
      </c>
      <c r="HG2" s="638" t="s">
        <v>556</v>
      </c>
      <c r="HH2" s="638" t="s">
        <v>1214</v>
      </c>
      <c r="HI2" s="638" t="s">
        <v>1216</v>
      </c>
      <c r="HJ2" s="638" t="s">
        <v>676</v>
      </c>
      <c r="HK2" s="638" t="s">
        <v>1219</v>
      </c>
      <c r="HL2" s="638" t="s">
        <v>1222</v>
      </c>
      <c r="HM2" s="638" t="s">
        <v>845</v>
      </c>
      <c r="HN2" s="638" t="s">
        <v>1226</v>
      </c>
      <c r="HO2" s="638" t="s">
        <v>1228</v>
      </c>
      <c r="HP2" s="638" t="s">
        <v>763</v>
      </c>
      <c r="HQ2" s="638" t="s">
        <v>1231</v>
      </c>
      <c r="HR2" s="638" t="s">
        <v>1233</v>
      </c>
      <c r="HS2" s="638" t="s">
        <v>1235</v>
      </c>
      <c r="HT2" s="638" t="s">
        <v>887</v>
      </c>
      <c r="HU2" s="638" t="s">
        <v>1238</v>
      </c>
      <c r="HV2" s="638" t="s">
        <v>1240</v>
      </c>
      <c r="HW2" s="638" t="s">
        <v>1242</v>
      </c>
      <c r="HX2" s="638" t="s">
        <v>1244</v>
      </c>
    </row>
    <row r="3" spans="1:232" s="720" customFormat="1" ht="20" customHeight="1">
      <c r="A3" s="733" t="s">
        <v>1359</v>
      </c>
      <c r="B3" s="733"/>
      <c r="C3" s="733"/>
      <c r="D3" s="733"/>
      <c r="E3" s="733"/>
      <c r="F3" s="733"/>
      <c r="G3" s="733"/>
      <c r="H3" s="733"/>
      <c r="I3" s="733"/>
      <c r="J3" s="733"/>
      <c r="K3" s="733"/>
      <c r="L3" s="733"/>
      <c r="M3" s="733">
        <v>1</v>
      </c>
      <c r="N3" s="733">
        <v>1</v>
      </c>
      <c r="O3" s="733">
        <v>1</v>
      </c>
      <c r="P3" s="733"/>
      <c r="Q3" s="733"/>
      <c r="R3" s="733">
        <v>1</v>
      </c>
      <c r="S3" s="733"/>
      <c r="T3" s="733">
        <v>1</v>
      </c>
      <c r="U3" s="733"/>
      <c r="V3" s="733">
        <v>1</v>
      </c>
      <c r="W3" s="733"/>
      <c r="X3" s="733">
        <v>1</v>
      </c>
      <c r="Y3" s="733"/>
      <c r="Z3" s="733"/>
      <c r="AA3" s="733"/>
      <c r="AB3" s="733">
        <v>1</v>
      </c>
      <c r="AC3" s="733"/>
      <c r="AD3" s="733"/>
      <c r="AE3" s="733">
        <v>1</v>
      </c>
      <c r="AF3" s="733"/>
      <c r="AG3" s="733">
        <v>1</v>
      </c>
      <c r="AH3" s="733">
        <v>1</v>
      </c>
      <c r="AI3" s="733">
        <v>1</v>
      </c>
      <c r="AJ3" s="733">
        <v>1</v>
      </c>
      <c r="AK3" s="733"/>
      <c r="AL3" s="733"/>
      <c r="AM3" s="733">
        <v>1</v>
      </c>
      <c r="AN3" s="733"/>
      <c r="AO3" s="733"/>
      <c r="AP3" s="733">
        <v>1</v>
      </c>
      <c r="AQ3" s="733">
        <v>1</v>
      </c>
      <c r="AR3" s="733"/>
      <c r="AS3" s="733"/>
      <c r="AT3" s="733"/>
      <c r="AU3" s="733"/>
      <c r="AV3" s="733"/>
      <c r="AW3" s="733"/>
      <c r="AX3" s="733"/>
      <c r="AY3" s="733"/>
      <c r="AZ3" s="733"/>
      <c r="BA3" s="733"/>
      <c r="BB3" s="733"/>
      <c r="BC3" s="733">
        <v>1</v>
      </c>
      <c r="BD3" s="733"/>
      <c r="BE3" s="733"/>
      <c r="BF3" s="733"/>
      <c r="BG3" s="733"/>
      <c r="BH3" s="733"/>
      <c r="BI3" s="733"/>
      <c r="BJ3" s="733"/>
      <c r="BK3" s="733"/>
      <c r="BL3" s="733"/>
      <c r="BM3" s="733">
        <v>1</v>
      </c>
      <c r="BN3" s="733"/>
      <c r="BO3" s="733"/>
      <c r="BP3" s="733"/>
      <c r="BQ3" s="733"/>
      <c r="BR3" s="733">
        <v>1</v>
      </c>
      <c r="BS3" s="733"/>
      <c r="BT3" s="733">
        <v>1</v>
      </c>
      <c r="BU3" s="733"/>
      <c r="BV3" s="733"/>
      <c r="BW3" s="733"/>
      <c r="BX3" s="733"/>
      <c r="BY3" s="733"/>
      <c r="BZ3" s="733"/>
      <c r="CA3" s="733"/>
      <c r="CB3" s="733"/>
      <c r="CC3" s="733"/>
      <c r="CD3" s="733"/>
      <c r="CE3" s="733"/>
      <c r="CF3" s="733"/>
      <c r="CG3" s="733"/>
      <c r="CH3" s="733"/>
      <c r="CI3" s="733"/>
      <c r="CJ3" s="733"/>
      <c r="CK3" s="733"/>
      <c r="CL3" s="733"/>
      <c r="CM3" s="733">
        <v>1</v>
      </c>
      <c r="CN3" s="733">
        <v>1</v>
      </c>
      <c r="CO3" s="733"/>
      <c r="CP3" s="733"/>
      <c r="CQ3" s="733"/>
      <c r="CR3" s="733"/>
      <c r="CS3" s="733"/>
      <c r="CT3" s="733"/>
      <c r="CU3" s="733"/>
      <c r="CV3" s="733">
        <v>1</v>
      </c>
      <c r="CW3" s="733"/>
      <c r="CX3" s="733">
        <v>1</v>
      </c>
      <c r="CY3" s="733">
        <v>1</v>
      </c>
      <c r="CZ3" s="733">
        <v>1</v>
      </c>
      <c r="DA3" s="733"/>
      <c r="DB3" s="733">
        <v>1</v>
      </c>
      <c r="DC3" s="733">
        <v>1</v>
      </c>
      <c r="DD3" s="733">
        <v>1</v>
      </c>
      <c r="DE3" s="733">
        <v>1</v>
      </c>
      <c r="DF3" s="733">
        <v>1</v>
      </c>
      <c r="DG3" s="733"/>
      <c r="DH3" s="733"/>
      <c r="DI3" s="733"/>
      <c r="DJ3" s="733">
        <v>1</v>
      </c>
      <c r="DK3" s="733"/>
      <c r="DL3" s="733"/>
      <c r="DM3" s="733"/>
      <c r="DN3" s="733"/>
      <c r="DO3" s="733"/>
      <c r="DP3" s="733"/>
      <c r="DQ3" s="733"/>
      <c r="DR3" s="733"/>
      <c r="DS3" s="733"/>
      <c r="DT3" s="733"/>
      <c r="DU3" s="733"/>
      <c r="DV3" s="733"/>
      <c r="DW3" s="733"/>
      <c r="DX3" s="733"/>
      <c r="DY3" s="733"/>
      <c r="DZ3" s="733"/>
      <c r="EA3" s="733"/>
      <c r="EB3" s="733"/>
      <c r="EC3" s="733"/>
      <c r="ED3" s="733"/>
      <c r="EE3" s="733"/>
      <c r="EF3" s="733"/>
      <c r="EG3" s="733"/>
      <c r="EH3" s="733"/>
      <c r="EI3" s="733"/>
      <c r="EJ3" s="733">
        <v>1</v>
      </c>
      <c r="EK3" s="733"/>
      <c r="EL3" s="733"/>
      <c r="EM3" s="733"/>
      <c r="EN3" s="733">
        <v>1</v>
      </c>
      <c r="EO3" s="733"/>
      <c r="EP3" s="733"/>
      <c r="EQ3" s="733"/>
      <c r="ER3" s="733">
        <v>1</v>
      </c>
      <c r="ES3" s="733"/>
      <c r="ET3" s="733"/>
      <c r="EU3" s="733"/>
      <c r="EV3" s="733"/>
      <c r="EW3" s="733"/>
      <c r="EX3" s="733"/>
      <c r="EY3" s="733"/>
      <c r="EZ3" s="733"/>
      <c r="FA3" s="733"/>
      <c r="FB3" s="733">
        <v>1</v>
      </c>
      <c r="FC3" s="733">
        <v>1</v>
      </c>
      <c r="FD3" s="733"/>
      <c r="FE3" s="733">
        <v>1</v>
      </c>
      <c r="FF3" s="733"/>
      <c r="FG3" s="733"/>
      <c r="FH3" s="733"/>
      <c r="FI3" s="733">
        <v>1</v>
      </c>
      <c r="FJ3" s="733">
        <v>1</v>
      </c>
      <c r="FK3" s="733"/>
      <c r="FL3" s="733">
        <v>1</v>
      </c>
      <c r="FM3" s="733"/>
      <c r="FN3" s="733"/>
      <c r="FO3" s="733"/>
      <c r="FP3" s="733"/>
      <c r="FQ3" s="733"/>
      <c r="FR3" s="733"/>
      <c r="FS3" s="733"/>
      <c r="FT3" s="733"/>
      <c r="FU3" s="733"/>
      <c r="FV3" s="733"/>
      <c r="FW3" s="733"/>
      <c r="FX3" s="733"/>
      <c r="FY3" s="733"/>
      <c r="FZ3" s="733">
        <v>1</v>
      </c>
      <c r="GA3" s="733"/>
      <c r="GB3" s="733"/>
      <c r="GC3" s="733">
        <v>1</v>
      </c>
      <c r="GD3" s="733">
        <v>1</v>
      </c>
      <c r="GE3" s="733">
        <v>1</v>
      </c>
      <c r="GF3" s="733">
        <v>1</v>
      </c>
      <c r="GG3" s="733"/>
      <c r="GH3" s="733"/>
      <c r="GI3" s="733"/>
      <c r="GJ3" s="733"/>
      <c r="GK3" s="733"/>
      <c r="GL3" s="733"/>
      <c r="GM3" s="733"/>
      <c r="GN3" s="733"/>
      <c r="GO3" s="733"/>
      <c r="GP3" s="733"/>
      <c r="GQ3" s="733"/>
      <c r="GR3" s="733"/>
      <c r="GS3" s="733"/>
      <c r="GT3" s="733"/>
      <c r="GU3" s="733">
        <v>1</v>
      </c>
      <c r="GV3" s="733"/>
      <c r="GW3" s="733">
        <v>1</v>
      </c>
      <c r="GX3" s="733"/>
      <c r="GY3" s="733">
        <v>1</v>
      </c>
      <c r="GZ3" s="733"/>
      <c r="HA3" s="733"/>
      <c r="HB3" s="733"/>
      <c r="HC3" s="733"/>
      <c r="HD3" s="733"/>
      <c r="HE3" s="733"/>
      <c r="HF3" s="733"/>
      <c r="HG3" s="733"/>
      <c r="HH3" s="733"/>
      <c r="HI3" s="733"/>
      <c r="HJ3" s="733"/>
      <c r="HK3" s="733">
        <v>1</v>
      </c>
      <c r="HL3" s="733"/>
      <c r="HM3" s="733"/>
      <c r="HN3" s="733"/>
      <c r="HO3" s="733"/>
      <c r="HP3" s="733"/>
      <c r="HQ3" s="733"/>
      <c r="HR3" s="733"/>
      <c r="HS3" s="733"/>
      <c r="HT3" s="733"/>
      <c r="HU3" s="733"/>
      <c r="HV3" s="733"/>
      <c r="HW3" s="733"/>
      <c r="HX3" s="733"/>
    </row>
    <row r="4" spans="1:232" s="720" customFormat="1" ht="20" customHeight="1">
      <c r="A4" s="733" t="s">
        <v>1360</v>
      </c>
      <c r="B4" s="734"/>
      <c r="C4" s="734"/>
      <c r="D4" s="734"/>
      <c r="E4" s="767"/>
      <c r="F4" s="734"/>
      <c r="G4" s="734"/>
      <c r="H4" s="734"/>
      <c r="I4" s="734"/>
      <c r="J4" s="734"/>
      <c r="K4" s="734"/>
      <c r="L4" s="734"/>
      <c r="M4" s="734"/>
      <c r="N4" s="734"/>
      <c r="O4" s="734"/>
      <c r="P4" s="734"/>
      <c r="Q4" s="734"/>
      <c r="R4" s="734"/>
      <c r="S4" s="734"/>
      <c r="T4" s="734">
        <v>1</v>
      </c>
      <c r="U4" s="734"/>
      <c r="V4" s="734">
        <v>1</v>
      </c>
      <c r="W4" s="734"/>
      <c r="X4" s="734"/>
      <c r="Y4" s="734"/>
      <c r="Z4" s="734"/>
      <c r="AA4" s="734"/>
      <c r="AB4" s="734">
        <v>1</v>
      </c>
      <c r="AC4" s="734"/>
      <c r="AD4" s="734"/>
      <c r="AE4" s="734"/>
      <c r="AF4" s="734"/>
      <c r="AG4" s="734"/>
      <c r="AH4" s="734"/>
      <c r="AI4" s="734">
        <v>1</v>
      </c>
      <c r="AJ4" s="734"/>
      <c r="AK4" s="734"/>
      <c r="AL4" s="734"/>
      <c r="AM4" s="734"/>
      <c r="AN4" s="734"/>
      <c r="AO4" s="734"/>
      <c r="AP4" s="734"/>
      <c r="AQ4" s="734"/>
      <c r="AR4" s="734"/>
      <c r="AS4" s="734"/>
      <c r="AT4" s="734"/>
      <c r="AU4" s="734"/>
      <c r="AV4" s="734"/>
      <c r="AW4" s="734"/>
      <c r="AX4" s="734"/>
      <c r="AY4" s="734"/>
      <c r="AZ4" s="734"/>
      <c r="BA4" s="734"/>
      <c r="BB4" s="734"/>
      <c r="BC4" s="734"/>
      <c r="BD4" s="734"/>
      <c r="BE4" s="734"/>
      <c r="BF4" s="734"/>
      <c r="BG4" s="734"/>
      <c r="BH4" s="734"/>
      <c r="BI4" s="734"/>
      <c r="BJ4" s="734"/>
      <c r="BK4" s="734"/>
      <c r="BL4" s="734"/>
      <c r="BM4" s="734"/>
      <c r="BN4" s="734"/>
      <c r="BO4" s="734"/>
      <c r="BP4" s="734"/>
      <c r="BQ4" s="734"/>
      <c r="BR4" s="734"/>
      <c r="BS4" s="734"/>
      <c r="BT4" s="734"/>
      <c r="BU4" s="734"/>
      <c r="BV4" s="734"/>
      <c r="BW4" s="734"/>
      <c r="BX4" s="734"/>
      <c r="BY4" s="734"/>
      <c r="BZ4" s="734"/>
      <c r="CA4" s="734"/>
      <c r="CB4" s="734"/>
      <c r="CC4" s="734"/>
      <c r="CD4" s="734"/>
      <c r="CE4" s="734"/>
      <c r="CF4" s="734"/>
      <c r="CG4" s="734"/>
      <c r="CH4" s="734"/>
      <c r="CI4" s="734"/>
      <c r="CJ4" s="734"/>
      <c r="CK4" s="734"/>
      <c r="CL4" s="734"/>
      <c r="CM4" s="734"/>
      <c r="CN4" s="734"/>
      <c r="CO4" s="734"/>
      <c r="CP4" s="734"/>
      <c r="CQ4" s="734"/>
      <c r="CR4" s="734"/>
      <c r="CS4" s="734"/>
      <c r="CT4" s="734"/>
      <c r="CU4" s="734"/>
      <c r="CV4" s="734"/>
      <c r="CW4" s="734"/>
      <c r="CX4" s="734"/>
      <c r="CY4" s="734"/>
      <c r="CZ4" s="734">
        <v>1</v>
      </c>
      <c r="DA4" s="734"/>
      <c r="DB4" s="734"/>
      <c r="DC4" s="734"/>
      <c r="DD4" s="734"/>
      <c r="DE4" s="734"/>
      <c r="DF4" s="734"/>
      <c r="DG4" s="734"/>
      <c r="DH4" s="734"/>
      <c r="DI4" s="734"/>
      <c r="DJ4" s="734"/>
      <c r="DK4" s="734"/>
      <c r="DL4" s="734"/>
      <c r="DM4" s="734"/>
      <c r="DN4" s="734"/>
      <c r="DO4" s="734"/>
      <c r="DP4" s="734"/>
      <c r="DQ4" s="734"/>
      <c r="DR4" s="734"/>
      <c r="DS4" s="734"/>
      <c r="DT4" s="734"/>
      <c r="DU4" s="734"/>
      <c r="DV4" s="734"/>
      <c r="DW4" s="734"/>
      <c r="DX4" s="734"/>
      <c r="DY4" s="734"/>
      <c r="DZ4" s="734"/>
      <c r="EA4" s="734"/>
      <c r="EB4" s="734"/>
      <c r="EC4" s="734"/>
      <c r="ED4" s="734"/>
      <c r="EE4" s="734"/>
      <c r="EF4" s="734"/>
      <c r="EG4" s="734"/>
      <c r="EH4" s="734"/>
      <c r="EI4" s="734"/>
      <c r="EJ4" s="734"/>
      <c r="EK4" s="734"/>
      <c r="EL4" s="734"/>
      <c r="EM4" s="734"/>
      <c r="EN4" s="734"/>
      <c r="EO4" s="734"/>
      <c r="EP4" s="734"/>
      <c r="EQ4" s="734"/>
      <c r="ER4" s="734"/>
      <c r="ES4" s="734"/>
      <c r="ET4" s="734"/>
      <c r="EU4" s="734"/>
      <c r="EV4" s="734"/>
      <c r="EW4" s="734"/>
      <c r="EX4" s="734"/>
      <c r="EY4" s="734"/>
      <c r="EZ4" s="734"/>
      <c r="FA4" s="734"/>
      <c r="FB4" s="734"/>
      <c r="FC4" s="734"/>
      <c r="FD4" s="734"/>
      <c r="FE4" s="734"/>
      <c r="FF4" s="734"/>
      <c r="FG4" s="734"/>
      <c r="FH4" s="734"/>
      <c r="FI4" s="734"/>
      <c r="FJ4" s="734"/>
      <c r="FK4" s="734"/>
      <c r="FL4" s="734"/>
      <c r="FM4" s="734"/>
      <c r="FN4" s="734"/>
      <c r="FO4" s="734"/>
      <c r="FP4" s="734"/>
      <c r="FQ4" s="734"/>
      <c r="FR4" s="734"/>
      <c r="FS4" s="734"/>
      <c r="FT4" s="734"/>
      <c r="FU4" s="734"/>
      <c r="FV4" s="734"/>
      <c r="FW4" s="734"/>
      <c r="FX4" s="734"/>
      <c r="FY4" s="734"/>
      <c r="FZ4" s="734"/>
      <c r="GA4" s="734"/>
      <c r="GB4" s="734"/>
      <c r="GC4" s="734"/>
      <c r="GD4" s="734"/>
      <c r="GE4" s="734"/>
      <c r="GF4" s="734"/>
      <c r="GG4" s="734"/>
      <c r="GH4" s="734"/>
      <c r="GI4" s="734"/>
      <c r="GJ4" s="734"/>
      <c r="GK4" s="734"/>
      <c r="GL4" s="734"/>
      <c r="GM4" s="734"/>
      <c r="GN4" s="734"/>
      <c r="GO4" s="734"/>
      <c r="GP4" s="734"/>
      <c r="GQ4" s="734"/>
      <c r="GR4" s="734"/>
      <c r="GS4" s="734"/>
      <c r="GT4" s="734"/>
      <c r="GU4" s="734"/>
      <c r="GV4" s="734"/>
      <c r="GW4" s="734"/>
      <c r="GX4" s="734"/>
      <c r="GY4" s="734"/>
      <c r="GZ4" s="734"/>
      <c r="HA4" s="734"/>
      <c r="HB4" s="734"/>
      <c r="HC4" s="734"/>
      <c r="HD4" s="734"/>
      <c r="HE4" s="734"/>
      <c r="HF4" s="734"/>
      <c r="HG4" s="734"/>
      <c r="HH4" s="734"/>
      <c r="HI4" s="734"/>
      <c r="HJ4" s="734"/>
      <c r="HK4" s="734"/>
      <c r="HL4" s="734"/>
      <c r="HM4" s="734"/>
      <c r="HN4" s="734"/>
      <c r="HO4" s="734"/>
      <c r="HP4" s="734"/>
      <c r="HQ4" s="734"/>
      <c r="HR4" s="734"/>
      <c r="HS4" s="734"/>
      <c r="HT4" s="734"/>
      <c r="HU4" s="734"/>
      <c r="HV4" s="734"/>
      <c r="HW4" s="734"/>
      <c r="HX4" s="734"/>
    </row>
    <row r="5" spans="1:232" s="721" customFormat="1" ht="20" customHeight="1">
      <c r="A5" s="735" t="s">
        <v>1361</v>
      </c>
      <c r="B5" s="736"/>
      <c r="C5" s="734"/>
      <c r="D5" s="736"/>
      <c r="E5" s="736"/>
      <c r="F5" s="736">
        <v>2</v>
      </c>
      <c r="G5" s="736">
        <v>2</v>
      </c>
      <c r="H5" s="736">
        <v>1</v>
      </c>
      <c r="I5" s="736"/>
      <c r="J5" s="736"/>
      <c r="K5" s="736">
        <v>1</v>
      </c>
      <c r="L5" s="736">
        <v>2</v>
      </c>
      <c r="M5" s="736"/>
      <c r="N5" s="736"/>
      <c r="O5" s="736">
        <v>1</v>
      </c>
      <c r="P5" s="736">
        <v>2</v>
      </c>
      <c r="Q5" s="736">
        <v>1</v>
      </c>
      <c r="R5" s="736"/>
      <c r="S5" s="736">
        <v>2</v>
      </c>
      <c r="T5" s="736"/>
      <c r="U5" s="736">
        <v>1</v>
      </c>
      <c r="V5" s="736">
        <v>1</v>
      </c>
      <c r="W5" s="736"/>
      <c r="X5" s="736"/>
      <c r="Y5" s="736">
        <v>1</v>
      </c>
      <c r="Z5" s="736"/>
      <c r="AA5" s="736">
        <v>1</v>
      </c>
      <c r="AB5" s="736"/>
      <c r="AC5" s="736"/>
      <c r="AD5" s="736"/>
      <c r="AE5" s="736"/>
      <c r="AF5" s="736">
        <v>2</v>
      </c>
      <c r="AG5" s="736"/>
      <c r="AH5" s="736">
        <v>2</v>
      </c>
      <c r="AI5" s="736">
        <v>1</v>
      </c>
      <c r="AJ5" s="736">
        <v>2</v>
      </c>
      <c r="AK5" s="736">
        <v>1</v>
      </c>
      <c r="AL5" s="736"/>
      <c r="AM5" s="736">
        <v>1</v>
      </c>
      <c r="AN5" s="736">
        <v>1</v>
      </c>
      <c r="AO5" s="736">
        <v>2</v>
      </c>
      <c r="AP5" s="736">
        <v>2</v>
      </c>
      <c r="AQ5" s="736"/>
      <c r="AR5" s="736">
        <v>2</v>
      </c>
      <c r="AS5" s="736"/>
      <c r="AT5" s="736"/>
      <c r="AU5" s="736">
        <v>1</v>
      </c>
      <c r="AV5" s="736">
        <v>2</v>
      </c>
      <c r="AW5" s="736">
        <v>1</v>
      </c>
      <c r="AX5" s="736"/>
      <c r="AY5" s="736">
        <v>2</v>
      </c>
      <c r="AZ5" s="736"/>
      <c r="BA5" s="736"/>
      <c r="BB5" s="736">
        <v>2</v>
      </c>
      <c r="BC5" s="736"/>
      <c r="BD5" s="736">
        <v>1</v>
      </c>
      <c r="BE5" s="736"/>
      <c r="BF5" s="736"/>
      <c r="BG5" s="736">
        <v>2</v>
      </c>
      <c r="BH5" s="736"/>
      <c r="BI5" s="736">
        <v>2</v>
      </c>
      <c r="BJ5" s="736">
        <v>2</v>
      </c>
      <c r="BK5" s="736">
        <v>2</v>
      </c>
      <c r="BL5" s="736">
        <v>2</v>
      </c>
      <c r="BM5" s="736"/>
      <c r="BN5" s="736">
        <v>1</v>
      </c>
      <c r="BO5" s="736">
        <v>1</v>
      </c>
      <c r="BP5" s="736">
        <v>1</v>
      </c>
      <c r="BQ5" s="736"/>
      <c r="BR5" s="736"/>
      <c r="BS5" s="736"/>
      <c r="BT5" s="736"/>
      <c r="BU5" s="736"/>
      <c r="BV5" s="736">
        <v>2</v>
      </c>
      <c r="BW5" s="736"/>
      <c r="BX5" s="736"/>
      <c r="BY5" s="736">
        <v>2</v>
      </c>
      <c r="BZ5" s="736">
        <v>1</v>
      </c>
      <c r="CA5" s="736"/>
      <c r="CB5" s="736"/>
      <c r="CC5" s="736">
        <v>1</v>
      </c>
      <c r="CD5" s="736">
        <v>1</v>
      </c>
      <c r="CE5" s="736">
        <v>1</v>
      </c>
      <c r="CF5" s="736"/>
      <c r="CG5" s="736"/>
      <c r="CH5" s="736">
        <v>1</v>
      </c>
      <c r="CI5" s="736">
        <v>1</v>
      </c>
      <c r="CJ5" s="736">
        <v>1</v>
      </c>
      <c r="CK5" s="736"/>
      <c r="CL5" s="736"/>
      <c r="CM5" s="736">
        <v>1</v>
      </c>
      <c r="CN5" s="736"/>
      <c r="CO5" s="736">
        <v>1</v>
      </c>
      <c r="CP5" s="736"/>
      <c r="CQ5" s="736"/>
      <c r="CR5" s="736">
        <v>2</v>
      </c>
      <c r="CS5" s="736"/>
      <c r="CT5" s="736"/>
      <c r="CU5" s="736">
        <v>1</v>
      </c>
      <c r="CV5" s="736"/>
      <c r="CW5" s="736">
        <v>1</v>
      </c>
      <c r="CX5" s="736">
        <v>2</v>
      </c>
      <c r="CY5" s="736">
        <v>1</v>
      </c>
      <c r="CZ5" s="736">
        <v>2</v>
      </c>
      <c r="DA5" s="736">
        <v>2</v>
      </c>
      <c r="DB5" s="736"/>
      <c r="DC5" s="736">
        <v>1</v>
      </c>
      <c r="DD5" s="736"/>
      <c r="DE5" s="736"/>
      <c r="DF5" s="736"/>
      <c r="DG5" s="736">
        <v>1</v>
      </c>
      <c r="DH5" s="736">
        <v>2</v>
      </c>
      <c r="DI5" s="736">
        <v>2</v>
      </c>
      <c r="DJ5" s="736">
        <v>1</v>
      </c>
      <c r="DK5" s="736">
        <v>2</v>
      </c>
      <c r="DL5" s="736">
        <v>2</v>
      </c>
      <c r="DM5" s="736"/>
      <c r="DN5" s="736"/>
      <c r="DO5" s="736">
        <v>1</v>
      </c>
      <c r="DP5" s="736">
        <v>1</v>
      </c>
      <c r="DQ5" s="736">
        <v>1</v>
      </c>
      <c r="DR5" s="736">
        <v>1</v>
      </c>
      <c r="DS5" s="736">
        <v>3</v>
      </c>
      <c r="DT5" s="736">
        <v>2</v>
      </c>
      <c r="DU5" s="736">
        <v>1</v>
      </c>
      <c r="DV5" s="736">
        <v>1</v>
      </c>
      <c r="DW5" s="736">
        <v>1</v>
      </c>
      <c r="DX5" s="736">
        <v>1</v>
      </c>
      <c r="DY5" s="736">
        <v>2</v>
      </c>
      <c r="DZ5" s="736">
        <v>2</v>
      </c>
      <c r="EA5" s="736">
        <v>2</v>
      </c>
      <c r="EB5" s="736">
        <v>2</v>
      </c>
      <c r="EC5" s="736">
        <v>1</v>
      </c>
      <c r="ED5" s="736"/>
      <c r="EE5" s="736">
        <v>2</v>
      </c>
      <c r="EF5" s="736"/>
      <c r="EG5" s="736"/>
      <c r="EH5" s="736"/>
      <c r="EI5" s="736">
        <v>1</v>
      </c>
      <c r="EJ5" s="736">
        <v>1</v>
      </c>
      <c r="EK5" s="736">
        <v>1</v>
      </c>
      <c r="EL5" s="736"/>
      <c r="EM5" s="736">
        <v>2</v>
      </c>
      <c r="EN5" s="736"/>
      <c r="EO5" s="736">
        <v>1</v>
      </c>
      <c r="EP5" s="736"/>
      <c r="EQ5" s="736"/>
      <c r="ER5" s="736">
        <v>2</v>
      </c>
      <c r="ES5" s="736">
        <v>2</v>
      </c>
      <c r="ET5" s="736">
        <v>2</v>
      </c>
      <c r="EU5" s="736">
        <v>2</v>
      </c>
      <c r="EV5" s="736">
        <v>2</v>
      </c>
      <c r="EW5" s="736"/>
      <c r="EX5" s="736">
        <v>2</v>
      </c>
      <c r="EY5" s="736">
        <v>2</v>
      </c>
      <c r="EZ5" s="736"/>
      <c r="FA5" s="736">
        <v>2</v>
      </c>
      <c r="FB5" s="736">
        <v>1</v>
      </c>
      <c r="FC5" s="736"/>
      <c r="FD5" s="736"/>
      <c r="FE5" s="736">
        <v>1</v>
      </c>
      <c r="FF5" s="736">
        <v>1</v>
      </c>
      <c r="FG5" s="736">
        <v>1</v>
      </c>
      <c r="FH5" s="736"/>
      <c r="FI5" s="736"/>
      <c r="FJ5" s="736"/>
      <c r="FK5" s="736"/>
      <c r="FL5" s="736"/>
      <c r="FM5" s="736">
        <v>2</v>
      </c>
      <c r="FN5" s="736"/>
      <c r="FO5" s="736"/>
      <c r="FP5" s="736"/>
      <c r="FQ5" s="736">
        <v>2</v>
      </c>
      <c r="FR5" s="736">
        <v>1</v>
      </c>
      <c r="FS5" s="736"/>
      <c r="FT5" s="736"/>
      <c r="FU5" s="736"/>
      <c r="FV5" s="736">
        <v>1</v>
      </c>
      <c r="FW5" s="736"/>
      <c r="FX5" s="736"/>
      <c r="FY5" s="736">
        <v>2</v>
      </c>
      <c r="FZ5" s="736"/>
      <c r="GA5" s="736"/>
      <c r="GB5" s="736">
        <v>1</v>
      </c>
      <c r="GC5" s="736"/>
      <c r="GD5" s="736"/>
      <c r="GE5" s="736"/>
      <c r="GF5" s="736">
        <v>1</v>
      </c>
      <c r="GG5" s="736">
        <v>2</v>
      </c>
      <c r="GH5" s="736">
        <v>2</v>
      </c>
      <c r="GI5" s="736">
        <v>2</v>
      </c>
      <c r="GJ5" s="736"/>
      <c r="GK5" s="736"/>
      <c r="GL5" s="736"/>
      <c r="GM5" s="736"/>
      <c r="GN5" s="736">
        <v>2</v>
      </c>
      <c r="GO5" s="736">
        <v>2</v>
      </c>
      <c r="GP5" s="736">
        <v>1</v>
      </c>
      <c r="GQ5" s="736">
        <v>2</v>
      </c>
      <c r="GR5" s="736"/>
      <c r="GS5" s="736"/>
      <c r="GT5" s="736">
        <v>1</v>
      </c>
      <c r="GU5" s="736"/>
      <c r="GV5" s="736"/>
      <c r="GW5" s="736">
        <v>1</v>
      </c>
      <c r="GX5" s="736">
        <v>1</v>
      </c>
      <c r="GY5" s="736">
        <v>1</v>
      </c>
      <c r="GZ5" s="736">
        <v>1</v>
      </c>
      <c r="HA5" s="736"/>
      <c r="HB5" s="736"/>
      <c r="HC5" s="736">
        <v>1</v>
      </c>
      <c r="HD5" s="736">
        <v>1</v>
      </c>
      <c r="HE5" s="736">
        <v>1</v>
      </c>
      <c r="HF5" s="736"/>
      <c r="HG5" s="736">
        <v>1</v>
      </c>
      <c r="HH5" s="736">
        <v>1</v>
      </c>
      <c r="HI5" s="736"/>
      <c r="HJ5" s="736">
        <v>2</v>
      </c>
      <c r="HK5" s="736">
        <v>1</v>
      </c>
      <c r="HL5" s="736"/>
      <c r="HM5" s="736">
        <v>2</v>
      </c>
      <c r="HN5" s="736">
        <v>2</v>
      </c>
      <c r="HO5" s="736"/>
      <c r="HP5" s="736">
        <v>2</v>
      </c>
      <c r="HQ5" s="736"/>
      <c r="HR5" s="736">
        <v>1</v>
      </c>
      <c r="HS5" s="736">
        <v>1</v>
      </c>
      <c r="HT5" s="736">
        <v>1</v>
      </c>
      <c r="HU5" s="736"/>
      <c r="HV5" s="736">
        <v>1</v>
      </c>
      <c r="HW5" s="736"/>
      <c r="HX5" s="736">
        <v>1</v>
      </c>
    </row>
    <row r="6" spans="1:232" s="720" customFormat="1" ht="20" customHeight="1">
      <c r="A6" s="720" t="s">
        <v>1362</v>
      </c>
      <c r="AI6" s="720">
        <v>1</v>
      </c>
      <c r="DB6" s="720">
        <v>1</v>
      </c>
      <c r="DE6" s="720">
        <v>1</v>
      </c>
      <c r="GC6" s="720">
        <v>1</v>
      </c>
      <c r="GD6" s="720">
        <v>1</v>
      </c>
      <c r="GU6" s="720">
        <v>1</v>
      </c>
      <c r="HO6" s="720">
        <v>1</v>
      </c>
      <c r="HU6" s="720">
        <v>1</v>
      </c>
    </row>
    <row r="7" spans="1:232" ht="20" customHeight="1">
      <c r="A7" s="720" t="s">
        <v>68</v>
      </c>
      <c r="B7" s="737"/>
      <c r="C7" s="737">
        <f>职业列表!J11</f>
        <v>0</v>
      </c>
      <c r="D7" s="737">
        <v>2</v>
      </c>
      <c r="E7" s="737">
        <v>2</v>
      </c>
      <c r="F7" s="737">
        <v>1</v>
      </c>
      <c r="G7" s="737">
        <v>2</v>
      </c>
      <c r="H7" s="737"/>
      <c r="I7" s="737"/>
      <c r="J7" s="737">
        <v>1</v>
      </c>
      <c r="K7" s="737">
        <v>1</v>
      </c>
      <c r="L7" s="737"/>
      <c r="M7" s="737"/>
      <c r="N7" s="737"/>
      <c r="O7" s="737">
        <v>2</v>
      </c>
      <c r="P7" s="737"/>
      <c r="Q7" s="737">
        <v>1</v>
      </c>
      <c r="R7" s="737">
        <v>1</v>
      </c>
      <c r="S7" s="737">
        <v>1</v>
      </c>
      <c r="T7" s="737"/>
      <c r="U7" s="737"/>
      <c r="V7" s="737"/>
      <c r="W7" s="737">
        <v>2</v>
      </c>
      <c r="X7" s="737">
        <v>1</v>
      </c>
      <c r="Y7" s="737">
        <v>1</v>
      </c>
      <c r="Z7" s="737">
        <v>2</v>
      </c>
      <c r="AA7" s="737">
        <v>2</v>
      </c>
      <c r="AB7" s="737"/>
      <c r="AC7" s="737">
        <v>2</v>
      </c>
      <c r="AD7" s="737"/>
      <c r="AE7" s="737">
        <v>1</v>
      </c>
      <c r="AF7" s="737"/>
      <c r="AG7" s="737"/>
      <c r="AH7" s="737"/>
      <c r="AI7" s="737"/>
      <c r="AJ7" s="737">
        <v>1</v>
      </c>
      <c r="AK7" s="737">
        <v>1</v>
      </c>
      <c r="AL7" s="737">
        <v>1</v>
      </c>
      <c r="AM7" s="737"/>
      <c r="AN7" s="737"/>
      <c r="AO7" s="737">
        <v>2</v>
      </c>
      <c r="AP7" s="737"/>
      <c r="AQ7" s="737">
        <v>1</v>
      </c>
      <c r="AR7" s="737">
        <v>3</v>
      </c>
      <c r="AS7" s="737">
        <v>1</v>
      </c>
      <c r="AT7" s="737">
        <v>2</v>
      </c>
      <c r="AU7" s="737">
        <v>2</v>
      </c>
      <c r="AV7" s="737">
        <v>1</v>
      </c>
      <c r="AW7" s="737">
        <v>1</v>
      </c>
      <c r="AX7" s="737">
        <v>1</v>
      </c>
      <c r="AY7" s="737">
        <v>1</v>
      </c>
      <c r="AZ7" s="737"/>
      <c r="BA7" s="737">
        <v>1</v>
      </c>
      <c r="BB7" s="737">
        <v>2</v>
      </c>
      <c r="BC7" s="737"/>
      <c r="BD7" s="737">
        <v>1</v>
      </c>
      <c r="BE7" s="737">
        <v>1</v>
      </c>
      <c r="BF7" s="737"/>
      <c r="BG7" s="737">
        <v>1</v>
      </c>
      <c r="BH7" s="737"/>
      <c r="BI7" s="737"/>
      <c r="BJ7" s="737"/>
      <c r="BK7" s="737">
        <v>2</v>
      </c>
      <c r="BL7" s="737"/>
      <c r="BM7" s="737">
        <v>1</v>
      </c>
      <c r="BN7" s="737"/>
      <c r="BO7" s="737">
        <v>2</v>
      </c>
      <c r="BP7" s="737"/>
      <c r="BQ7" s="737"/>
      <c r="BR7" s="737">
        <v>1</v>
      </c>
      <c r="BS7" s="737">
        <v>1</v>
      </c>
      <c r="BT7" s="737"/>
      <c r="BU7" s="737">
        <v>1</v>
      </c>
      <c r="BV7" s="737">
        <v>2</v>
      </c>
      <c r="BW7" s="737">
        <v>4</v>
      </c>
      <c r="BX7" s="737">
        <v>2</v>
      </c>
      <c r="BY7" s="737">
        <v>1</v>
      </c>
      <c r="BZ7" s="737">
        <v>2</v>
      </c>
      <c r="CA7" s="737"/>
      <c r="CB7" s="737"/>
      <c r="CC7" s="737">
        <v>4</v>
      </c>
      <c r="CD7" s="737"/>
      <c r="CE7" s="737">
        <v>1</v>
      </c>
      <c r="CF7" s="737"/>
      <c r="CG7" s="737">
        <v>1</v>
      </c>
      <c r="CH7" s="737"/>
      <c r="CI7" s="737">
        <v>2</v>
      </c>
      <c r="CJ7" s="737">
        <v>2</v>
      </c>
      <c r="CK7" s="737">
        <v>2</v>
      </c>
      <c r="CL7" s="737">
        <v>1</v>
      </c>
      <c r="CM7" s="737">
        <v>1</v>
      </c>
      <c r="CN7" s="737"/>
      <c r="CO7" s="737">
        <v>1</v>
      </c>
      <c r="CP7" s="737">
        <v>4</v>
      </c>
      <c r="CQ7" s="737">
        <v>1</v>
      </c>
      <c r="CR7" s="737">
        <v>1</v>
      </c>
      <c r="CS7" s="737"/>
      <c r="CT7" s="737">
        <v>2</v>
      </c>
      <c r="CU7" s="737">
        <v>3</v>
      </c>
      <c r="CV7" s="737"/>
      <c r="CW7" s="737"/>
      <c r="CX7" s="737">
        <v>1</v>
      </c>
      <c r="CY7" s="737"/>
      <c r="CZ7" s="737">
        <v>1</v>
      </c>
      <c r="DA7" s="737"/>
      <c r="DB7" s="737"/>
      <c r="DC7" s="737"/>
      <c r="DD7" s="737">
        <v>5</v>
      </c>
      <c r="DE7" s="737"/>
      <c r="DF7" s="737"/>
      <c r="DG7" s="737"/>
      <c r="DH7" s="737"/>
      <c r="DI7" s="737">
        <v>1</v>
      </c>
      <c r="DJ7" s="737">
        <v>2</v>
      </c>
      <c r="DK7" s="737">
        <v>2</v>
      </c>
      <c r="DL7" s="737">
        <v>3</v>
      </c>
      <c r="DM7" s="737"/>
      <c r="DN7" s="737"/>
      <c r="DO7" s="737">
        <v>1</v>
      </c>
      <c r="DP7" s="737">
        <v>1</v>
      </c>
      <c r="DQ7" s="737">
        <v>1</v>
      </c>
      <c r="DR7" s="737">
        <v>1</v>
      </c>
      <c r="DS7" s="737">
        <v>1</v>
      </c>
      <c r="DT7" s="737">
        <v>2</v>
      </c>
      <c r="DU7" s="737">
        <v>1</v>
      </c>
      <c r="DV7" s="737">
        <v>1</v>
      </c>
      <c r="DW7" s="737">
        <v>1</v>
      </c>
      <c r="DX7" s="737"/>
      <c r="DY7" s="737">
        <v>2</v>
      </c>
      <c r="DZ7" s="737"/>
      <c r="EA7" s="737">
        <v>1</v>
      </c>
      <c r="EB7" s="737">
        <v>2</v>
      </c>
      <c r="EC7" s="737">
        <v>1</v>
      </c>
      <c r="ED7" s="737">
        <v>2</v>
      </c>
      <c r="EE7" s="737">
        <v>2</v>
      </c>
      <c r="EF7" s="737">
        <v>2</v>
      </c>
      <c r="EG7" s="737">
        <v>2</v>
      </c>
      <c r="EH7" s="737">
        <v>2</v>
      </c>
      <c r="EI7" s="737">
        <v>1</v>
      </c>
      <c r="EJ7" s="737">
        <v>2</v>
      </c>
      <c r="EK7" s="737">
        <v>2</v>
      </c>
      <c r="EL7" s="737">
        <v>1</v>
      </c>
      <c r="EM7" s="737">
        <v>1</v>
      </c>
      <c r="EN7" s="737">
        <v>1</v>
      </c>
      <c r="EO7" s="737">
        <v>3</v>
      </c>
      <c r="EP7" s="737">
        <v>2</v>
      </c>
      <c r="EQ7" s="737">
        <v>2</v>
      </c>
      <c r="ER7" s="737">
        <v>1</v>
      </c>
      <c r="ES7" s="737">
        <v>1</v>
      </c>
      <c r="ET7" s="737">
        <v>4</v>
      </c>
      <c r="EU7" s="737">
        <v>2</v>
      </c>
      <c r="EV7" s="737">
        <v>2</v>
      </c>
      <c r="EW7" s="737">
        <v>1</v>
      </c>
      <c r="EX7" s="737">
        <v>2</v>
      </c>
      <c r="EY7" s="737">
        <v>2</v>
      </c>
      <c r="EZ7" s="737"/>
      <c r="FA7" s="737">
        <v>1</v>
      </c>
      <c r="FB7" s="737"/>
      <c r="FC7" s="737"/>
      <c r="FD7" s="737">
        <v>3</v>
      </c>
      <c r="FE7" s="737">
        <v>1</v>
      </c>
      <c r="FF7" s="737">
        <v>1</v>
      </c>
      <c r="FG7" s="737">
        <v>1</v>
      </c>
      <c r="FH7" s="737">
        <v>2</v>
      </c>
      <c r="FI7" s="737">
        <v>0</v>
      </c>
      <c r="FJ7" s="737">
        <v>1</v>
      </c>
      <c r="FK7" s="737">
        <v>1</v>
      </c>
      <c r="FL7" s="737"/>
      <c r="FM7" s="737">
        <v>2</v>
      </c>
      <c r="FN7" s="737">
        <v>1</v>
      </c>
      <c r="FO7" s="737">
        <v>2</v>
      </c>
      <c r="FP7" s="737"/>
      <c r="FQ7" s="737">
        <v>1</v>
      </c>
      <c r="FR7" s="737"/>
      <c r="FS7" s="737">
        <v>2</v>
      </c>
      <c r="FT7" s="737">
        <v>1</v>
      </c>
      <c r="FU7" s="737"/>
      <c r="FV7" s="737">
        <v>1</v>
      </c>
      <c r="FW7" s="737">
        <v>1</v>
      </c>
      <c r="FX7" s="737"/>
      <c r="FY7" s="737">
        <v>2</v>
      </c>
      <c r="FZ7" s="737">
        <v>1</v>
      </c>
      <c r="GA7" s="737"/>
      <c r="GB7" s="737"/>
      <c r="GC7" s="737"/>
      <c r="GD7" s="737"/>
      <c r="GE7" s="737"/>
      <c r="GF7" s="737"/>
      <c r="GG7" s="737">
        <v>2</v>
      </c>
      <c r="GH7" s="737">
        <v>2</v>
      </c>
      <c r="GI7" s="737">
        <v>2</v>
      </c>
      <c r="GJ7" s="737">
        <v>2</v>
      </c>
      <c r="GK7" s="737">
        <v>2</v>
      </c>
      <c r="GL7" s="737">
        <v>2</v>
      </c>
      <c r="GM7" s="737">
        <v>2</v>
      </c>
      <c r="GN7" s="737"/>
      <c r="GO7" s="737">
        <v>2</v>
      </c>
      <c r="GP7" s="737"/>
      <c r="GQ7" s="737">
        <v>1</v>
      </c>
      <c r="GR7" s="737">
        <v>2</v>
      </c>
      <c r="GS7" s="737">
        <v>1</v>
      </c>
      <c r="GT7" s="737">
        <v>2</v>
      </c>
      <c r="GU7" s="737"/>
      <c r="GV7" s="737">
        <v>3</v>
      </c>
      <c r="GW7" s="737"/>
      <c r="GX7" s="737">
        <v>2</v>
      </c>
      <c r="GY7" s="737">
        <v>1</v>
      </c>
      <c r="GZ7" s="737">
        <v>2</v>
      </c>
      <c r="HA7" s="737">
        <v>3</v>
      </c>
      <c r="HB7" s="737">
        <v>2</v>
      </c>
      <c r="HC7" s="737">
        <v>2</v>
      </c>
      <c r="HD7" s="737">
        <v>1</v>
      </c>
      <c r="HE7" s="737">
        <v>2</v>
      </c>
      <c r="HF7" s="737">
        <v>2</v>
      </c>
      <c r="HG7" s="737">
        <v>1</v>
      </c>
      <c r="HH7" s="737">
        <v>1</v>
      </c>
      <c r="HI7" s="737">
        <v>6</v>
      </c>
      <c r="HJ7" s="737">
        <v>3</v>
      </c>
      <c r="HK7" s="737"/>
      <c r="HL7" s="737"/>
      <c r="HM7" s="737">
        <v>1</v>
      </c>
      <c r="HN7" s="737"/>
      <c r="HO7" s="737">
        <v>1</v>
      </c>
      <c r="HP7" s="737">
        <v>2</v>
      </c>
      <c r="HQ7" s="737">
        <v>2</v>
      </c>
      <c r="HR7" s="737"/>
      <c r="HS7" s="737">
        <v>6</v>
      </c>
      <c r="HT7" s="737">
        <v>6</v>
      </c>
      <c r="HU7" s="737">
        <v>1</v>
      </c>
      <c r="HV7" s="737">
        <v>1</v>
      </c>
      <c r="HW7" s="737">
        <v>2</v>
      </c>
      <c r="HX7" s="737"/>
    </row>
    <row r="8" spans="1:232" s="375" customFormat="1" ht="20" customHeight="1">
      <c r="A8" s="738" t="s">
        <v>60</v>
      </c>
      <c r="B8" s="739"/>
      <c r="C8" s="740" t="str">
        <f>IF(ISTEXT(IFERROR(VLOOKUP(本职技能!A8,职业列表!I3:J10,1,FALSE),0)),"★","")</f>
        <v/>
      </c>
      <c r="D8" s="739" t="s">
        <v>93</v>
      </c>
      <c r="E8" s="739"/>
      <c r="F8" s="739"/>
      <c r="G8" s="739"/>
      <c r="H8" s="739"/>
      <c r="I8" s="739"/>
      <c r="J8" s="739"/>
      <c r="K8" s="739"/>
      <c r="L8" s="739" t="s">
        <v>93</v>
      </c>
      <c r="M8" s="739"/>
      <c r="N8" s="739" t="s">
        <v>93</v>
      </c>
      <c r="O8" s="739"/>
      <c r="P8" s="739"/>
      <c r="Q8" s="739"/>
      <c r="R8" s="739"/>
      <c r="S8" s="739" t="s">
        <v>93</v>
      </c>
      <c r="T8" s="739"/>
      <c r="U8" s="739" t="s">
        <v>93</v>
      </c>
      <c r="V8" s="739"/>
      <c r="W8" s="739"/>
      <c r="X8" s="739" t="s">
        <v>1359</v>
      </c>
      <c r="Y8" s="739" t="s">
        <v>93</v>
      </c>
      <c r="Z8" s="739"/>
      <c r="AA8" s="739"/>
      <c r="AB8" s="739"/>
      <c r="AC8" s="739" t="s">
        <v>93</v>
      </c>
      <c r="AD8" s="739"/>
      <c r="AE8" s="739"/>
      <c r="AF8" s="739"/>
      <c r="AG8" s="739"/>
      <c r="AH8" s="739"/>
      <c r="AI8" s="739"/>
      <c r="AJ8" s="739"/>
      <c r="AK8" s="739" t="s">
        <v>93</v>
      </c>
      <c r="AL8" s="739" t="s">
        <v>93</v>
      </c>
      <c r="AM8" s="739"/>
      <c r="AN8" s="739"/>
      <c r="AO8" s="739" t="s">
        <v>93</v>
      </c>
      <c r="AP8" s="739"/>
      <c r="AQ8" s="739" t="s">
        <v>93</v>
      </c>
      <c r="AR8" s="739"/>
      <c r="AS8" s="739"/>
      <c r="AT8" s="739"/>
      <c r="AU8" s="739"/>
      <c r="AV8" s="739"/>
      <c r="AW8" s="739" t="s">
        <v>93</v>
      </c>
      <c r="AX8" s="739" t="s">
        <v>93</v>
      </c>
      <c r="AY8" s="739" t="s">
        <v>93</v>
      </c>
      <c r="AZ8" s="739"/>
      <c r="BA8" s="739"/>
      <c r="BB8" s="739"/>
      <c r="BC8" s="739"/>
      <c r="BD8" s="739"/>
      <c r="BE8" s="739"/>
      <c r="BF8" s="739"/>
      <c r="BG8" s="739"/>
      <c r="BH8" s="739"/>
      <c r="BI8" s="739" t="s">
        <v>93</v>
      </c>
      <c r="BJ8" s="739"/>
      <c r="BK8" s="739"/>
      <c r="BL8" s="739"/>
      <c r="BM8" s="739"/>
      <c r="BN8" s="739"/>
      <c r="BO8" s="739"/>
      <c r="BP8" s="739"/>
      <c r="BQ8" s="739"/>
      <c r="BR8" s="739"/>
      <c r="BS8" s="739"/>
      <c r="BT8" s="739"/>
      <c r="BU8" s="739"/>
      <c r="BV8" s="739" t="s">
        <v>93</v>
      </c>
      <c r="BW8" s="739" t="s">
        <v>93</v>
      </c>
      <c r="BX8" s="739"/>
      <c r="BY8" s="739" t="s">
        <v>93</v>
      </c>
      <c r="BZ8" s="739"/>
      <c r="CA8" s="739"/>
      <c r="CB8" s="739" t="s">
        <v>93</v>
      </c>
      <c r="CC8" s="739"/>
      <c r="CD8" s="739"/>
      <c r="CE8" s="739"/>
      <c r="CF8" s="739"/>
      <c r="CG8" s="739"/>
      <c r="CH8" s="739" t="s">
        <v>93</v>
      </c>
      <c r="CI8" s="739"/>
      <c r="CJ8" s="739"/>
      <c r="CK8" s="739"/>
      <c r="CL8" s="739" t="s">
        <v>93</v>
      </c>
      <c r="CM8" s="739"/>
      <c r="CN8" s="739"/>
      <c r="CO8" s="739"/>
      <c r="CP8" s="739"/>
      <c r="CQ8" s="739"/>
      <c r="CR8" s="739"/>
      <c r="CS8" s="739"/>
      <c r="CT8" s="739" t="s">
        <v>93</v>
      </c>
      <c r="CU8" s="739"/>
      <c r="CV8" s="739"/>
      <c r="CW8" s="739"/>
      <c r="CX8" s="739" t="s">
        <v>93</v>
      </c>
      <c r="CY8" s="739"/>
      <c r="CZ8" s="739" t="s">
        <v>93</v>
      </c>
      <c r="DA8" s="739" t="s">
        <v>93</v>
      </c>
      <c r="DB8" s="739"/>
      <c r="DC8" s="739"/>
      <c r="DD8" s="739"/>
      <c r="DE8" s="739"/>
      <c r="DF8" s="739"/>
      <c r="DG8" s="739" t="s">
        <v>93</v>
      </c>
      <c r="DH8" s="739" t="s">
        <v>93</v>
      </c>
      <c r="DI8" s="739" t="s">
        <v>93</v>
      </c>
      <c r="DJ8" s="739" t="s">
        <v>93</v>
      </c>
      <c r="DK8" s="739" t="s">
        <v>93</v>
      </c>
      <c r="DL8" s="739"/>
      <c r="DM8" s="739" t="s">
        <v>93</v>
      </c>
      <c r="DN8" s="739"/>
      <c r="DO8" s="739"/>
      <c r="DP8" s="739"/>
      <c r="DQ8" s="739"/>
      <c r="DR8" s="739"/>
      <c r="DS8" s="739"/>
      <c r="DT8" s="739" t="s">
        <v>93</v>
      </c>
      <c r="DU8" s="739" t="s">
        <v>93</v>
      </c>
      <c r="DV8" s="739" t="s">
        <v>93</v>
      </c>
      <c r="DW8" s="739"/>
      <c r="DX8" s="739"/>
      <c r="DY8" s="739"/>
      <c r="DZ8" s="739"/>
      <c r="EA8" s="739" t="s">
        <v>93</v>
      </c>
      <c r="EB8" s="739" t="s">
        <v>93</v>
      </c>
      <c r="EC8" s="739"/>
      <c r="ED8" s="739" t="s">
        <v>93</v>
      </c>
      <c r="EE8" s="739" t="s">
        <v>93</v>
      </c>
      <c r="EF8" s="739"/>
      <c r="EG8" s="739"/>
      <c r="EH8" s="739"/>
      <c r="EI8" s="739" t="s">
        <v>93</v>
      </c>
      <c r="EJ8" s="739" t="s">
        <v>93</v>
      </c>
      <c r="EK8" s="739"/>
      <c r="EL8" s="739"/>
      <c r="EM8" s="739" t="s">
        <v>93</v>
      </c>
      <c r="EN8" s="739"/>
      <c r="EO8" s="739" t="s">
        <v>93</v>
      </c>
      <c r="EP8" s="739"/>
      <c r="EQ8" s="739"/>
      <c r="ER8" s="739" t="s">
        <v>93</v>
      </c>
      <c r="ES8" s="739" t="s">
        <v>93</v>
      </c>
      <c r="ET8" s="739" t="s">
        <v>93</v>
      </c>
      <c r="EU8" s="739"/>
      <c r="EV8" s="739" t="s">
        <v>93</v>
      </c>
      <c r="EW8" s="739" t="s">
        <v>93</v>
      </c>
      <c r="EX8" s="739"/>
      <c r="EY8" s="739" t="s">
        <v>93</v>
      </c>
      <c r="EZ8" s="739"/>
      <c r="FA8" s="739"/>
      <c r="FB8" s="739"/>
      <c r="FC8" s="739"/>
      <c r="FD8" s="739"/>
      <c r="FE8" s="739"/>
      <c r="FF8" s="739"/>
      <c r="FG8" s="739"/>
      <c r="FH8" s="739"/>
      <c r="FI8" s="739"/>
      <c r="FJ8" s="739"/>
      <c r="FK8" s="739"/>
      <c r="FL8" s="739"/>
      <c r="FM8" s="739"/>
      <c r="FN8" s="739"/>
      <c r="FO8" s="739"/>
      <c r="FP8" s="739"/>
      <c r="FQ8" s="739"/>
      <c r="FR8" s="739"/>
      <c r="FS8" s="739" t="s">
        <v>93</v>
      </c>
      <c r="FT8" s="739"/>
      <c r="FU8" s="739"/>
      <c r="FV8" s="739" t="s">
        <v>93</v>
      </c>
      <c r="FW8" s="739"/>
      <c r="FX8" s="739"/>
      <c r="FY8" s="739"/>
      <c r="FZ8" s="739" t="s">
        <v>93</v>
      </c>
      <c r="GA8" s="739"/>
      <c r="GB8" s="739"/>
      <c r="GC8" s="739"/>
      <c r="GD8" s="739"/>
      <c r="GE8" s="739"/>
      <c r="GF8" s="739"/>
      <c r="GG8" s="739"/>
      <c r="GH8" s="739"/>
      <c r="GI8" s="739"/>
      <c r="GJ8" s="739"/>
      <c r="GK8" s="739"/>
      <c r="GL8" s="739"/>
      <c r="GM8" s="739"/>
      <c r="GN8" s="739"/>
      <c r="GO8" s="739"/>
      <c r="GP8" s="739"/>
      <c r="GQ8" s="739"/>
      <c r="GR8" s="739"/>
      <c r="GS8" s="739"/>
      <c r="GT8" s="739"/>
      <c r="GU8" s="739"/>
      <c r="GV8" s="739"/>
      <c r="GW8" s="739"/>
      <c r="GX8" s="739"/>
      <c r="GY8" s="739"/>
      <c r="GZ8" s="740" t="s">
        <v>93</v>
      </c>
      <c r="HA8" s="739"/>
      <c r="HB8" s="739"/>
      <c r="HC8" s="739"/>
      <c r="HD8" s="739"/>
      <c r="HE8" s="739"/>
      <c r="HF8" s="739"/>
      <c r="HG8" s="740" t="s">
        <v>93</v>
      </c>
      <c r="HH8" s="739"/>
      <c r="HI8" s="739"/>
      <c r="HJ8" s="739"/>
      <c r="HK8" s="739"/>
      <c r="HL8" s="739"/>
      <c r="HM8" s="740" t="s">
        <v>93</v>
      </c>
      <c r="HN8" s="739"/>
      <c r="HO8" s="739"/>
      <c r="HP8" s="739" t="s">
        <v>93</v>
      </c>
      <c r="HQ8" s="739"/>
      <c r="HR8" s="739"/>
      <c r="HS8" s="739"/>
      <c r="HT8" s="739"/>
      <c r="HU8" s="739" t="s">
        <v>1362</v>
      </c>
      <c r="HV8" s="739" t="s">
        <v>93</v>
      </c>
      <c r="HW8" s="739"/>
      <c r="HX8" s="739"/>
    </row>
    <row r="9" spans="1:232" s="375" customFormat="1" ht="20" customHeight="1">
      <c r="A9" s="738" t="s">
        <v>62</v>
      </c>
      <c r="B9" s="739"/>
      <c r="C9" s="739" t="str">
        <f>IF(ISTEXT(IFERROR(VLOOKUP(A9,职业列表!I3:J10,1,FALSE),0)),"★","")</f>
        <v/>
      </c>
      <c r="D9" s="739"/>
      <c r="E9" s="739"/>
      <c r="F9" s="739"/>
      <c r="G9" s="739"/>
      <c r="H9" s="739"/>
      <c r="I9" s="739"/>
      <c r="J9" s="739"/>
      <c r="K9" s="739"/>
      <c r="L9" s="739"/>
      <c r="M9" s="739"/>
      <c r="N9" s="739"/>
      <c r="O9" s="739"/>
      <c r="P9" s="739"/>
      <c r="Q9" s="739"/>
      <c r="R9" s="739"/>
      <c r="S9" s="739"/>
      <c r="T9" s="739"/>
      <c r="U9" s="739"/>
      <c r="V9" s="739"/>
      <c r="W9" s="739"/>
      <c r="X9" s="739"/>
      <c r="Y9" s="739"/>
      <c r="Z9" s="739"/>
      <c r="AA9" s="739"/>
      <c r="AB9" s="739"/>
      <c r="AC9" s="739"/>
      <c r="AD9" s="739"/>
      <c r="AE9" s="739"/>
      <c r="AF9" s="739"/>
      <c r="AG9" s="739"/>
      <c r="AH9" s="739"/>
      <c r="AI9" s="739"/>
      <c r="AJ9" s="739"/>
      <c r="AK9" s="739"/>
      <c r="AL9" s="739"/>
      <c r="AM9" s="739"/>
      <c r="AN9" s="739"/>
      <c r="AO9" s="739"/>
      <c r="AP9" s="739"/>
      <c r="AQ9" s="739"/>
      <c r="AR9" s="739"/>
      <c r="AS9" s="739"/>
      <c r="AT9" s="739"/>
      <c r="AU9" s="739"/>
      <c r="AV9" s="739"/>
      <c r="AW9" s="739"/>
      <c r="AX9" s="739"/>
      <c r="AY9" s="739"/>
      <c r="AZ9" s="739"/>
      <c r="BA9" s="739"/>
      <c r="BB9" s="739"/>
      <c r="BC9" s="739"/>
      <c r="BD9" s="739"/>
      <c r="BE9" s="739"/>
      <c r="BF9" s="739"/>
      <c r="BG9" s="739"/>
      <c r="BH9" s="739"/>
      <c r="BI9" s="739"/>
      <c r="BJ9" s="739"/>
      <c r="BK9" s="739"/>
      <c r="BL9" s="739"/>
      <c r="BM9" s="739"/>
      <c r="BN9" s="739"/>
      <c r="BO9" s="739"/>
      <c r="BP9" s="739"/>
      <c r="BQ9" s="739"/>
      <c r="BR9" s="739"/>
      <c r="BS9" s="739"/>
      <c r="BT9" s="739"/>
      <c r="BU9" s="739"/>
      <c r="BV9" s="739"/>
      <c r="BW9" s="739"/>
      <c r="BX9" s="739"/>
      <c r="BY9" s="739"/>
      <c r="BZ9" s="739"/>
      <c r="CA9" s="739"/>
      <c r="CB9" s="739"/>
      <c r="CC9" s="739"/>
      <c r="CD9" s="739"/>
      <c r="CE9" s="739" t="s">
        <v>93</v>
      </c>
      <c r="CF9" s="739"/>
      <c r="CG9" s="739" t="s">
        <v>93</v>
      </c>
      <c r="CH9" s="739"/>
      <c r="CI9" s="739"/>
      <c r="CJ9" s="739"/>
      <c r="CK9" s="739"/>
      <c r="CL9" s="739"/>
      <c r="CM9" s="739"/>
      <c r="CN9" s="739"/>
      <c r="CO9" s="739"/>
      <c r="CP9" s="739"/>
      <c r="CQ9" s="739"/>
      <c r="CR9" s="739"/>
      <c r="CS9" s="739"/>
      <c r="CT9" s="739"/>
      <c r="CU9" s="739"/>
      <c r="CV9" s="739"/>
      <c r="CW9" s="739"/>
      <c r="CX9" s="739"/>
      <c r="CY9" s="739"/>
      <c r="CZ9" s="739"/>
      <c r="DA9" s="739"/>
      <c r="DB9" s="739"/>
      <c r="DC9" s="739"/>
      <c r="DD9" s="739"/>
      <c r="DE9" s="739"/>
      <c r="DF9" s="739"/>
      <c r="DG9" s="739"/>
      <c r="DH9" s="739"/>
      <c r="DI9" s="739"/>
      <c r="DJ9" s="739"/>
      <c r="DK9" s="739"/>
      <c r="DL9" s="739"/>
      <c r="DM9" s="739"/>
      <c r="DN9" s="739"/>
      <c r="DO9" s="739"/>
      <c r="DP9" s="739"/>
      <c r="DQ9" s="739"/>
      <c r="DR9" s="739"/>
      <c r="DS9" s="739"/>
      <c r="DT9" s="739"/>
      <c r="DU9" s="739"/>
      <c r="DV9" s="739"/>
      <c r="DW9" s="739"/>
      <c r="DX9" s="739"/>
      <c r="DY9" s="739"/>
      <c r="DZ9" s="739"/>
      <c r="EA9" s="739"/>
      <c r="EB9" s="739"/>
      <c r="EC9" s="739"/>
      <c r="ED9" s="739"/>
      <c r="EE9" s="739"/>
      <c r="EF9" s="739"/>
      <c r="EG9" s="739"/>
      <c r="EH9" s="739"/>
      <c r="EI9" s="739"/>
      <c r="EJ9" s="739"/>
      <c r="EK9" s="739"/>
      <c r="EL9" s="739"/>
      <c r="EM9" s="739"/>
      <c r="EN9" s="739" t="s">
        <v>93</v>
      </c>
      <c r="EO9" s="739"/>
      <c r="EP9" s="739"/>
      <c r="EQ9" s="739"/>
      <c r="ER9" s="739"/>
      <c r="ES9" s="739"/>
      <c r="ET9" s="739"/>
      <c r="EU9" s="739"/>
      <c r="EV9" s="739"/>
      <c r="EW9" s="739"/>
      <c r="EX9" s="739"/>
      <c r="EY9" s="739"/>
      <c r="EZ9" s="739"/>
      <c r="FA9" s="739"/>
      <c r="FB9" s="739"/>
      <c r="FC9" s="739"/>
      <c r="FD9" s="739"/>
      <c r="FE9" s="739"/>
      <c r="FF9" s="739"/>
      <c r="FG9" s="739"/>
      <c r="FH9" s="739"/>
      <c r="FI9" s="739"/>
      <c r="FJ9" s="739"/>
      <c r="FK9" s="739"/>
      <c r="FL9" s="739"/>
      <c r="FM9" s="739"/>
      <c r="FN9" s="739"/>
      <c r="FO9" s="739"/>
      <c r="FP9" s="739"/>
      <c r="FQ9" s="739"/>
      <c r="FR9" s="739"/>
      <c r="FS9" s="739"/>
      <c r="FT9" s="739"/>
      <c r="FU9" s="739"/>
      <c r="FV9" s="739"/>
      <c r="FW9" s="739"/>
      <c r="FX9" s="739"/>
      <c r="FY9" s="739"/>
      <c r="FZ9" s="739"/>
      <c r="GA9" s="739"/>
      <c r="GB9" s="739"/>
      <c r="GC9" s="739"/>
      <c r="GD9" s="739"/>
      <c r="GE9" s="739"/>
      <c r="GF9" s="739"/>
      <c r="GG9" s="739"/>
      <c r="GH9" s="739"/>
      <c r="GI9" s="739"/>
      <c r="GJ9" s="739"/>
      <c r="GK9" s="739"/>
      <c r="GL9" s="739"/>
      <c r="GM9" s="739"/>
      <c r="GN9" s="739"/>
      <c r="GO9" s="739"/>
      <c r="GP9" s="739"/>
      <c r="GQ9" s="739"/>
      <c r="GR9" s="739"/>
      <c r="GS9" s="739"/>
      <c r="GT9" s="739"/>
      <c r="GU9" s="739"/>
      <c r="GV9" s="739"/>
      <c r="GW9" s="739"/>
      <c r="GX9" s="739"/>
      <c r="GY9" s="739"/>
      <c r="GZ9" s="739"/>
      <c r="HA9" s="739"/>
      <c r="HB9" s="739"/>
      <c r="HC9" s="739"/>
      <c r="HD9" s="739"/>
      <c r="HE9" s="739"/>
      <c r="HF9" s="740" t="s">
        <v>93</v>
      </c>
      <c r="HG9" s="739"/>
      <c r="HH9" s="739"/>
      <c r="HI9" s="739"/>
      <c r="HJ9" s="739"/>
      <c r="HK9" s="739"/>
      <c r="HL9" s="740" t="s">
        <v>93</v>
      </c>
      <c r="HM9" s="739"/>
      <c r="HN9" s="739"/>
      <c r="HO9" s="739"/>
      <c r="HP9" s="739"/>
      <c r="HQ9" s="739"/>
      <c r="HR9" s="739"/>
      <c r="HS9" s="739"/>
      <c r="HT9" s="739"/>
      <c r="HU9" s="739"/>
      <c r="HV9" s="739"/>
      <c r="HW9" s="739"/>
      <c r="HX9" s="739"/>
    </row>
    <row r="10" spans="1:232" s="375" customFormat="1" ht="20" customHeight="1">
      <c r="A10" s="738" t="s">
        <v>66</v>
      </c>
      <c r="B10" s="739"/>
      <c r="C10" s="739" t="str">
        <f>IF(ISTEXT(IFERROR(VLOOKUP(A10,职业列表!I3:J10,1,FALSE),0)),"★","")</f>
        <v/>
      </c>
      <c r="D10" s="739"/>
      <c r="E10" s="739"/>
      <c r="F10" s="739"/>
      <c r="G10" s="739"/>
      <c r="H10" s="739"/>
      <c r="I10" s="739"/>
      <c r="J10" s="739"/>
      <c r="K10" s="739" t="s">
        <v>93</v>
      </c>
      <c r="L10" s="739" t="s">
        <v>93</v>
      </c>
      <c r="M10" s="739" t="s">
        <v>93</v>
      </c>
      <c r="N10" s="739"/>
      <c r="O10" s="739"/>
      <c r="P10" s="739"/>
      <c r="Q10" s="739"/>
      <c r="R10" s="739"/>
      <c r="S10" s="739"/>
      <c r="T10" s="739"/>
      <c r="U10" s="739" t="s">
        <v>93</v>
      </c>
      <c r="V10" s="739"/>
      <c r="W10" s="739"/>
      <c r="X10" s="739" t="s">
        <v>1359</v>
      </c>
      <c r="Y10" s="739"/>
      <c r="Z10" s="739"/>
      <c r="AA10" s="739"/>
      <c r="AB10" s="739"/>
      <c r="AC10" s="739"/>
      <c r="AD10" s="739"/>
      <c r="AE10" s="739"/>
      <c r="AF10" s="739"/>
      <c r="AG10" s="739" t="s">
        <v>93</v>
      </c>
      <c r="AH10" s="739" t="s">
        <v>93</v>
      </c>
      <c r="AI10" s="739" t="s">
        <v>93</v>
      </c>
      <c r="AJ10" s="739"/>
      <c r="AK10" s="739" t="s">
        <v>93</v>
      </c>
      <c r="AL10" s="739" t="s">
        <v>93</v>
      </c>
      <c r="AM10" s="739"/>
      <c r="AN10" s="739"/>
      <c r="AO10" s="739"/>
      <c r="AP10" s="739"/>
      <c r="AQ10" s="739"/>
      <c r="AR10" s="739"/>
      <c r="AS10" s="739"/>
      <c r="AT10" s="739"/>
      <c r="AU10" s="739"/>
      <c r="AV10" s="739"/>
      <c r="AW10" s="739"/>
      <c r="AX10" s="739"/>
      <c r="AY10" s="739"/>
      <c r="AZ10" s="739"/>
      <c r="BA10" s="739"/>
      <c r="BB10" s="739"/>
      <c r="BC10" s="739"/>
      <c r="BD10" s="739"/>
      <c r="BE10" s="739"/>
      <c r="BF10" s="739"/>
      <c r="BG10" s="739"/>
      <c r="BH10" s="739"/>
      <c r="BI10" s="739"/>
      <c r="BJ10" s="739"/>
      <c r="BK10" s="739"/>
      <c r="BL10" s="739"/>
      <c r="BM10" s="739"/>
      <c r="BN10" s="739"/>
      <c r="BO10" s="739"/>
      <c r="BP10" s="739"/>
      <c r="BQ10" s="739"/>
      <c r="BR10" s="739"/>
      <c r="BS10" s="739"/>
      <c r="BT10" s="739"/>
      <c r="BU10" s="739"/>
      <c r="BV10" s="739"/>
      <c r="BW10" s="739"/>
      <c r="BX10" s="739"/>
      <c r="BY10" s="739"/>
      <c r="BZ10" s="739"/>
      <c r="CA10" s="739"/>
      <c r="CB10" s="739" t="s">
        <v>93</v>
      </c>
      <c r="CC10" s="739"/>
      <c r="CD10" s="739"/>
      <c r="CE10" s="739"/>
      <c r="CF10" s="739"/>
      <c r="CG10" s="739"/>
      <c r="CH10" s="739"/>
      <c r="CI10" s="739"/>
      <c r="CJ10" s="739"/>
      <c r="CK10" s="739"/>
      <c r="CL10" s="739"/>
      <c r="CM10" s="739"/>
      <c r="CN10" s="739"/>
      <c r="CO10" s="739"/>
      <c r="CP10" s="739"/>
      <c r="CQ10" s="739"/>
      <c r="CR10" s="739"/>
      <c r="CS10" s="739"/>
      <c r="CT10" s="739"/>
      <c r="CU10" s="739"/>
      <c r="CV10" s="739"/>
      <c r="CW10" s="739"/>
      <c r="CX10" s="739"/>
      <c r="CY10" s="739"/>
      <c r="CZ10" s="739"/>
      <c r="DA10" s="739"/>
      <c r="DB10" s="739"/>
      <c r="DC10" s="739"/>
      <c r="DD10" s="739"/>
      <c r="DE10" s="739"/>
      <c r="DF10" s="739"/>
      <c r="DG10" s="739"/>
      <c r="DH10" s="739"/>
      <c r="DI10" s="739"/>
      <c r="DJ10" s="739"/>
      <c r="DK10" s="739"/>
      <c r="DL10" s="739"/>
      <c r="DM10" s="739"/>
      <c r="DN10" s="739"/>
      <c r="DO10" s="739"/>
      <c r="DP10" s="739"/>
      <c r="DQ10" s="739"/>
      <c r="DR10" s="739"/>
      <c r="DS10" s="739"/>
      <c r="DT10" s="739"/>
      <c r="DU10" s="739"/>
      <c r="DV10" s="739"/>
      <c r="DW10" s="739"/>
      <c r="DX10" s="739"/>
      <c r="DY10" s="739"/>
      <c r="DZ10" s="739"/>
      <c r="EA10" s="739"/>
      <c r="EB10" s="739" t="s">
        <v>93</v>
      </c>
      <c r="EC10" s="739"/>
      <c r="ED10" s="739"/>
      <c r="EE10" s="739"/>
      <c r="EF10" s="739"/>
      <c r="EG10" s="739"/>
      <c r="EH10" s="739"/>
      <c r="EI10" s="739"/>
      <c r="EJ10" s="739"/>
      <c r="EK10" s="739"/>
      <c r="EL10" s="739"/>
      <c r="EM10" s="739"/>
      <c r="EN10" s="739"/>
      <c r="EO10" s="739"/>
      <c r="EP10" s="739"/>
      <c r="EQ10" s="739"/>
      <c r="ER10" s="739"/>
      <c r="ES10" s="739"/>
      <c r="ET10" s="739"/>
      <c r="EU10" s="739"/>
      <c r="EV10" s="739" t="s">
        <v>93</v>
      </c>
      <c r="EW10" s="739"/>
      <c r="EX10" s="739"/>
      <c r="EY10" s="739"/>
      <c r="EZ10" s="739"/>
      <c r="FA10" s="739"/>
      <c r="FB10" s="739" t="s">
        <v>93</v>
      </c>
      <c r="FC10" s="739"/>
      <c r="FD10" s="739"/>
      <c r="FE10" s="739"/>
      <c r="FF10" s="739"/>
      <c r="FG10" s="739"/>
      <c r="FH10" s="739"/>
      <c r="FI10" s="739"/>
      <c r="FJ10" s="739"/>
      <c r="FK10" s="739"/>
      <c r="FL10" s="739"/>
      <c r="FM10" s="739"/>
      <c r="FN10" s="739"/>
      <c r="FO10" s="739"/>
      <c r="FP10" s="739"/>
      <c r="FQ10" s="739"/>
      <c r="FR10" s="739"/>
      <c r="FS10" s="739"/>
      <c r="FT10" s="739"/>
      <c r="FU10" s="739"/>
      <c r="FV10" s="739"/>
      <c r="FW10" s="739"/>
      <c r="FX10" s="739"/>
      <c r="FY10" s="739"/>
      <c r="FZ10" s="739"/>
      <c r="GA10" s="739"/>
      <c r="GB10" s="739"/>
      <c r="GC10" s="739"/>
      <c r="GD10" s="739"/>
      <c r="GE10" s="739"/>
      <c r="GF10" s="739"/>
      <c r="GG10" s="739"/>
      <c r="GH10" s="739"/>
      <c r="GI10" s="739"/>
      <c r="GJ10" s="739"/>
      <c r="GK10" s="739"/>
      <c r="GL10" s="739"/>
      <c r="GM10" s="739"/>
      <c r="GN10" s="739"/>
      <c r="GO10" s="739"/>
      <c r="GP10" s="739"/>
      <c r="GQ10" s="739"/>
      <c r="GR10" s="739"/>
      <c r="GS10" s="739"/>
      <c r="GT10" s="739"/>
      <c r="GU10" s="739"/>
      <c r="GV10" s="739"/>
      <c r="GW10" s="739"/>
      <c r="GX10" s="739"/>
      <c r="GY10" s="740" t="s">
        <v>93</v>
      </c>
      <c r="GZ10" s="739" t="s">
        <v>93</v>
      </c>
      <c r="HA10" s="739"/>
      <c r="HB10" s="740" t="s">
        <v>93</v>
      </c>
      <c r="HC10" s="739"/>
      <c r="HD10" s="739"/>
      <c r="HE10" s="739"/>
      <c r="HF10" s="739" t="s">
        <v>93</v>
      </c>
      <c r="HG10" s="740" t="s">
        <v>93</v>
      </c>
      <c r="HH10" s="740" t="s">
        <v>93</v>
      </c>
      <c r="HI10" s="739"/>
      <c r="HJ10" s="739"/>
      <c r="HK10" s="739"/>
      <c r="HL10" s="740" t="s">
        <v>93</v>
      </c>
      <c r="HM10" s="739"/>
      <c r="HN10" s="740" t="s">
        <v>93</v>
      </c>
      <c r="HO10" s="786" t="s">
        <v>93</v>
      </c>
      <c r="HP10" s="739" t="s">
        <v>93</v>
      </c>
      <c r="HQ10" s="739"/>
      <c r="HR10" s="739"/>
      <c r="HS10" s="739"/>
      <c r="HT10" s="739"/>
      <c r="HU10" s="739" t="s">
        <v>1362</v>
      </c>
      <c r="HV10" s="739" t="s">
        <v>93</v>
      </c>
      <c r="HW10" s="739"/>
      <c r="HX10" s="739"/>
    </row>
    <row r="11" spans="1:232" s="375" customFormat="1" ht="20" customHeight="1">
      <c r="A11" s="738" t="s">
        <v>70</v>
      </c>
      <c r="B11" s="739"/>
      <c r="C11" s="739" t="str">
        <f>IF(ISTEXT(IFERROR(VLOOKUP(A11,职业列表!I3:J10,1,FALSE),0)),"★","")</f>
        <v/>
      </c>
      <c r="D11" s="739"/>
      <c r="E11" s="739"/>
      <c r="F11" s="739"/>
      <c r="G11" s="739"/>
      <c r="H11" s="739"/>
      <c r="I11" s="739"/>
      <c r="J11" s="739"/>
      <c r="K11" s="739"/>
      <c r="L11" s="739"/>
      <c r="M11" s="739" t="s">
        <v>93</v>
      </c>
      <c r="N11" s="739"/>
      <c r="O11" s="739"/>
      <c r="P11" s="739"/>
      <c r="Q11" s="739"/>
      <c r="R11" s="739"/>
      <c r="S11" s="739"/>
      <c r="T11" s="739"/>
      <c r="U11" s="739"/>
      <c r="V11" s="739"/>
      <c r="W11" s="739"/>
      <c r="X11" s="739"/>
      <c r="Y11" s="739"/>
      <c r="Z11" s="739"/>
      <c r="AA11" s="739"/>
      <c r="AB11" s="739"/>
      <c r="AC11" s="739"/>
      <c r="AD11" s="739"/>
      <c r="AE11" s="739"/>
      <c r="AF11" s="739"/>
      <c r="AG11" s="739"/>
      <c r="AH11" s="739"/>
      <c r="AI11" s="739"/>
      <c r="AJ11" s="739"/>
      <c r="AK11" s="739"/>
      <c r="AL11" s="739"/>
      <c r="AM11" s="739"/>
      <c r="AN11" s="739"/>
      <c r="AO11" s="739"/>
      <c r="AP11" s="739"/>
      <c r="AQ11" s="739"/>
      <c r="AR11" s="739"/>
      <c r="AS11" s="739"/>
      <c r="AT11" s="739"/>
      <c r="AU11" s="739"/>
      <c r="AV11" s="739"/>
      <c r="AW11" s="739"/>
      <c r="AX11" s="739"/>
      <c r="AY11" s="739"/>
      <c r="AZ11" s="739"/>
      <c r="BA11" s="739"/>
      <c r="BB11" s="739"/>
      <c r="BC11" s="739"/>
      <c r="BD11" s="739"/>
      <c r="BE11" s="739"/>
      <c r="BF11" s="739"/>
      <c r="BG11" s="739"/>
      <c r="BH11" s="739"/>
      <c r="BI11" s="739"/>
      <c r="BJ11" s="739"/>
      <c r="BK11" s="739"/>
      <c r="BL11" s="739"/>
      <c r="BM11" s="739"/>
      <c r="BN11" s="739"/>
      <c r="BO11" s="739"/>
      <c r="BP11" s="739"/>
      <c r="BQ11" s="739"/>
      <c r="BR11" s="739"/>
      <c r="BS11" s="739"/>
      <c r="BT11" s="739"/>
      <c r="BU11" s="739"/>
      <c r="BV11" s="739"/>
      <c r="BW11" s="739"/>
      <c r="BX11" s="739"/>
      <c r="BY11" s="739"/>
      <c r="BZ11" s="739"/>
      <c r="CA11" s="739"/>
      <c r="CB11" s="739" t="s">
        <v>93</v>
      </c>
      <c r="CC11" s="739"/>
      <c r="CD11" s="739"/>
      <c r="CE11" s="739"/>
      <c r="CF11" s="739"/>
      <c r="CG11" s="739"/>
      <c r="CH11" s="739"/>
      <c r="CI11" s="739"/>
      <c r="CJ11" s="739"/>
      <c r="CK11" s="739"/>
      <c r="CL11" s="739"/>
      <c r="CM11" s="739"/>
      <c r="CN11" s="739"/>
      <c r="CO11" s="739"/>
      <c r="CP11" s="739"/>
      <c r="CQ11" s="739"/>
      <c r="CR11" s="739"/>
      <c r="CS11" s="739"/>
      <c r="CT11" s="739"/>
      <c r="CU11" s="739"/>
      <c r="CV11" s="739"/>
      <c r="CW11" s="739"/>
      <c r="CX11" s="739"/>
      <c r="CY11" s="739"/>
      <c r="CZ11" s="739"/>
      <c r="DA11" s="739"/>
      <c r="DB11" s="739"/>
      <c r="DC11" s="739"/>
      <c r="DD11" s="739"/>
      <c r="DE11" s="739"/>
      <c r="DF11" s="739"/>
      <c r="DG11" s="739"/>
      <c r="DH11" s="739"/>
      <c r="DI11" s="739"/>
      <c r="DJ11" s="739"/>
      <c r="DK11" s="739"/>
      <c r="DL11" s="739"/>
      <c r="DM11" s="739"/>
      <c r="DN11" s="739"/>
      <c r="DO11" s="739"/>
      <c r="DP11" s="739"/>
      <c r="DQ11" s="739"/>
      <c r="DR11" s="739"/>
      <c r="DS11" s="739"/>
      <c r="DT11" s="739"/>
      <c r="DU11" s="739"/>
      <c r="DV11" s="739"/>
      <c r="DW11" s="739"/>
      <c r="DX11" s="739"/>
      <c r="DY11" s="739"/>
      <c r="DZ11" s="739"/>
      <c r="EA11" s="739"/>
      <c r="EB11" s="739"/>
      <c r="EC11" s="739"/>
      <c r="ED11" s="739"/>
      <c r="EE11" s="739"/>
      <c r="EF11" s="739"/>
      <c r="EG11" s="739"/>
      <c r="EH11" s="739"/>
      <c r="EI11" s="739"/>
      <c r="EJ11" s="739"/>
      <c r="EK11" s="739"/>
      <c r="EL11" s="739"/>
      <c r="EM11" s="739"/>
      <c r="EN11" s="739"/>
      <c r="EO11" s="739"/>
      <c r="EP11" s="739"/>
      <c r="EQ11" s="739"/>
      <c r="ER11" s="739"/>
      <c r="ES11" s="739"/>
      <c r="ET11" s="739"/>
      <c r="EU11" s="739"/>
      <c r="EV11" s="739"/>
      <c r="EW11" s="739"/>
      <c r="EX11" s="739"/>
      <c r="EY11" s="739"/>
      <c r="EZ11" s="739"/>
      <c r="FA11" s="739"/>
      <c r="FB11" s="739"/>
      <c r="FC11" s="739"/>
      <c r="FD11" s="739"/>
      <c r="FE11" s="739"/>
      <c r="FF11" s="739"/>
      <c r="FG11" s="739"/>
      <c r="FH11" s="739"/>
      <c r="FI11" s="739"/>
      <c r="FJ11" s="739"/>
      <c r="FK11" s="739"/>
      <c r="FL11" s="739"/>
      <c r="FM11" s="739"/>
      <c r="FN11" s="739"/>
      <c r="FO11" s="739"/>
      <c r="FP11" s="739"/>
      <c r="FQ11" s="739"/>
      <c r="FR11" s="739"/>
      <c r="FS11" s="739"/>
      <c r="FT11" s="739"/>
      <c r="FU11" s="739"/>
      <c r="FV11" s="739"/>
      <c r="FW11" s="739"/>
      <c r="FX11" s="739"/>
      <c r="FY11" s="739"/>
      <c r="FZ11" s="739"/>
      <c r="GA11" s="739"/>
      <c r="GB11" s="739"/>
      <c r="GC11" s="739"/>
      <c r="GD11" s="739"/>
      <c r="GE11" s="739"/>
      <c r="GF11" s="739"/>
      <c r="GG11" s="739"/>
      <c r="GH11" s="739"/>
      <c r="GI11" s="739"/>
      <c r="GJ11" s="739"/>
      <c r="GK11" s="739"/>
      <c r="GL11" s="739"/>
      <c r="GM11" s="739"/>
      <c r="GN11" s="739"/>
      <c r="GO11" s="739"/>
      <c r="GP11" s="739"/>
      <c r="GQ11" s="739"/>
      <c r="GR11" s="739"/>
      <c r="GS11" s="739"/>
      <c r="GT11" s="739"/>
      <c r="GU11" s="739"/>
      <c r="GV11" s="739"/>
      <c r="GW11" s="739"/>
      <c r="GX11" s="739"/>
      <c r="GY11" s="739"/>
      <c r="GZ11" s="739"/>
      <c r="HA11" s="739"/>
      <c r="HB11" s="739"/>
      <c r="HC11" s="739"/>
      <c r="HD11" s="739"/>
      <c r="HE11" s="739"/>
      <c r="HF11" s="739"/>
      <c r="HG11" s="739"/>
      <c r="HH11" s="739"/>
      <c r="HI11" s="739"/>
      <c r="HJ11" s="739"/>
      <c r="HK11" s="739"/>
      <c r="HL11" s="739" t="s">
        <v>93</v>
      </c>
      <c r="HM11" s="739"/>
      <c r="HN11" s="739"/>
      <c r="HO11" s="739"/>
      <c r="HP11" s="739"/>
      <c r="HQ11" s="739"/>
      <c r="HR11" s="739"/>
      <c r="HS11" s="739"/>
      <c r="HT11" s="739"/>
      <c r="HU11" s="739"/>
      <c r="HV11" s="739"/>
      <c r="HW11" s="739"/>
      <c r="HX11" s="739"/>
    </row>
    <row r="12" spans="1:232" s="722" customFormat="1" ht="20" customHeight="1">
      <c r="A12" s="741" t="s">
        <v>72</v>
      </c>
      <c r="B12" s="742"/>
      <c r="C12" s="739" t="str">
        <f>IF(ISTEXT(IFERROR(VLOOKUP(A12,职业列表!I3:J10,1,FALSE),0)),"★","")</f>
        <v/>
      </c>
      <c r="D12" s="742"/>
      <c r="E12" s="742"/>
      <c r="F12" s="742" t="s">
        <v>1363</v>
      </c>
      <c r="G12" s="742" t="s">
        <v>1363</v>
      </c>
      <c r="H12" s="742"/>
      <c r="I12" s="742"/>
      <c r="J12" s="742"/>
      <c r="K12" s="742" t="s">
        <v>93</v>
      </c>
      <c r="L12" s="742"/>
      <c r="M12" s="742"/>
      <c r="N12" s="742" t="s">
        <v>1364</v>
      </c>
      <c r="O12" s="742" t="s">
        <v>93</v>
      </c>
      <c r="P12" s="742"/>
      <c r="Q12" s="742"/>
      <c r="R12" s="742" t="s">
        <v>1365</v>
      </c>
      <c r="S12" s="742"/>
      <c r="T12" s="742"/>
      <c r="U12" s="742"/>
      <c r="V12" s="742"/>
      <c r="W12" s="742"/>
      <c r="X12" s="742" t="s">
        <v>93</v>
      </c>
      <c r="Y12" s="742"/>
      <c r="Z12" s="742"/>
      <c r="AA12" s="742"/>
      <c r="AB12" s="742"/>
      <c r="AC12" s="742" t="s">
        <v>93</v>
      </c>
      <c r="AD12" s="742"/>
      <c r="AE12" s="742"/>
      <c r="AF12" s="742"/>
      <c r="AG12" s="742"/>
      <c r="AH12" s="742" t="s">
        <v>1363</v>
      </c>
      <c r="AI12" s="742" t="s">
        <v>1366</v>
      </c>
      <c r="AJ12" s="742" t="s">
        <v>93</v>
      </c>
      <c r="AK12" s="742" t="s">
        <v>1367</v>
      </c>
      <c r="AL12" s="742" t="s">
        <v>1367</v>
      </c>
      <c r="AM12" s="742"/>
      <c r="AN12" s="742"/>
      <c r="AO12" s="742"/>
      <c r="AP12" s="742"/>
      <c r="AQ12" s="742" t="s">
        <v>1368</v>
      </c>
      <c r="AR12" s="742" t="s">
        <v>93</v>
      </c>
      <c r="AS12" s="742"/>
      <c r="AT12" s="742"/>
      <c r="AU12" s="742"/>
      <c r="AV12" s="742"/>
      <c r="AW12" s="742"/>
      <c r="AX12" s="742"/>
      <c r="AY12" s="742"/>
      <c r="AZ12" s="742"/>
      <c r="BA12" s="742" t="s">
        <v>1364</v>
      </c>
      <c r="BB12" s="742" t="s">
        <v>1369</v>
      </c>
      <c r="BC12" s="742"/>
      <c r="BD12" s="742" t="s">
        <v>1370</v>
      </c>
      <c r="BE12" s="742"/>
      <c r="BF12" s="742"/>
      <c r="BG12" s="742"/>
      <c r="BH12" s="742"/>
      <c r="BI12" s="742" t="s">
        <v>1363</v>
      </c>
      <c r="BJ12" s="742"/>
      <c r="BK12" s="742"/>
      <c r="BL12" s="742" t="s">
        <v>93</v>
      </c>
      <c r="BM12" s="742" t="s">
        <v>93</v>
      </c>
      <c r="BN12" s="742"/>
      <c r="BO12" s="778" t="s">
        <v>1371</v>
      </c>
      <c r="BP12" s="742" t="s">
        <v>1363</v>
      </c>
      <c r="BQ12" s="742"/>
      <c r="BR12" s="742"/>
      <c r="BS12" s="742"/>
      <c r="BT12" s="742"/>
      <c r="BU12" s="742"/>
      <c r="BV12" s="742"/>
      <c r="BW12" s="742"/>
      <c r="BX12" s="742" t="s">
        <v>93</v>
      </c>
      <c r="BY12" s="742"/>
      <c r="BZ12" s="742" t="s">
        <v>93</v>
      </c>
      <c r="CA12" s="742"/>
      <c r="CB12" s="742"/>
      <c r="CC12" s="742" t="s">
        <v>1372</v>
      </c>
      <c r="CD12" s="742"/>
      <c r="CE12" s="742"/>
      <c r="CF12" s="742"/>
      <c r="CG12" s="742" t="s">
        <v>1368</v>
      </c>
      <c r="CH12" s="742"/>
      <c r="CI12" s="742" t="s">
        <v>1368</v>
      </c>
      <c r="CJ12" s="742" t="s">
        <v>1368</v>
      </c>
      <c r="CK12" s="742"/>
      <c r="CL12" s="742"/>
      <c r="CM12" s="778" t="s">
        <v>1366</v>
      </c>
      <c r="CN12" s="742"/>
      <c r="CO12" s="742" t="s">
        <v>1368</v>
      </c>
      <c r="CP12" s="742"/>
      <c r="CQ12" s="742"/>
      <c r="CR12" s="742" t="s">
        <v>93</v>
      </c>
      <c r="CS12" s="742"/>
      <c r="CT12" s="742"/>
      <c r="CU12" s="742"/>
      <c r="CV12" s="742"/>
      <c r="CW12" s="742"/>
      <c r="CX12" s="742"/>
      <c r="CY12" s="742"/>
      <c r="CZ12" s="742"/>
      <c r="DA12" s="742"/>
      <c r="DB12" s="742"/>
      <c r="DC12" s="742" t="s">
        <v>1366</v>
      </c>
      <c r="DD12" s="742"/>
      <c r="DE12" s="742"/>
      <c r="DF12" s="742"/>
      <c r="DG12" s="742"/>
      <c r="DH12" s="742"/>
      <c r="DI12" s="742" t="s">
        <v>93</v>
      </c>
      <c r="DJ12" s="742"/>
      <c r="DK12" s="742"/>
      <c r="DL12" s="742"/>
      <c r="DM12" s="742" t="s">
        <v>1373</v>
      </c>
      <c r="DN12" s="742"/>
      <c r="DO12" s="742"/>
      <c r="DP12" s="742"/>
      <c r="DQ12" s="742"/>
      <c r="DR12" s="742"/>
      <c r="DS12" s="742"/>
      <c r="DT12" s="742"/>
      <c r="DU12" s="742"/>
      <c r="DV12" s="742"/>
      <c r="DW12" s="742"/>
      <c r="DX12" s="742"/>
      <c r="DY12" s="742"/>
      <c r="DZ12" s="742" t="s">
        <v>1365</v>
      </c>
      <c r="EA12" s="742"/>
      <c r="EB12" s="742"/>
      <c r="EC12" s="742"/>
      <c r="ED12" s="742"/>
      <c r="EE12" s="742"/>
      <c r="EF12" s="742"/>
      <c r="EG12" s="742"/>
      <c r="EH12" s="742"/>
      <c r="EI12" s="742"/>
      <c r="EJ12" s="742"/>
      <c r="EK12" s="742" t="s">
        <v>93</v>
      </c>
      <c r="EL12" s="742" t="s">
        <v>1368</v>
      </c>
      <c r="EM12" s="742"/>
      <c r="EN12" s="742"/>
      <c r="EO12" s="742" t="s">
        <v>1372</v>
      </c>
      <c r="EP12" s="742"/>
      <c r="EQ12" s="742" t="s">
        <v>1363</v>
      </c>
      <c r="ER12" s="742"/>
      <c r="ES12" s="742"/>
      <c r="ET12" s="742"/>
      <c r="EU12" s="742" t="s">
        <v>93</v>
      </c>
      <c r="EV12" s="742"/>
      <c r="EW12" s="742" t="s">
        <v>1368</v>
      </c>
      <c r="EX12" s="742"/>
      <c r="EY12" s="742"/>
      <c r="EZ12" s="742" t="s">
        <v>1368</v>
      </c>
      <c r="FA12" s="742"/>
      <c r="FB12" s="742"/>
      <c r="FC12" s="742"/>
      <c r="FD12" s="742"/>
      <c r="FE12" s="742" t="s">
        <v>1374</v>
      </c>
      <c r="FF12" s="742" t="s">
        <v>1374</v>
      </c>
      <c r="FG12" s="742" t="s">
        <v>93</v>
      </c>
      <c r="FH12" s="742"/>
      <c r="FI12" s="742"/>
      <c r="FJ12" s="742" t="s">
        <v>1363</v>
      </c>
      <c r="FK12" s="742" t="s">
        <v>1374</v>
      </c>
      <c r="FL12" s="742"/>
      <c r="FM12" s="742"/>
      <c r="FN12" s="742"/>
      <c r="FO12" s="742"/>
      <c r="FP12" s="742"/>
      <c r="FQ12" s="742" t="s">
        <v>93</v>
      </c>
      <c r="FR12" s="742" t="s">
        <v>93</v>
      </c>
      <c r="FS12" s="742" t="s">
        <v>1375</v>
      </c>
      <c r="FT12" s="742"/>
      <c r="FU12" s="742"/>
      <c r="FV12" s="742"/>
      <c r="FW12" s="742" t="s">
        <v>1368</v>
      </c>
      <c r="FX12" s="742"/>
      <c r="FY12" s="742" t="s">
        <v>1369</v>
      </c>
      <c r="FZ12" s="742" t="s">
        <v>1368</v>
      </c>
      <c r="GA12" s="742"/>
      <c r="GB12" s="742"/>
      <c r="GC12" s="742"/>
      <c r="GD12" s="742"/>
      <c r="GE12" s="742"/>
      <c r="GF12" s="742"/>
      <c r="GG12" s="742" t="s">
        <v>1363</v>
      </c>
      <c r="GH12" s="742" t="s">
        <v>1376</v>
      </c>
      <c r="GI12" s="742" t="s">
        <v>1363</v>
      </c>
      <c r="GJ12" s="742"/>
      <c r="GK12" s="742" t="s">
        <v>1363</v>
      </c>
      <c r="GL12" s="742" t="s">
        <v>1363</v>
      </c>
      <c r="GM12" s="742" t="s">
        <v>1363</v>
      </c>
      <c r="GN12" s="742" t="s">
        <v>1363</v>
      </c>
      <c r="GO12" s="742"/>
      <c r="GP12" s="742" t="s">
        <v>1368</v>
      </c>
      <c r="GQ12" s="742" t="s">
        <v>1363</v>
      </c>
      <c r="GR12" s="742" t="s">
        <v>1375</v>
      </c>
      <c r="GS12" s="742" t="s">
        <v>1377</v>
      </c>
      <c r="GT12" s="742"/>
      <c r="GU12" s="742"/>
      <c r="GV12" s="742"/>
      <c r="GW12" s="742"/>
      <c r="GX12" s="742" t="s">
        <v>1378</v>
      </c>
      <c r="GY12" s="778" t="s">
        <v>93</v>
      </c>
      <c r="GZ12" s="778" t="s">
        <v>93</v>
      </c>
      <c r="HA12" s="742"/>
      <c r="HB12" s="778" t="s">
        <v>93</v>
      </c>
      <c r="HC12" s="778" t="s">
        <v>1379</v>
      </c>
      <c r="HD12" s="742"/>
      <c r="HE12" s="742"/>
      <c r="HF12" s="742"/>
      <c r="HG12" s="742" t="s">
        <v>93</v>
      </c>
      <c r="HH12" s="742"/>
      <c r="HI12" s="742"/>
      <c r="HJ12" s="742" t="s">
        <v>93</v>
      </c>
      <c r="HK12" s="742"/>
      <c r="HL12" s="742"/>
      <c r="HM12" s="778" t="s">
        <v>1368</v>
      </c>
      <c r="HN12" s="778" t="s">
        <v>1368</v>
      </c>
      <c r="HO12" s="742" t="s">
        <v>1362</v>
      </c>
      <c r="HP12" s="742"/>
      <c r="HQ12" s="742"/>
      <c r="HR12" s="742"/>
      <c r="HS12" s="742"/>
      <c r="HT12" s="778" t="s">
        <v>93</v>
      </c>
      <c r="HU12" s="778" t="s">
        <v>93</v>
      </c>
      <c r="HV12" s="778" t="s">
        <v>93</v>
      </c>
      <c r="HW12" s="742"/>
      <c r="HX12" s="742"/>
    </row>
    <row r="13" spans="1:232" s="375" customFormat="1" ht="20" customHeight="1">
      <c r="A13" s="743" t="s">
        <v>74</v>
      </c>
      <c r="B13" s="739"/>
      <c r="C13" s="739" t="str">
        <f>IF(ISTEXT(IFERROR(VLOOKUP(A13,职业列表!I3:J10,1,FALSE),0)),"★","")</f>
        <v/>
      </c>
      <c r="D13" s="744"/>
      <c r="E13" s="744"/>
      <c r="F13" s="744"/>
      <c r="G13" s="744"/>
      <c r="H13" s="744"/>
      <c r="I13" s="744"/>
      <c r="J13" s="744"/>
      <c r="K13" s="744"/>
      <c r="L13" s="744"/>
      <c r="M13" s="744"/>
      <c r="N13" s="739"/>
      <c r="O13" s="744"/>
      <c r="P13" s="744"/>
      <c r="Q13" s="744"/>
      <c r="R13" s="744"/>
      <c r="S13" s="744"/>
      <c r="T13" s="744"/>
      <c r="U13" s="744"/>
      <c r="V13" s="744"/>
      <c r="W13" s="744"/>
      <c r="X13" s="744"/>
      <c r="Y13" s="744"/>
      <c r="Z13" s="744"/>
      <c r="AA13" s="744"/>
      <c r="AB13" s="744"/>
      <c r="AC13" s="739" t="s">
        <v>93</v>
      </c>
      <c r="AD13" s="744"/>
      <c r="AE13" s="744"/>
      <c r="AF13" s="744"/>
      <c r="AG13" s="744"/>
      <c r="AH13" s="744"/>
      <c r="AI13" s="744"/>
      <c r="AJ13" s="744"/>
      <c r="AK13" s="744"/>
      <c r="AL13" s="744"/>
      <c r="AM13" s="744"/>
      <c r="AN13" s="744"/>
      <c r="AO13" s="744"/>
      <c r="AP13" s="744"/>
      <c r="AQ13" s="739" t="s">
        <v>93</v>
      </c>
      <c r="AR13" s="744"/>
      <c r="AS13" s="744"/>
      <c r="AT13" s="744"/>
      <c r="AU13" s="744"/>
      <c r="AV13" s="744"/>
      <c r="AW13" s="744"/>
      <c r="AX13" s="744"/>
      <c r="AY13" s="744"/>
      <c r="AZ13" s="744"/>
      <c r="BA13" s="739"/>
      <c r="BB13" s="744" t="s">
        <v>1380</v>
      </c>
      <c r="BC13" s="744"/>
      <c r="BD13" s="744"/>
      <c r="BE13" s="744"/>
      <c r="BF13" s="744"/>
      <c r="BG13" s="744"/>
      <c r="BH13" s="744"/>
      <c r="BI13" s="744"/>
      <c r="BJ13" s="744"/>
      <c r="BK13" s="744"/>
      <c r="BL13" s="744"/>
      <c r="BM13" s="744"/>
      <c r="BN13" s="744"/>
      <c r="BO13" s="744" t="s">
        <v>1381</v>
      </c>
      <c r="BP13" s="744"/>
      <c r="BQ13" s="744"/>
      <c r="BR13" s="744"/>
      <c r="BS13" s="744"/>
      <c r="BT13" s="744"/>
      <c r="BU13" s="744"/>
      <c r="BV13" s="744"/>
      <c r="BW13" s="744"/>
      <c r="BX13" s="739" t="s">
        <v>93</v>
      </c>
      <c r="BY13" s="744"/>
      <c r="BZ13" s="744"/>
      <c r="CA13" s="744"/>
      <c r="CB13" s="744"/>
      <c r="CC13" s="744"/>
      <c r="CD13" s="744"/>
      <c r="CE13" s="744"/>
      <c r="CF13" s="744"/>
      <c r="CG13" s="744"/>
      <c r="CH13" s="744"/>
      <c r="CI13" s="744"/>
      <c r="CJ13" s="744"/>
      <c r="CK13" s="744"/>
      <c r="CL13" s="744"/>
      <c r="CM13" s="744"/>
      <c r="CN13" s="744"/>
      <c r="CO13" s="744"/>
      <c r="CP13" s="744"/>
      <c r="CQ13" s="744"/>
      <c r="CR13" s="744"/>
      <c r="CS13" s="744"/>
      <c r="CT13" s="744"/>
      <c r="CU13" s="744"/>
      <c r="CV13" s="744"/>
      <c r="CW13" s="744"/>
      <c r="CX13" s="744"/>
      <c r="CY13" s="744"/>
      <c r="CZ13" s="770" t="s">
        <v>1382</v>
      </c>
      <c r="DA13" s="744"/>
      <c r="DB13" s="744"/>
      <c r="DC13" s="744"/>
      <c r="DD13" s="744"/>
      <c r="DE13" s="744"/>
      <c r="DF13" s="744"/>
      <c r="DG13" s="744"/>
      <c r="DH13" s="744"/>
      <c r="DI13" s="744"/>
      <c r="DJ13" s="744"/>
      <c r="DK13" s="744"/>
      <c r="DL13" s="744"/>
      <c r="DM13" s="744"/>
      <c r="DN13" s="739"/>
      <c r="DO13" s="739"/>
      <c r="DP13" s="739"/>
      <c r="DQ13" s="739"/>
      <c r="DR13" s="739"/>
      <c r="DS13" s="739"/>
      <c r="DT13" s="739"/>
      <c r="DU13" s="739"/>
      <c r="DV13" s="739"/>
      <c r="DW13" s="739"/>
      <c r="DX13" s="739"/>
      <c r="DY13" s="739"/>
      <c r="DZ13" s="739"/>
      <c r="EA13" s="739"/>
      <c r="EB13" s="739"/>
      <c r="EC13" s="739"/>
      <c r="ED13" s="739"/>
      <c r="EE13" s="739"/>
      <c r="EF13" s="739"/>
      <c r="EG13" s="739"/>
      <c r="EH13" s="739"/>
      <c r="EI13" s="739"/>
      <c r="EJ13" s="739"/>
      <c r="EK13" s="739"/>
      <c r="EL13" s="739"/>
      <c r="EM13" s="739"/>
      <c r="EN13" s="739"/>
      <c r="EO13" s="739"/>
      <c r="EP13" s="739"/>
      <c r="EQ13" s="739"/>
      <c r="ER13" s="739"/>
      <c r="ES13" s="739"/>
      <c r="ET13" s="739"/>
      <c r="EU13" s="739"/>
      <c r="EV13" s="739"/>
      <c r="EW13" s="739"/>
      <c r="EX13" s="739"/>
      <c r="EY13" s="739"/>
      <c r="EZ13" s="739"/>
      <c r="FA13" s="739"/>
      <c r="FB13" s="739"/>
      <c r="FC13" s="739"/>
      <c r="FD13" s="739"/>
      <c r="FE13" s="739"/>
      <c r="FF13" s="739" t="s">
        <v>93</v>
      </c>
      <c r="FG13" s="739"/>
      <c r="FH13" s="739"/>
      <c r="FI13" s="739"/>
      <c r="FJ13" s="739"/>
      <c r="FK13" s="739" t="s">
        <v>93</v>
      </c>
      <c r="FL13" s="739"/>
      <c r="FM13" s="739"/>
      <c r="FN13" s="739"/>
      <c r="FO13" s="739"/>
      <c r="FP13" s="739"/>
      <c r="FQ13" s="739"/>
      <c r="FR13" s="739"/>
      <c r="FS13" s="739"/>
      <c r="FT13" s="739"/>
      <c r="FU13" s="739"/>
      <c r="FV13" s="739"/>
      <c r="FW13" s="739"/>
      <c r="FX13" s="739"/>
      <c r="FY13" s="739" t="s">
        <v>1380</v>
      </c>
      <c r="FZ13" s="739" t="s">
        <v>93</v>
      </c>
      <c r="GA13" s="739"/>
      <c r="GB13" s="739"/>
      <c r="GC13" s="739"/>
      <c r="GD13" s="739"/>
      <c r="GE13" s="739"/>
      <c r="GF13" s="739"/>
      <c r="GG13" s="739" t="s">
        <v>1376</v>
      </c>
      <c r="GH13" s="739" t="s">
        <v>1383</v>
      </c>
      <c r="GI13" s="739" t="s">
        <v>1384</v>
      </c>
      <c r="GJ13" s="739"/>
      <c r="GK13" s="739"/>
      <c r="GL13" s="739"/>
      <c r="GM13" s="739"/>
      <c r="GN13" s="739" t="s">
        <v>1376</v>
      </c>
      <c r="GO13" s="739"/>
      <c r="GP13" s="739"/>
      <c r="GQ13" s="739"/>
      <c r="GR13" s="739" t="s">
        <v>1385</v>
      </c>
      <c r="GS13" s="739"/>
      <c r="GT13" s="739"/>
      <c r="GU13" s="739"/>
      <c r="GV13" s="739"/>
      <c r="GW13" s="739"/>
      <c r="GX13" s="739"/>
      <c r="GY13" s="744"/>
      <c r="GZ13" s="744"/>
      <c r="HA13" s="744"/>
      <c r="HB13" s="744"/>
      <c r="HC13" s="744"/>
      <c r="HD13" s="744"/>
      <c r="HE13" s="744"/>
      <c r="HF13" s="739"/>
      <c r="HG13" s="744"/>
      <c r="HH13" s="744"/>
      <c r="HI13" s="744"/>
      <c r="HJ13" s="744"/>
      <c r="HK13" s="744"/>
      <c r="HL13" s="744"/>
      <c r="HM13" s="744"/>
      <c r="HN13" s="744"/>
      <c r="HO13" s="744"/>
      <c r="HP13" s="744"/>
      <c r="HQ13" s="744"/>
      <c r="HR13" s="744"/>
      <c r="HS13" s="744"/>
      <c r="HT13" s="744"/>
      <c r="HU13" s="739"/>
      <c r="HV13" s="744"/>
      <c r="HW13" s="744"/>
      <c r="HX13" s="744"/>
    </row>
    <row r="14" spans="1:232" s="375" customFormat="1" ht="20" customHeight="1">
      <c r="A14" s="743" t="s">
        <v>76</v>
      </c>
      <c r="B14" s="739"/>
      <c r="C14" s="739" t="str">
        <f>IF(ISTEXT(IFERROR(VLOOKUP(A14,职业列表!I3:J10,1,FALSE),0)),"★","")</f>
        <v/>
      </c>
      <c r="D14" s="744"/>
      <c r="E14" s="744"/>
      <c r="F14" s="744"/>
      <c r="G14" s="744"/>
      <c r="H14" s="744"/>
      <c r="I14" s="744"/>
      <c r="J14" s="744"/>
      <c r="K14" s="744"/>
      <c r="L14" s="744"/>
      <c r="M14" s="744"/>
      <c r="N14" s="744"/>
      <c r="O14" s="744"/>
      <c r="P14" s="744"/>
      <c r="Q14" s="744"/>
      <c r="R14" s="744"/>
      <c r="S14" s="744"/>
      <c r="T14" s="744"/>
      <c r="U14" s="744"/>
      <c r="V14" s="744"/>
      <c r="W14" s="744"/>
      <c r="X14" s="744"/>
      <c r="Y14" s="744"/>
      <c r="Z14" s="744"/>
      <c r="AA14" s="744"/>
      <c r="AB14" s="744"/>
      <c r="AC14" s="744"/>
      <c r="AD14" s="744"/>
      <c r="AE14" s="744"/>
      <c r="AF14" s="744"/>
      <c r="AG14" s="744"/>
      <c r="AH14" s="744"/>
      <c r="AI14" s="744"/>
      <c r="AJ14" s="744"/>
      <c r="AK14" s="744"/>
      <c r="AL14" s="744"/>
      <c r="AM14" s="744"/>
      <c r="AN14" s="744"/>
      <c r="AO14" s="744"/>
      <c r="AP14" s="744"/>
      <c r="AQ14" s="744"/>
      <c r="AR14" s="744"/>
      <c r="AS14" s="744"/>
      <c r="AT14" s="744"/>
      <c r="AU14" s="744"/>
      <c r="AV14" s="744"/>
      <c r="AW14" s="744"/>
      <c r="AX14" s="744"/>
      <c r="AY14" s="744"/>
      <c r="AZ14" s="744"/>
      <c r="BA14" s="744"/>
      <c r="BB14" s="744" t="s">
        <v>1386</v>
      </c>
      <c r="BC14" s="744"/>
      <c r="BD14" s="744"/>
      <c r="BE14" s="744"/>
      <c r="BF14" s="744"/>
      <c r="BG14" s="744"/>
      <c r="BH14" s="744"/>
      <c r="BI14" s="744"/>
      <c r="BJ14" s="744"/>
      <c r="BK14" s="744"/>
      <c r="BL14" s="744"/>
      <c r="BM14" s="744"/>
      <c r="BN14" s="744"/>
      <c r="BO14" s="744"/>
      <c r="BP14" s="744"/>
      <c r="BQ14" s="744"/>
      <c r="BR14" s="744"/>
      <c r="BS14" s="744"/>
      <c r="BT14" s="744"/>
      <c r="BU14" s="744"/>
      <c r="BV14" s="744"/>
      <c r="BW14" s="744"/>
      <c r="BX14" s="739" t="s">
        <v>93</v>
      </c>
      <c r="BY14" s="744"/>
      <c r="BZ14" s="744"/>
      <c r="CA14" s="744"/>
      <c r="CB14" s="744"/>
      <c r="CC14" s="744"/>
      <c r="CD14" s="744"/>
      <c r="CE14" s="744"/>
      <c r="CF14" s="744"/>
      <c r="CG14" s="744"/>
      <c r="CH14" s="744"/>
      <c r="CI14" s="744"/>
      <c r="CJ14" s="744"/>
      <c r="CK14" s="744"/>
      <c r="CL14" s="744"/>
      <c r="CM14" s="744"/>
      <c r="CN14" s="744"/>
      <c r="CO14" s="744"/>
      <c r="CP14" s="744"/>
      <c r="CQ14" s="744"/>
      <c r="CR14" s="744"/>
      <c r="CS14" s="744"/>
      <c r="CT14" s="744"/>
      <c r="CU14" s="744"/>
      <c r="CV14" s="744"/>
      <c r="CW14" s="744"/>
      <c r="CX14" s="744"/>
      <c r="CY14" s="744"/>
      <c r="CZ14" s="770" t="s">
        <v>1387</v>
      </c>
      <c r="DA14" s="744"/>
      <c r="DB14" s="744"/>
      <c r="DC14" s="744"/>
      <c r="DD14" s="744"/>
      <c r="DE14" s="744"/>
      <c r="DF14" s="744"/>
      <c r="DG14" s="744"/>
      <c r="DH14" s="744"/>
      <c r="DI14" s="744"/>
      <c r="DJ14" s="744"/>
      <c r="DK14" s="744"/>
      <c r="DL14" s="744"/>
      <c r="DM14" s="744"/>
      <c r="DN14" s="739"/>
      <c r="DO14" s="739"/>
      <c r="DP14" s="739"/>
      <c r="DQ14" s="739"/>
      <c r="DR14" s="739"/>
      <c r="DS14" s="739"/>
      <c r="DT14" s="739"/>
      <c r="DU14" s="739"/>
      <c r="DV14" s="739"/>
      <c r="DW14" s="739"/>
      <c r="DX14" s="739"/>
      <c r="DY14" s="739"/>
      <c r="DZ14" s="739"/>
      <c r="EA14" s="739"/>
      <c r="EB14" s="739"/>
      <c r="EC14" s="739"/>
      <c r="ED14" s="739"/>
      <c r="EE14" s="739"/>
      <c r="EF14" s="739"/>
      <c r="EG14" s="739"/>
      <c r="EH14" s="739"/>
      <c r="EI14" s="739"/>
      <c r="EJ14" s="739"/>
      <c r="EK14" s="739"/>
      <c r="EL14" s="739"/>
      <c r="EM14" s="739"/>
      <c r="EN14" s="739"/>
      <c r="EO14" s="739"/>
      <c r="EP14" s="739"/>
      <c r="EQ14" s="739"/>
      <c r="ER14" s="739"/>
      <c r="ES14" s="739"/>
      <c r="ET14" s="739"/>
      <c r="EU14" s="739"/>
      <c r="EV14" s="739"/>
      <c r="EW14" s="739"/>
      <c r="EX14" s="739"/>
      <c r="EY14" s="739"/>
      <c r="EZ14" s="739"/>
      <c r="FA14" s="739"/>
      <c r="FB14" s="739"/>
      <c r="FC14" s="739"/>
      <c r="FD14" s="739"/>
      <c r="FE14" s="739"/>
      <c r="FF14" s="739"/>
      <c r="FG14" s="739"/>
      <c r="FH14" s="739"/>
      <c r="FI14" s="739"/>
      <c r="FJ14" s="739"/>
      <c r="FK14" s="739"/>
      <c r="FL14" s="739"/>
      <c r="FM14" s="739"/>
      <c r="FN14" s="739"/>
      <c r="FO14" s="739"/>
      <c r="FP14" s="739"/>
      <c r="FQ14" s="739"/>
      <c r="FR14" s="739"/>
      <c r="FS14" s="739"/>
      <c r="FT14" s="739"/>
      <c r="FU14" s="739"/>
      <c r="FV14" s="739"/>
      <c r="FW14" s="739"/>
      <c r="FX14" s="739"/>
      <c r="FY14" s="739" t="s">
        <v>1386</v>
      </c>
      <c r="FZ14" s="739"/>
      <c r="GA14" s="739"/>
      <c r="GB14" s="739"/>
      <c r="GC14" s="739"/>
      <c r="GD14" s="739"/>
      <c r="GE14" s="739"/>
      <c r="GF14" s="739"/>
      <c r="GG14" s="739" t="s">
        <v>1383</v>
      </c>
      <c r="GH14" s="739" t="s">
        <v>1372</v>
      </c>
      <c r="GI14" s="739" t="s">
        <v>1388</v>
      </c>
      <c r="GJ14" s="739"/>
      <c r="GK14" s="739"/>
      <c r="GL14" s="739"/>
      <c r="GM14" s="739"/>
      <c r="GN14" s="739" t="s">
        <v>1384</v>
      </c>
      <c r="GO14" s="739"/>
      <c r="GP14" s="739"/>
      <c r="GQ14" s="739"/>
      <c r="GR14" s="739" t="s">
        <v>1389</v>
      </c>
      <c r="GS14" s="739"/>
      <c r="GT14" s="739"/>
      <c r="GU14" s="739"/>
      <c r="GV14" s="739"/>
      <c r="GW14" s="739"/>
      <c r="GX14" s="739"/>
      <c r="GY14" s="744"/>
      <c r="GZ14" s="744"/>
      <c r="HA14" s="744"/>
      <c r="HB14" s="744"/>
      <c r="HC14" s="744"/>
      <c r="HD14" s="744"/>
      <c r="HE14" s="744"/>
      <c r="HF14" s="744"/>
      <c r="HG14" s="744"/>
      <c r="HH14" s="744"/>
      <c r="HI14" s="744"/>
      <c r="HJ14" s="744"/>
      <c r="HK14" s="744"/>
      <c r="HL14" s="744"/>
      <c r="HM14" s="744"/>
      <c r="HN14" s="744"/>
      <c r="HO14" s="744"/>
      <c r="HP14" s="744"/>
      <c r="HQ14" s="744"/>
      <c r="HR14" s="744"/>
      <c r="HS14" s="744"/>
      <c r="HT14" s="744"/>
      <c r="HU14" s="744"/>
      <c r="HV14" s="744"/>
      <c r="HW14" s="744"/>
      <c r="HX14" s="744"/>
    </row>
    <row r="15" spans="1:232" s="723" customFormat="1" ht="20" customHeight="1">
      <c r="A15" s="745" t="s">
        <v>78</v>
      </c>
      <c r="B15" s="746"/>
      <c r="C15" s="739" t="str">
        <f>IF(ISTEXT(IFERROR(VLOOKUP(A15,职业列表!I3:J10,1,FALSE),0)),"★","")</f>
        <v/>
      </c>
      <c r="D15" s="746"/>
      <c r="E15" s="746"/>
      <c r="F15" s="768" t="s">
        <v>1361</v>
      </c>
      <c r="G15" s="746" t="s">
        <v>1361</v>
      </c>
      <c r="H15" s="746" t="s">
        <v>1361</v>
      </c>
      <c r="I15" s="746"/>
      <c r="J15" s="746"/>
      <c r="K15" s="746" t="s">
        <v>1361</v>
      </c>
      <c r="L15" s="746" t="s">
        <v>1361</v>
      </c>
      <c r="M15" s="746"/>
      <c r="N15" s="746"/>
      <c r="O15" s="746" t="s">
        <v>1361</v>
      </c>
      <c r="P15" s="768" t="s">
        <v>1361</v>
      </c>
      <c r="Q15" s="746" t="s">
        <v>1361</v>
      </c>
      <c r="R15" s="746"/>
      <c r="S15" s="746" t="s">
        <v>1361</v>
      </c>
      <c r="T15" s="746"/>
      <c r="U15" s="746" t="s">
        <v>1361</v>
      </c>
      <c r="V15" s="746" t="s">
        <v>1361</v>
      </c>
      <c r="W15" s="746"/>
      <c r="X15" s="746"/>
      <c r="Y15" s="746" t="s">
        <v>1361</v>
      </c>
      <c r="Z15" s="746"/>
      <c r="AA15" s="746" t="s">
        <v>1361</v>
      </c>
      <c r="AB15" s="746"/>
      <c r="AC15" s="746"/>
      <c r="AD15" s="746"/>
      <c r="AE15" s="746"/>
      <c r="AF15" s="746" t="s">
        <v>1361</v>
      </c>
      <c r="AG15" s="746"/>
      <c r="AH15" s="746" t="s">
        <v>1361</v>
      </c>
      <c r="AI15" s="746" t="s">
        <v>1361</v>
      </c>
      <c r="AJ15" s="746" t="s">
        <v>1361</v>
      </c>
      <c r="AK15" s="746" t="s">
        <v>1361</v>
      </c>
      <c r="AL15" s="746"/>
      <c r="AM15" s="746" t="s">
        <v>1361</v>
      </c>
      <c r="AN15" s="746" t="s">
        <v>1361</v>
      </c>
      <c r="AO15" s="746" t="s">
        <v>1361</v>
      </c>
      <c r="AP15" s="746" t="s">
        <v>1361</v>
      </c>
      <c r="AQ15" s="773"/>
      <c r="AR15" s="746" t="s">
        <v>1361</v>
      </c>
      <c r="AS15" s="746"/>
      <c r="AT15" s="746"/>
      <c r="AU15" s="746" t="s">
        <v>1361</v>
      </c>
      <c r="AV15" s="746" t="s">
        <v>1361</v>
      </c>
      <c r="AW15" s="746" t="s">
        <v>1361</v>
      </c>
      <c r="AX15" s="746"/>
      <c r="AY15" s="746" t="s">
        <v>1361</v>
      </c>
      <c r="AZ15" s="746" t="s">
        <v>93</v>
      </c>
      <c r="BA15" s="746"/>
      <c r="BB15" s="746" t="s">
        <v>1361</v>
      </c>
      <c r="BC15" s="746"/>
      <c r="BD15" s="746" t="s">
        <v>1361</v>
      </c>
      <c r="BE15" s="746"/>
      <c r="BF15" s="746"/>
      <c r="BG15" s="746" t="s">
        <v>1361</v>
      </c>
      <c r="BH15" s="746"/>
      <c r="BI15" s="746" t="s">
        <v>1361</v>
      </c>
      <c r="BJ15" s="746" t="s">
        <v>1361</v>
      </c>
      <c r="BK15" s="746" t="s">
        <v>1361</v>
      </c>
      <c r="BL15" s="746" t="s">
        <v>1361</v>
      </c>
      <c r="BM15" s="746"/>
      <c r="BN15" s="746" t="s">
        <v>1361</v>
      </c>
      <c r="BO15" s="746" t="s">
        <v>1361</v>
      </c>
      <c r="BP15" s="746" t="s">
        <v>1361</v>
      </c>
      <c r="BQ15" s="746"/>
      <c r="BR15" s="746"/>
      <c r="BS15" s="746"/>
      <c r="BT15" s="746"/>
      <c r="BU15" s="773"/>
      <c r="BV15" s="746" t="s">
        <v>1361</v>
      </c>
      <c r="BW15" s="746"/>
      <c r="BX15" s="746"/>
      <c r="BY15" s="746" t="s">
        <v>1361</v>
      </c>
      <c r="BZ15" s="746" t="s">
        <v>1361</v>
      </c>
      <c r="CA15" s="746"/>
      <c r="CB15" s="746"/>
      <c r="CC15" s="746" t="s">
        <v>1361</v>
      </c>
      <c r="CD15" s="746" t="s">
        <v>1361</v>
      </c>
      <c r="CE15" s="746" t="s">
        <v>1361</v>
      </c>
      <c r="CF15" s="746"/>
      <c r="CG15" s="746"/>
      <c r="CH15" s="746" t="s">
        <v>1361</v>
      </c>
      <c r="CI15" s="746" t="s">
        <v>1361</v>
      </c>
      <c r="CJ15" s="746" t="s">
        <v>1361</v>
      </c>
      <c r="CK15" s="746"/>
      <c r="CL15" s="746"/>
      <c r="CM15" s="746" t="s">
        <v>1361</v>
      </c>
      <c r="CN15" s="746" t="s">
        <v>1361</v>
      </c>
      <c r="CO15" s="746" t="s">
        <v>1361</v>
      </c>
      <c r="CP15" s="746"/>
      <c r="CQ15" s="746"/>
      <c r="CR15" s="746" t="s">
        <v>1361</v>
      </c>
      <c r="CS15" s="746"/>
      <c r="CT15" s="746"/>
      <c r="CU15" s="746" t="s">
        <v>1361</v>
      </c>
      <c r="CV15" s="746"/>
      <c r="CW15" s="746" t="s">
        <v>1361</v>
      </c>
      <c r="CX15" s="746" t="s">
        <v>1361</v>
      </c>
      <c r="CY15" s="746" t="s">
        <v>1361</v>
      </c>
      <c r="CZ15" s="746" t="s">
        <v>1361</v>
      </c>
      <c r="DA15" s="746" t="s">
        <v>1361</v>
      </c>
      <c r="DB15" s="746"/>
      <c r="DC15" s="746" t="s">
        <v>1361</v>
      </c>
      <c r="DD15" s="746"/>
      <c r="DE15" s="746"/>
      <c r="DF15" s="746"/>
      <c r="DG15" s="746" t="s">
        <v>1361</v>
      </c>
      <c r="DH15" s="746" t="s">
        <v>1361</v>
      </c>
      <c r="DI15" s="746" t="s">
        <v>1361</v>
      </c>
      <c r="DJ15" s="746" t="s">
        <v>1361</v>
      </c>
      <c r="DK15" s="746" t="s">
        <v>1361</v>
      </c>
      <c r="DL15" s="746" t="s">
        <v>1361</v>
      </c>
      <c r="DM15" s="746"/>
      <c r="DN15" s="746" t="s">
        <v>93</v>
      </c>
      <c r="DO15" s="746" t="s">
        <v>1361</v>
      </c>
      <c r="DP15" s="746" t="s">
        <v>1361</v>
      </c>
      <c r="DQ15" s="746" t="s">
        <v>1361</v>
      </c>
      <c r="DR15" s="746" t="s">
        <v>1361</v>
      </c>
      <c r="DS15" s="746" t="s">
        <v>1361</v>
      </c>
      <c r="DT15" s="746" t="s">
        <v>1361</v>
      </c>
      <c r="DU15" s="746" t="s">
        <v>1361</v>
      </c>
      <c r="DV15" s="746" t="s">
        <v>1361</v>
      </c>
      <c r="DW15" s="746" t="s">
        <v>1361</v>
      </c>
      <c r="DX15" s="746" t="s">
        <v>1361</v>
      </c>
      <c r="DY15" s="746" t="s">
        <v>1361</v>
      </c>
      <c r="DZ15" s="746" t="s">
        <v>1361</v>
      </c>
      <c r="EA15" s="746" t="s">
        <v>1361</v>
      </c>
      <c r="EB15" s="746" t="s">
        <v>1361</v>
      </c>
      <c r="EC15" s="746" t="s">
        <v>1361</v>
      </c>
      <c r="ED15" s="746"/>
      <c r="EE15" s="746" t="s">
        <v>1361</v>
      </c>
      <c r="EF15" s="746"/>
      <c r="EG15" s="746"/>
      <c r="EH15" s="746"/>
      <c r="EI15" s="746" t="s">
        <v>1361</v>
      </c>
      <c r="EJ15" s="746" t="s">
        <v>1361</v>
      </c>
      <c r="EK15" s="746" t="s">
        <v>1361</v>
      </c>
      <c r="EL15" s="746"/>
      <c r="EM15" s="746" t="s">
        <v>1361</v>
      </c>
      <c r="EN15" s="746"/>
      <c r="EO15" s="746" t="s">
        <v>1361</v>
      </c>
      <c r="EP15" s="746"/>
      <c r="EQ15" s="746" t="s">
        <v>93</v>
      </c>
      <c r="ER15" s="746" t="s">
        <v>1361</v>
      </c>
      <c r="ES15" s="746" t="s">
        <v>1361</v>
      </c>
      <c r="ET15" s="746" t="s">
        <v>1361</v>
      </c>
      <c r="EU15" s="746" t="s">
        <v>1361</v>
      </c>
      <c r="EV15" s="746" t="s">
        <v>1361</v>
      </c>
      <c r="EW15" s="746"/>
      <c r="EX15" s="746" t="s">
        <v>1361</v>
      </c>
      <c r="EY15" s="746" t="s">
        <v>1361</v>
      </c>
      <c r="EZ15" s="746"/>
      <c r="FA15" s="746" t="s">
        <v>1361</v>
      </c>
      <c r="FB15" s="746" t="s">
        <v>1361</v>
      </c>
      <c r="FC15" s="746"/>
      <c r="FD15" s="746"/>
      <c r="FE15" s="746" t="s">
        <v>1361</v>
      </c>
      <c r="FF15" s="746" t="s">
        <v>1361</v>
      </c>
      <c r="FG15" s="746" t="s">
        <v>1361</v>
      </c>
      <c r="FH15" s="746"/>
      <c r="FI15" s="746"/>
      <c r="FJ15" s="746"/>
      <c r="FK15" s="746"/>
      <c r="FL15" s="746"/>
      <c r="FM15" s="746" t="s">
        <v>1361</v>
      </c>
      <c r="FN15" s="746"/>
      <c r="FO15" s="746"/>
      <c r="FP15" s="746"/>
      <c r="FQ15" s="746" t="s">
        <v>1361</v>
      </c>
      <c r="FR15" s="746" t="s">
        <v>1361</v>
      </c>
      <c r="FS15" s="746"/>
      <c r="FT15" s="746"/>
      <c r="FU15" s="746"/>
      <c r="FV15" s="746" t="s">
        <v>1361</v>
      </c>
      <c r="FW15" s="746"/>
      <c r="FX15" s="746"/>
      <c r="FY15" s="746" t="s">
        <v>1361</v>
      </c>
      <c r="FZ15" s="746"/>
      <c r="GA15" s="746"/>
      <c r="GB15" s="746" t="s">
        <v>1361</v>
      </c>
      <c r="GC15" s="746"/>
      <c r="GD15" s="746"/>
      <c r="GE15" s="746"/>
      <c r="GF15" s="746" t="s">
        <v>1361</v>
      </c>
      <c r="GG15" s="746" t="s">
        <v>1361</v>
      </c>
      <c r="GH15" s="746" t="s">
        <v>1361</v>
      </c>
      <c r="GI15" s="746" t="s">
        <v>1361</v>
      </c>
      <c r="GJ15" s="746"/>
      <c r="GK15" s="746" t="s">
        <v>93</v>
      </c>
      <c r="GL15" s="746" t="s">
        <v>93</v>
      </c>
      <c r="GM15" s="746" t="s">
        <v>93</v>
      </c>
      <c r="GN15" s="746" t="s">
        <v>1361</v>
      </c>
      <c r="GO15" s="746" t="s">
        <v>1361</v>
      </c>
      <c r="GP15" s="746" t="s">
        <v>1361</v>
      </c>
      <c r="GQ15" s="746" t="s">
        <v>1361</v>
      </c>
      <c r="GR15" s="746"/>
      <c r="GS15" s="746"/>
      <c r="GT15" s="746" t="s">
        <v>1361</v>
      </c>
      <c r="GU15" s="746"/>
      <c r="GV15" s="746"/>
      <c r="GW15" s="746" t="s">
        <v>1361</v>
      </c>
      <c r="GX15" s="746" t="s">
        <v>1361</v>
      </c>
      <c r="GY15" s="768" t="s">
        <v>1361</v>
      </c>
      <c r="GZ15" s="746" t="s">
        <v>1361</v>
      </c>
      <c r="HA15" s="746" t="s">
        <v>1361</v>
      </c>
      <c r="HB15" s="746"/>
      <c r="HC15" s="746" t="s">
        <v>1361</v>
      </c>
      <c r="HD15" s="746"/>
      <c r="HE15" s="746" t="s">
        <v>1361</v>
      </c>
      <c r="HF15" s="746"/>
      <c r="HG15" s="768" t="s">
        <v>1361</v>
      </c>
      <c r="HH15" s="746" t="s">
        <v>1361</v>
      </c>
      <c r="HI15" s="746"/>
      <c r="HJ15" s="746" t="s">
        <v>1361</v>
      </c>
      <c r="HK15" s="768" t="s">
        <v>1361</v>
      </c>
      <c r="HL15" s="746"/>
      <c r="HM15" s="746" t="s">
        <v>1361</v>
      </c>
      <c r="HN15" s="768" t="s">
        <v>1361</v>
      </c>
      <c r="HO15" s="768" t="s">
        <v>1361</v>
      </c>
      <c r="HP15" s="746" t="s">
        <v>1361</v>
      </c>
      <c r="HQ15" s="746"/>
      <c r="HR15" s="768" t="s">
        <v>1361</v>
      </c>
      <c r="HS15" s="746" t="s">
        <v>1361</v>
      </c>
      <c r="HT15" s="746" t="s">
        <v>1361</v>
      </c>
      <c r="HU15" s="746"/>
      <c r="HV15" s="768" t="s">
        <v>1361</v>
      </c>
      <c r="HW15" s="746"/>
      <c r="HX15" s="746" t="s">
        <v>1361</v>
      </c>
    </row>
    <row r="16" spans="1:232" s="375" customFormat="1" ht="20" customHeight="1">
      <c r="A16" s="738" t="s">
        <v>81</v>
      </c>
      <c r="B16" s="739"/>
      <c r="C16" s="739" t="str">
        <f>IF(ISTEXT(IFERROR(VLOOKUP(A16,职业列表!I3:J10,1,FALSE),0)),"★","")</f>
        <v/>
      </c>
      <c r="D16" s="739"/>
      <c r="E16" s="739" t="s">
        <v>93</v>
      </c>
      <c r="F16" s="739"/>
      <c r="G16" s="739"/>
      <c r="H16" s="739"/>
      <c r="I16" s="739"/>
      <c r="J16" s="739"/>
      <c r="K16" s="739"/>
      <c r="L16" s="739"/>
      <c r="M16" s="739"/>
      <c r="N16" s="739"/>
      <c r="O16" s="739"/>
      <c r="P16" s="739"/>
      <c r="Q16" s="739" t="s">
        <v>93</v>
      </c>
      <c r="R16" s="739"/>
      <c r="S16" s="739"/>
      <c r="T16" s="739"/>
      <c r="U16" s="739"/>
      <c r="V16" s="739"/>
      <c r="W16" s="739"/>
      <c r="X16" s="739"/>
      <c r="Y16" s="739"/>
      <c r="Z16" s="739"/>
      <c r="AA16" s="739"/>
      <c r="AB16" s="739"/>
      <c r="AC16" s="739"/>
      <c r="AD16" s="739"/>
      <c r="AE16" s="739"/>
      <c r="AF16" s="739"/>
      <c r="AG16" s="739" t="s">
        <v>93</v>
      </c>
      <c r="AH16" s="739"/>
      <c r="AI16" s="739"/>
      <c r="AJ16" s="739"/>
      <c r="AK16" s="739"/>
      <c r="AL16" s="739"/>
      <c r="AM16" s="739"/>
      <c r="AN16" s="739" t="s">
        <v>93</v>
      </c>
      <c r="AO16" s="739"/>
      <c r="AP16" s="739"/>
      <c r="AQ16" s="739"/>
      <c r="AR16" s="739"/>
      <c r="AS16" s="739"/>
      <c r="AT16" s="739"/>
      <c r="AU16" s="739" t="s">
        <v>93</v>
      </c>
      <c r="AV16" s="739"/>
      <c r="AW16" s="739"/>
      <c r="AX16" s="739"/>
      <c r="AY16" s="739"/>
      <c r="AZ16" s="739"/>
      <c r="BA16" s="739"/>
      <c r="BB16" s="739"/>
      <c r="BC16" s="739" t="s">
        <v>1359</v>
      </c>
      <c r="BD16" s="739"/>
      <c r="BE16" s="739"/>
      <c r="BF16" s="739" t="s">
        <v>93</v>
      </c>
      <c r="BG16" s="739"/>
      <c r="BH16" s="739"/>
      <c r="BI16" s="739"/>
      <c r="BJ16" s="739"/>
      <c r="BK16" s="739"/>
      <c r="BL16" s="739"/>
      <c r="BM16" s="739" t="s">
        <v>93</v>
      </c>
      <c r="BN16" s="739"/>
      <c r="BO16" s="739"/>
      <c r="BP16" s="739"/>
      <c r="BQ16" s="739"/>
      <c r="BR16" s="739"/>
      <c r="BS16" s="739"/>
      <c r="BT16" s="739" t="s">
        <v>93</v>
      </c>
      <c r="BU16" s="739" t="s">
        <v>93</v>
      </c>
      <c r="BV16" s="739"/>
      <c r="BW16" s="739"/>
      <c r="BX16" s="739" t="s">
        <v>93</v>
      </c>
      <c r="BY16" s="739"/>
      <c r="BZ16" s="739"/>
      <c r="CA16" s="739" t="s">
        <v>93</v>
      </c>
      <c r="CB16" s="739"/>
      <c r="CC16" s="739"/>
      <c r="CD16" s="739"/>
      <c r="CE16" s="739"/>
      <c r="CF16" s="739"/>
      <c r="CG16" s="739"/>
      <c r="CH16" s="739"/>
      <c r="CI16" s="739"/>
      <c r="CJ16" s="739" t="s">
        <v>93</v>
      </c>
      <c r="CK16" s="739"/>
      <c r="CL16" s="739"/>
      <c r="CM16" s="739"/>
      <c r="CN16" s="739"/>
      <c r="CO16" s="739"/>
      <c r="CP16" s="739"/>
      <c r="CQ16" s="739" t="s">
        <v>93</v>
      </c>
      <c r="CR16" s="739"/>
      <c r="CS16" s="739"/>
      <c r="CT16" s="739"/>
      <c r="CU16" s="739"/>
      <c r="CV16" s="739"/>
      <c r="CW16" s="739"/>
      <c r="CX16" s="739"/>
      <c r="CY16" s="739"/>
      <c r="CZ16" s="739"/>
      <c r="DA16" s="739"/>
      <c r="DB16" s="739" t="s">
        <v>1359</v>
      </c>
      <c r="DC16" s="739"/>
      <c r="DD16" s="739"/>
      <c r="DE16" s="739" t="s">
        <v>93</v>
      </c>
      <c r="DF16" s="739" t="s">
        <v>93</v>
      </c>
      <c r="DG16" s="739"/>
      <c r="DH16" s="739"/>
      <c r="DI16" s="739"/>
      <c r="DJ16" s="739"/>
      <c r="DK16" s="739"/>
      <c r="DL16" s="739"/>
      <c r="DM16" s="739"/>
      <c r="DN16" s="739"/>
      <c r="DO16" s="739" t="s">
        <v>93</v>
      </c>
      <c r="DP16" s="739" t="s">
        <v>93</v>
      </c>
      <c r="DQ16" s="739"/>
      <c r="DR16" s="739" t="s">
        <v>93</v>
      </c>
      <c r="DS16" s="739"/>
      <c r="DT16" s="739"/>
      <c r="DU16" s="739"/>
      <c r="DV16" s="739"/>
      <c r="DW16" s="739"/>
      <c r="DX16" s="739"/>
      <c r="DY16" s="739"/>
      <c r="DZ16" s="739"/>
      <c r="EA16" s="739"/>
      <c r="EB16" s="739"/>
      <c r="EC16" s="739"/>
      <c r="ED16" s="739"/>
      <c r="EE16" s="739"/>
      <c r="EF16" s="739"/>
      <c r="EG16" s="739"/>
      <c r="EH16" s="739"/>
      <c r="EI16" s="739"/>
      <c r="EJ16" s="739" t="s">
        <v>1359</v>
      </c>
      <c r="EK16" s="739" t="s">
        <v>93</v>
      </c>
      <c r="EL16" s="739"/>
      <c r="EM16" s="739"/>
      <c r="EN16" s="739" t="s">
        <v>93</v>
      </c>
      <c r="EO16" s="739"/>
      <c r="EP16" s="739"/>
      <c r="EQ16" s="739"/>
      <c r="ER16" s="739"/>
      <c r="ES16" s="739"/>
      <c r="ET16" s="739"/>
      <c r="EU16" s="739"/>
      <c r="EV16" s="739"/>
      <c r="EW16" s="739"/>
      <c r="EX16" s="739"/>
      <c r="EY16" s="739"/>
      <c r="EZ16" s="739"/>
      <c r="FA16" s="739"/>
      <c r="FB16" s="739" t="s">
        <v>93</v>
      </c>
      <c r="FC16" s="739"/>
      <c r="FD16" s="739"/>
      <c r="FE16" s="739"/>
      <c r="FF16" s="739"/>
      <c r="FG16" s="739"/>
      <c r="FH16" s="739"/>
      <c r="FI16" s="739" t="s">
        <v>93</v>
      </c>
      <c r="FJ16" s="739"/>
      <c r="FK16" s="739"/>
      <c r="FL16" s="739"/>
      <c r="FM16" s="739"/>
      <c r="FN16" s="739"/>
      <c r="FO16" s="739"/>
      <c r="FP16" s="739"/>
      <c r="FQ16" s="739"/>
      <c r="FR16" s="739"/>
      <c r="FS16" s="739"/>
      <c r="FT16" s="739"/>
      <c r="FU16" s="739" t="s">
        <v>93</v>
      </c>
      <c r="FV16" s="739"/>
      <c r="FW16" s="739"/>
      <c r="FX16" s="739" t="s">
        <v>93</v>
      </c>
      <c r="FY16" s="739"/>
      <c r="FZ16" s="739"/>
      <c r="GA16" s="739"/>
      <c r="GB16" s="739"/>
      <c r="GC16" s="739" t="s">
        <v>1359</v>
      </c>
      <c r="GD16" s="739" t="s">
        <v>1359</v>
      </c>
      <c r="GE16" s="739" t="s">
        <v>1359</v>
      </c>
      <c r="GF16" s="739"/>
      <c r="GG16" s="739"/>
      <c r="GH16" s="739"/>
      <c r="GI16" s="739"/>
      <c r="GJ16" s="739" t="s">
        <v>93</v>
      </c>
      <c r="GK16" s="739"/>
      <c r="GL16" s="739"/>
      <c r="GM16" s="739"/>
      <c r="GN16" s="739"/>
      <c r="GO16" s="739"/>
      <c r="GP16" s="739"/>
      <c r="GQ16" s="739"/>
      <c r="GR16" s="739" t="s">
        <v>93</v>
      </c>
      <c r="GS16" s="739"/>
      <c r="GT16" s="739"/>
      <c r="GU16" s="739" t="s">
        <v>1359</v>
      </c>
      <c r="GV16" s="739"/>
      <c r="GW16" s="739"/>
      <c r="GX16" s="739"/>
      <c r="GY16" s="739"/>
      <c r="GZ16" s="739"/>
      <c r="HA16" s="739"/>
      <c r="HB16" s="739"/>
      <c r="HC16" s="739"/>
      <c r="HD16" s="739"/>
      <c r="HE16" s="739"/>
      <c r="HF16" s="739"/>
      <c r="HG16" s="739"/>
      <c r="HH16" s="739"/>
      <c r="HI16" s="739"/>
      <c r="HJ16" s="739"/>
      <c r="HK16" s="739" t="s">
        <v>1359</v>
      </c>
      <c r="HL16" s="739" t="s">
        <v>93</v>
      </c>
      <c r="HM16" s="739"/>
      <c r="HN16" s="739"/>
      <c r="HO16" s="739" t="s">
        <v>1362</v>
      </c>
      <c r="HP16" s="739"/>
      <c r="HQ16" s="739"/>
      <c r="HR16" s="739"/>
      <c r="HS16" s="739"/>
      <c r="HT16" s="739"/>
      <c r="HU16" s="739"/>
      <c r="HV16" s="739"/>
      <c r="HW16" s="739"/>
      <c r="HX16" s="739"/>
    </row>
    <row r="17" spans="1:232" s="375" customFormat="1" ht="20" customHeight="1">
      <c r="A17" s="747" t="s">
        <v>86</v>
      </c>
      <c r="B17" s="739"/>
      <c r="C17" s="739" t="str">
        <f>IF(ISTEXT(IFERROR(VLOOKUP(A17,职业列表!I3:J10,1,FALSE),0)),"★","")</f>
        <v/>
      </c>
      <c r="D17" s="739"/>
      <c r="E17" s="739"/>
      <c r="F17" s="739"/>
      <c r="G17" s="739"/>
      <c r="H17" s="739"/>
      <c r="I17" s="739"/>
      <c r="J17" s="739"/>
      <c r="K17" s="739"/>
      <c r="L17" s="739"/>
      <c r="M17" s="739"/>
      <c r="N17" s="739" t="s">
        <v>1359</v>
      </c>
      <c r="O17" s="739"/>
      <c r="P17" s="739"/>
      <c r="Q17" s="739"/>
      <c r="R17" s="739"/>
      <c r="S17" s="739"/>
      <c r="T17" s="739"/>
      <c r="U17" s="739"/>
      <c r="V17" s="739"/>
      <c r="W17" s="739"/>
      <c r="X17" s="739"/>
      <c r="Y17" s="739"/>
      <c r="Z17" s="739" t="s">
        <v>93</v>
      </c>
      <c r="AA17" s="739" t="s">
        <v>93</v>
      </c>
      <c r="AB17" s="739"/>
      <c r="AC17" s="739"/>
      <c r="AD17" s="739"/>
      <c r="AE17" s="739"/>
      <c r="AF17" s="739"/>
      <c r="AG17" s="739"/>
      <c r="AH17" s="739"/>
      <c r="AI17" s="739"/>
      <c r="AJ17" s="739"/>
      <c r="AK17" s="739"/>
      <c r="AL17" s="739"/>
      <c r="AM17" s="739"/>
      <c r="AN17" s="739"/>
      <c r="AO17" s="739"/>
      <c r="AP17" s="739"/>
      <c r="AQ17" s="739" t="s">
        <v>1359</v>
      </c>
      <c r="AR17" s="739"/>
      <c r="AS17" s="739"/>
      <c r="AT17" s="739"/>
      <c r="AU17" s="739"/>
      <c r="AV17" s="739"/>
      <c r="AW17" s="739"/>
      <c r="AX17" s="739"/>
      <c r="AY17" s="739"/>
      <c r="AZ17" s="739"/>
      <c r="BA17" s="739"/>
      <c r="BB17" s="739"/>
      <c r="BC17" s="739"/>
      <c r="BD17" s="739"/>
      <c r="BE17" s="739"/>
      <c r="BF17" s="739"/>
      <c r="BG17" s="739"/>
      <c r="BH17" s="739"/>
      <c r="BI17" s="739"/>
      <c r="BJ17" s="739"/>
      <c r="BK17" s="739"/>
      <c r="BL17" s="739"/>
      <c r="BM17" s="739"/>
      <c r="BN17" s="739"/>
      <c r="BO17" s="739"/>
      <c r="BP17" s="739"/>
      <c r="BQ17" s="739"/>
      <c r="BR17" s="739" t="s">
        <v>1359</v>
      </c>
      <c r="BS17" s="739"/>
      <c r="BT17" s="739"/>
      <c r="BU17" s="739"/>
      <c r="BV17" s="739"/>
      <c r="BW17" s="739"/>
      <c r="BX17" s="739"/>
      <c r="BY17" s="739"/>
      <c r="BZ17" s="739"/>
      <c r="CA17" s="739"/>
      <c r="CB17" s="739"/>
      <c r="CC17" s="739"/>
      <c r="CD17" s="739"/>
      <c r="CE17" s="739"/>
      <c r="CF17" s="739"/>
      <c r="CG17" s="739"/>
      <c r="CH17" s="739"/>
      <c r="CI17" s="739"/>
      <c r="CJ17" s="739"/>
      <c r="CK17" s="739"/>
      <c r="CL17" s="739"/>
      <c r="CM17" s="739"/>
      <c r="CN17" s="739"/>
      <c r="CO17" s="739"/>
      <c r="CP17" s="739"/>
      <c r="CQ17" s="739"/>
      <c r="CR17" s="739"/>
      <c r="CS17" s="739"/>
      <c r="CT17" s="739"/>
      <c r="CU17" s="739"/>
      <c r="CV17" s="739"/>
      <c r="CW17" s="739"/>
      <c r="CX17" s="739"/>
      <c r="CY17" s="739" t="s">
        <v>1359</v>
      </c>
      <c r="CZ17" s="740" t="s">
        <v>1360</v>
      </c>
      <c r="DA17" s="739"/>
      <c r="DB17" s="739"/>
      <c r="DC17" s="739"/>
      <c r="DD17" s="739"/>
      <c r="DE17" s="739"/>
      <c r="DF17" s="739"/>
      <c r="DG17" s="739"/>
      <c r="DH17" s="739"/>
      <c r="DI17" s="739"/>
      <c r="DJ17" s="739" t="s">
        <v>1359</v>
      </c>
      <c r="DK17" s="739"/>
      <c r="DL17" s="739"/>
      <c r="DM17" s="739"/>
      <c r="DN17" s="739"/>
      <c r="DO17" s="739"/>
      <c r="DP17" s="739"/>
      <c r="DQ17" s="739"/>
      <c r="DR17" s="739"/>
      <c r="DS17" s="739"/>
      <c r="DT17" s="739"/>
      <c r="DU17" s="739"/>
      <c r="DV17" s="739"/>
      <c r="DW17" s="739"/>
      <c r="DX17" s="739"/>
      <c r="DY17" s="739"/>
      <c r="DZ17" s="739"/>
      <c r="EA17" s="739"/>
      <c r="EB17" s="739"/>
      <c r="EC17" s="739"/>
      <c r="ED17" s="739"/>
      <c r="EE17" s="739"/>
      <c r="EF17" s="739"/>
      <c r="EG17" s="739"/>
      <c r="EH17" s="739"/>
      <c r="EI17" s="739"/>
      <c r="EJ17" s="739"/>
      <c r="EK17" s="739"/>
      <c r="EL17" s="739"/>
      <c r="EM17" s="739"/>
      <c r="EN17" s="739"/>
      <c r="EO17" s="739"/>
      <c r="EP17" s="739"/>
      <c r="EQ17" s="739"/>
      <c r="ER17" s="739"/>
      <c r="ES17" s="739"/>
      <c r="ET17" s="739"/>
      <c r="EU17" s="739"/>
      <c r="EV17" s="739"/>
      <c r="EW17" s="739"/>
      <c r="EX17" s="739"/>
      <c r="EY17" s="739"/>
      <c r="EZ17" s="739"/>
      <c r="FA17" s="739"/>
      <c r="FB17" s="739"/>
      <c r="FC17" s="739"/>
      <c r="FD17" s="739"/>
      <c r="FE17" s="739"/>
      <c r="FF17" s="739"/>
      <c r="FG17" s="739"/>
      <c r="FH17" s="739"/>
      <c r="FI17" s="739"/>
      <c r="FJ17" s="740"/>
      <c r="FK17" s="739"/>
      <c r="FL17" s="739"/>
      <c r="FM17" s="739"/>
      <c r="FN17" s="739"/>
      <c r="FO17" s="739"/>
      <c r="FP17" s="739"/>
      <c r="FQ17" s="739"/>
      <c r="FR17" s="739"/>
      <c r="FS17" s="739"/>
      <c r="FT17" s="739"/>
      <c r="FU17" s="739"/>
      <c r="FV17" s="739"/>
      <c r="FW17" s="739"/>
      <c r="FX17" s="739"/>
      <c r="FY17" s="739"/>
      <c r="FZ17" s="739" t="s">
        <v>1359</v>
      </c>
      <c r="GA17" s="739"/>
      <c r="GB17" s="739"/>
      <c r="GC17" s="739"/>
      <c r="GD17" s="739"/>
      <c r="GE17" s="739"/>
      <c r="GF17" s="739"/>
      <c r="GG17" s="739"/>
      <c r="GH17" s="739"/>
      <c r="GI17" s="739"/>
      <c r="GJ17" s="739"/>
      <c r="GK17" s="739"/>
      <c r="GL17" s="739"/>
      <c r="GM17" s="739"/>
      <c r="GN17" s="739" t="s">
        <v>93</v>
      </c>
      <c r="GO17" s="739"/>
      <c r="GP17" s="739"/>
      <c r="GQ17" s="739"/>
      <c r="GR17" s="739"/>
      <c r="GS17" s="739"/>
      <c r="GT17" s="739" t="s">
        <v>93</v>
      </c>
      <c r="GU17" s="739"/>
      <c r="GV17" s="739" t="s">
        <v>93</v>
      </c>
      <c r="GW17" s="739"/>
      <c r="GX17" s="739" t="s">
        <v>93</v>
      </c>
      <c r="GY17" s="739" t="s">
        <v>456</v>
      </c>
      <c r="GZ17" s="739"/>
      <c r="HA17" s="739"/>
      <c r="HB17" s="739"/>
      <c r="HC17" s="739"/>
      <c r="HD17" s="739"/>
      <c r="HE17" s="739"/>
      <c r="HF17" s="739"/>
      <c r="HG17" s="739"/>
      <c r="HH17" s="739"/>
      <c r="HI17" s="739"/>
      <c r="HJ17" s="739"/>
      <c r="HK17" s="739"/>
      <c r="HL17" s="739"/>
      <c r="HM17" s="739"/>
      <c r="HN17" s="739"/>
      <c r="HO17" s="739"/>
      <c r="HP17" s="739"/>
      <c r="HQ17" s="739"/>
      <c r="HR17" s="739"/>
      <c r="HS17" s="739"/>
      <c r="HT17" s="739"/>
      <c r="HU17" s="739"/>
      <c r="HV17" s="739"/>
      <c r="HW17" s="739"/>
      <c r="HX17" s="739"/>
    </row>
    <row r="18" spans="1:232" s="375" customFormat="1" ht="20" customHeight="1">
      <c r="A18" s="747" t="s">
        <v>96</v>
      </c>
      <c r="B18" s="739"/>
      <c r="C18" s="739" t="str">
        <f>IF(ISTEXT(IFERROR(VLOOKUP(A18,职业列表!I3:J10,1,FALSE),0)),"★","")</f>
        <v/>
      </c>
      <c r="D18" s="739"/>
      <c r="E18" s="739"/>
      <c r="F18" s="739"/>
      <c r="G18" s="739"/>
      <c r="H18" s="739"/>
      <c r="I18" s="739"/>
      <c r="J18" s="739"/>
      <c r="K18" s="739"/>
      <c r="L18" s="739"/>
      <c r="M18" s="739"/>
      <c r="N18" s="739"/>
      <c r="O18" s="739"/>
      <c r="P18" s="739"/>
      <c r="Q18" s="739"/>
      <c r="R18" s="739"/>
      <c r="S18" s="739"/>
      <c r="T18" s="739"/>
      <c r="U18" s="739"/>
      <c r="V18" s="739"/>
      <c r="W18" s="739"/>
      <c r="X18" s="739"/>
      <c r="Y18" s="739"/>
      <c r="Z18" s="739"/>
      <c r="AA18" s="739"/>
      <c r="AB18" s="739"/>
      <c r="AC18" s="739"/>
      <c r="AD18" s="739"/>
      <c r="AE18" s="739"/>
      <c r="AF18" s="739"/>
      <c r="AG18" s="739"/>
      <c r="AH18" s="739"/>
      <c r="AI18" s="739"/>
      <c r="AJ18" s="739"/>
      <c r="AK18" s="739"/>
      <c r="AL18" s="739"/>
      <c r="AM18" s="739"/>
      <c r="AN18" s="739"/>
      <c r="AO18" s="739"/>
      <c r="AP18" s="739"/>
      <c r="AQ18" s="739"/>
      <c r="AR18" s="739"/>
      <c r="AS18" s="739"/>
      <c r="AT18" s="739"/>
      <c r="AU18" s="739"/>
      <c r="AV18" s="739"/>
      <c r="AW18" s="739"/>
      <c r="AX18" s="739"/>
      <c r="AY18" s="739"/>
      <c r="AZ18" s="739"/>
      <c r="BA18" s="739"/>
      <c r="BB18" s="739"/>
      <c r="BC18" s="739"/>
      <c r="BD18" s="739"/>
      <c r="BE18" s="739"/>
      <c r="BF18" s="739"/>
      <c r="BG18" s="739"/>
      <c r="BH18" s="739"/>
      <c r="BI18" s="739"/>
      <c r="BJ18" s="739"/>
      <c r="BK18" s="739"/>
      <c r="BL18" s="739"/>
      <c r="BM18" s="739"/>
      <c r="BN18" s="739"/>
      <c r="BO18" s="739"/>
      <c r="BP18" s="739"/>
      <c r="BQ18" s="739"/>
      <c r="BR18" s="739"/>
      <c r="BS18" s="739"/>
      <c r="BT18" s="739"/>
      <c r="BU18" s="739"/>
      <c r="BV18" s="739"/>
      <c r="BW18" s="739"/>
      <c r="BX18" s="739"/>
      <c r="BY18" s="739"/>
      <c r="BZ18" s="739"/>
      <c r="CA18" s="739"/>
      <c r="CB18" s="739"/>
      <c r="CC18" s="739"/>
      <c r="CD18" s="739"/>
      <c r="CE18" s="739"/>
      <c r="CF18" s="739"/>
      <c r="CG18" s="739"/>
      <c r="CH18" s="739"/>
      <c r="CI18" s="739"/>
      <c r="CJ18" s="739"/>
      <c r="CK18" s="739"/>
      <c r="CL18" s="739"/>
      <c r="CM18" s="739"/>
      <c r="CN18" s="739"/>
      <c r="CO18" s="739"/>
      <c r="CP18" s="739"/>
      <c r="CQ18" s="739"/>
      <c r="CR18" s="739"/>
      <c r="CS18" s="739"/>
      <c r="CT18" s="739"/>
      <c r="CU18" s="739"/>
      <c r="CV18" s="739"/>
      <c r="CW18" s="739"/>
      <c r="CX18" s="739"/>
      <c r="CY18" s="739"/>
      <c r="CZ18" s="739"/>
      <c r="DA18" s="739"/>
      <c r="DB18" s="739"/>
      <c r="DC18" s="739"/>
      <c r="DD18" s="739"/>
      <c r="DE18" s="739"/>
      <c r="DF18" s="739"/>
      <c r="DG18" s="739"/>
      <c r="DH18" s="739"/>
      <c r="DI18" s="739"/>
      <c r="DJ18" s="739"/>
      <c r="DK18" s="739"/>
      <c r="DL18" s="739"/>
      <c r="DM18" s="739"/>
      <c r="DN18" s="739"/>
      <c r="DO18" s="739"/>
      <c r="DP18" s="739"/>
      <c r="DQ18" s="739"/>
      <c r="DR18" s="739"/>
      <c r="DS18" s="739"/>
      <c r="DT18" s="739"/>
      <c r="DU18" s="739"/>
      <c r="DV18" s="739"/>
      <c r="DW18" s="739"/>
      <c r="DX18" s="739"/>
      <c r="DY18" s="739"/>
      <c r="DZ18" s="739"/>
      <c r="EA18" s="739"/>
      <c r="EB18" s="739"/>
      <c r="EC18" s="739"/>
      <c r="ED18" s="739"/>
      <c r="EE18" s="739"/>
      <c r="EF18" s="739"/>
      <c r="EG18" s="739"/>
      <c r="EH18" s="739"/>
      <c r="EI18" s="739"/>
      <c r="EJ18" s="739"/>
      <c r="EK18" s="739"/>
      <c r="EL18" s="739"/>
      <c r="EM18" s="739"/>
      <c r="EN18" s="739"/>
      <c r="EO18" s="739"/>
      <c r="EP18" s="739"/>
      <c r="EQ18" s="739"/>
      <c r="ER18" s="739"/>
      <c r="ES18" s="739"/>
      <c r="ET18" s="739"/>
      <c r="EU18" s="739"/>
      <c r="EV18" s="739"/>
      <c r="EW18" s="739"/>
      <c r="EX18" s="739"/>
      <c r="EY18" s="739"/>
      <c r="EZ18" s="739"/>
      <c r="FA18" s="739"/>
      <c r="FB18" s="739"/>
      <c r="FC18" s="739"/>
      <c r="FD18" s="739"/>
      <c r="FE18" s="739"/>
      <c r="FF18" s="739"/>
      <c r="FG18" s="739"/>
      <c r="FH18" s="739"/>
      <c r="FI18" s="739"/>
      <c r="FJ18" s="739"/>
      <c r="FK18" s="739"/>
      <c r="FL18" s="739"/>
      <c r="FM18" s="739"/>
      <c r="FN18" s="739"/>
      <c r="FO18" s="739"/>
      <c r="FP18" s="739"/>
      <c r="FQ18" s="739"/>
      <c r="FR18" s="739"/>
      <c r="FS18" s="739"/>
      <c r="FT18" s="739"/>
      <c r="FU18" s="739"/>
      <c r="FV18" s="739"/>
      <c r="FW18" s="739"/>
      <c r="FX18" s="739"/>
      <c r="FY18" s="739"/>
      <c r="FZ18" s="739"/>
      <c r="GA18" s="739"/>
      <c r="GB18" s="739"/>
      <c r="GC18" s="739"/>
      <c r="GD18" s="739"/>
      <c r="GE18" s="739"/>
      <c r="GF18" s="739"/>
      <c r="GG18" s="739"/>
      <c r="GH18" s="739"/>
      <c r="GI18" s="739"/>
      <c r="GJ18" s="739"/>
      <c r="GK18" s="739"/>
      <c r="GL18" s="739"/>
      <c r="GM18" s="739"/>
      <c r="GN18" s="739"/>
      <c r="GO18" s="739"/>
      <c r="GP18" s="739"/>
      <c r="GQ18" s="739"/>
      <c r="GR18" s="739"/>
      <c r="GS18" s="739"/>
      <c r="GT18" s="739"/>
      <c r="GU18" s="739"/>
      <c r="GV18" s="739"/>
      <c r="GW18" s="739"/>
      <c r="GX18" s="739"/>
      <c r="GY18" s="739"/>
      <c r="GZ18" s="739"/>
      <c r="HA18" s="739"/>
      <c r="HB18" s="739"/>
      <c r="HC18" s="739"/>
      <c r="HD18" s="739"/>
      <c r="HE18" s="739"/>
      <c r="HF18" s="739"/>
      <c r="HG18" s="739"/>
      <c r="HH18" s="739"/>
      <c r="HI18" s="739"/>
      <c r="HJ18" s="739"/>
      <c r="HK18" s="739"/>
      <c r="HL18" s="739"/>
      <c r="HM18" s="739"/>
      <c r="HN18" s="739"/>
      <c r="HO18" s="739"/>
      <c r="HP18" s="739"/>
      <c r="HQ18" s="739"/>
      <c r="HR18" s="739"/>
      <c r="HS18" s="739"/>
      <c r="HT18" s="739"/>
      <c r="HU18" s="739"/>
      <c r="HV18" s="739"/>
      <c r="HW18" s="739"/>
      <c r="HX18" s="739"/>
    </row>
    <row r="19" spans="1:232" s="375" customFormat="1" ht="20" customHeight="1">
      <c r="A19" s="738" t="s">
        <v>103</v>
      </c>
      <c r="B19" s="739"/>
      <c r="C19" s="739" t="str">
        <f>IF(ISTEXT(IFERROR(VLOOKUP(A19,职业列表!I3:J10,1,FALSE),0)),"★","")</f>
        <v/>
      </c>
      <c r="D19" s="739"/>
      <c r="E19" s="739"/>
      <c r="F19" s="739" t="s">
        <v>93</v>
      </c>
      <c r="G19" s="739" t="s">
        <v>93</v>
      </c>
      <c r="H19" s="739"/>
      <c r="I19" s="739"/>
      <c r="J19" s="739"/>
      <c r="K19" s="739"/>
      <c r="L19" s="739"/>
      <c r="M19" s="739"/>
      <c r="N19" s="739"/>
      <c r="O19" s="739"/>
      <c r="P19" s="739"/>
      <c r="Q19" s="739"/>
      <c r="R19" s="739"/>
      <c r="S19" s="739"/>
      <c r="T19" s="739"/>
      <c r="U19" s="739"/>
      <c r="V19" s="739"/>
      <c r="W19" s="739"/>
      <c r="X19" s="739"/>
      <c r="Y19" s="739"/>
      <c r="Z19" s="739"/>
      <c r="AA19" s="739"/>
      <c r="AB19" s="739"/>
      <c r="AC19" s="739"/>
      <c r="AD19" s="739" t="s">
        <v>93</v>
      </c>
      <c r="AE19" s="739"/>
      <c r="AF19" s="739"/>
      <c r="AG19" s="739"/>
      <c r="AH19" s="739"/>
      <c r="AI19" s="739" t="s">
        <v>1359</v>
      </c>
      <c r="AJ19" s="739"/>
      <c r="AK19" s="739"/>
      <c r="AL19" s="739"/>
      <c r="AM19" s="739"/>
      <c r="AN19" s="739"/>
      <c r="AO19" s="739"/>
      <c r="AP19" s="739"/>
      <c r="AQ19" s="739"/>
      <c r="AR19" s="739"/>
      <c r="AS19" s="739"/>
      <c r="AT19" s="739"/>
      <c r="AU19" s="739"/>
      <c r="AV19" s="739"/>
      <c r="AW19" s="739"/>
      <c r="AX19" s="739"/>
      <c r="AY19" s="739"/>
      <c r="AZ19" s="739"/>
      <c r="BA19" s="739"/>
      <c r="BB19" s="739" t="s">
        <v>93</v>
      </c>
      <c r="BC19" s="739"/>
      <c r="BD19" s="739"/>
      <c r="BE19" s="739"/>
      <c r="BF19" s="739"/>
      <c r="BG19" s="739"/>
      <c r="BH19" s="739"/>
      <c r="BI19" s="739"/>
      <c r="BJ19" s="739"/>
      <c r="BK19" s="739"/>
      <c r="BL19" s="739"/>
      <c r="BM19" s="739"/>
      <c r="BN19" s="739"/>
      <c r="BO19" s="739"/>
      <c r="BP19" s="739"/>
      <c r="BQ19" s="739"/>
      <c r="BR19" s="739"/>
      <c r="BS19" s="739"/>
      <c r="BT19" s="739"/>
      <c r="BU19" s="739"/>
      <c r="BV19" s="739"/>
      <c r="BW19" s="739"/>
      <c r="BX19" s="739"/>
      <c r="BY19" s="739"/>
      <c r="BZ19" s="739"/>
      <c r="CA19" s="739"/>
      <c r="CB19" s="739"/>
      <c r="CC19" s="739"/>
      <c r="CD19" s="739"/>
      <c r="CE19" s="739"/>
      <c r="CF19" s="739"/>
      <c r="CG19" s="739"/>
      <c r="CH19" s="739"/>
      <c r="CI19" s="739"/>
      <c r="CJ19" s="739"/>
      <c r="CK19" s="739"/>
      <c r="CL19" s="739"/>
      <c r="CM19" s="739" t="s">
        <v>1359</v>
      </c>
      <c r="CN19" s="739"/>
      <c r="CO19" s="739" t="s">
        <v>93</v>
      </c>
      <c r="CP19" s="739"/>
      <c r="CQ19" s="739"/>
      <c r="CR19" s="739"/>
      <c r="CS19" s="739"/>
      <c r="CT19" s="739"/>
      <c r="CU19" s="739"/>
      <c r="CV19" s="739"/>
      <c r="CW19" s="739"/>
      <c r="CX19" s="739"/>
      <c r="CY19" s="739"/>
      <c r="CZ19" s="739"/>
      <c r="DA19" s="739"/>
      <c r="DB19" s="739"/>
      <c r="DC19" s="739" t="s">
        <v>1359</v>
      </c>
      <c r="DD19" s="739"/>
      <c r="DE19" s="739"/>
      <c r="DF19" s="739"/>
      <c r="DG19" s="739"/>
      <c r="DH19" s="739"/>
      <c r="DI19" s="739"/>
      <c r="DJ19" s="739"/>
      <c r="DK19" s="739"/>
      <c r="DL19" s="739"/>
      <c r="DM19" s="739"/>
      <c r="DN19" s="739"/>
      <c r="DO19" s="739"/>
      <c r="DP19" s="739"/>
      <c r="DQ19" s="739"/>
      <c r="DR19" s="739"/>
      <c r="DS19" s="739" t="s">
        <v>93</v>
      </c>
      <c r="DT19" s="739"/>
      <c r="DU19" s="739"/>
      <c r="DV19" s="739"/>
      <c r="DW19" s="739"/>
      <c r="DX19" s="739" t="s">
        <v>93</v>
      </c>
      <c r="DY19" s="739"/>
      <c r="DZ19" s="739"/>
      <c r="EA19" s="739"/>
      <c r="EB19" s="739"/>
      <c r="EC19" s="739" t="s">
        <v>93</v>
      </c>
      <c r="ED19" s="739"/>
      <c r="EE19" s="739"/>
      <c r="EF19" s="739"/>
      <c r="EG19" s="739"/>
      <c r="EH19" s="739"/>
      <c r="EI19" s="739"/>
      <c r="EJ19" s="739"/>
      <c r="EK19" s="739"/>
      <c r="EL19" s="739"/>
      <c r="EM19" s="739"/>
      <c r="EN19" s="739"/>
      <c r="EO19" s="739"/>
      <c r="EP19" s="739"/>
      <c r="EQ19" s="739"/>
      <c r="ER19" s="739"/>
      <c r="ES19" s="739"/>
      <c r="ET19" s="739"/>
      <c r="EU19" s="739" t="s">
        <v>93</v>
      </c>
      <c r="EV19" s="739"/>
      <c r="EW19" s="739"/>
      <c r="EX19" s="739"/>
      <c r="EY19" s="739"/>
      <c r="EZ19" s="739"/>
      <c r="FA19" s="739"/>
      <c r="FB19" s="739"/>
      <c r="FC19" s="739"/>
      <c r="FD19" s="739"/>
      <c r="FE19" s="739"/>
      <c r="FF19" s="739"/>
      <c r="FG19" s="739"/>
      <c r="FH19" s="739"/>
      <c r="FI19" s="739"/>
      <c r="FJ19" s="739"/>
      <c r="FK19" s="739"/>
      <c r="FL19" s="739"/>
      <c r="FM19" s="739"/>
      <c r="FN19" s="739" t="s">
        <v>93</v>
      </c>
      <c r="FO19" s="739"/>
      <c r="FP19" s="739"/>
      <c r="FQ19" s="739"/>
      <c r="FR19" s="739"/>
      <c r="FS19" s="739"/>
      <c r="FT19" s="739"/>
      <c r="FU19" s="739"/>
      <c r="FV19" s="739"/>
      <c r="FW19" s="739"/>
      <c r="FX19" s="739"/>
      <c r="FY19" s="739" t="s">
        <v>93</v>
      </c>
      <c r="FZ19" s="739" t="s">
        <v>93</v>
      </c>
      <c r="GA19" s="739"/>
      <c r="GB19" s="739"/>
      <c r="GC19" s="739"/>
      <c r="GD19" s="739"/>
      <c r="GE19" s="739"/>
      <c r="GF19" s="739" t="s">
        <v>93</v>
      </c>
      <c r="GG19" s="739" t="s">
        <v>93</v>
      </c>
      <c r="GH19" s="739" t="s">
        <v>93</v>
      </c>
      <c r="GI19" s="739" t="s">
        <v>93</v>
      </c>
      <c r="GJ19" s="739"/>
      <c r="GK19" s="739"/>
      <c r="GL19" s="739"/>
      <c r="GM19" s="739"/>
      <c r="GN19" s="739" t="s">
        <v>93</v>
      </c>
      <c r="GO19" s="739"/>
      <c r="GP19" s="739"/>
      <c r="GQ19" s="739"/>
      <c r="GR19" s="739"/>
      <c r="GS19" s="739"/>
      <c r="GT19" s="739"/>
      <c r="GU19" s="739"/>
      <c r="GV19" s="739"/>
      <c r="GW19" s="739"/>
      <c r="GX19" s="739"/>
      <c r="GY19" s="739" t="s">
        <v>1359</v>
      </c>
      <c r="GZ19" s="740"/>
      <c r="HA19" s="739"/>
      <c r="HB19" s="739"/>
      <c r="HC19" s="739"/>
      <c r="HD19" s="739"/>
      <c r="HE19" s="739"/>
      <c r="HF19" s="739"/>
      <c r="HG19" s="739"/>
      <c r="HH19" s="739" t="s">
        <v>93</v>
      </c>
      <c r="HI19" s="739"/>
      <c r="HJ19" s="739" t="s">
        <v>93</v>
      </c>
      <c r="HK19" s="739"/>
      <c r="HL19" s="739"/>
      <c r="HM19" s="739"/>
      <c r="HN19" s="739"/>
      <c r="HO19" s="739"/>
      <c r="HP19" s="739"/>
      <c r="HQ19" s="739"/>
      <c r="HR19" s="739"/>
      <c r="HS19" s="739"/>
      <c r="HT19" s="739"/>
      <c r="HU19" s="739"/>
      <c r="HV19" s="739"/>
      <c r="HW19" s="739"/>
      <c r="HX19" s="739" t="s">
        <v>93</v>
      </c>
    </row>
    <row r="20" spans="1:232" s="724" customFormat="1" ht="20" customHeight="1">
      <c r="A20" s="748" t="s">
        <v>105</v>
      </c>
      <c r="B20" s="749"/>
      <c r="C20" s="739" t="str">
        <f>IF(ISTEXT(IFERROR(VLOOKUP(A20,职业列表!I3:J10,1,FALSE),0)),"★","")</f>
        <v/>
      </c>
      <c r="D20" s="749"/>
      <c r="E20" s="749" t="s">
        <v>93</v>
      </c>
      <c r="F20" s="749"/>
      <c r="G20" s="749"/>
      <c r="H20" s="749"/>
      <c r="I20" s="749"/>
      <c r="J20" s="749"/>
      <c r="K20" s="749"/>
      <c r="L20" s="749"/>
      <c r="M20" s="749"/>
      <c r="N20" s="749"/>
      <c r="O20" s="749"/>
      <c r="P20" s="749" t="s">
        <v>93</v>
      </c>
      <c r="Q20" s="749"/>
      <c r="R20" s="749"/>
      <c r="S20" s="749"/>
      <c r="T20" s="749"/>
      <c r="U20" s="749"/>
      <c r="V20" s="749"/>
      <c r="W20" s="749" t="s">
        <v>93</v>
      </c>
      <c r="X20" s="749"/>
      <c r="Y20" s="749"/>
      <c r="Z20" s="749"/>
      <c r="AA20" s="749"/>
      <c r="AB20" s="749" t="s">
        <v>93</v>
      </c>
      <c r="AC20" s="749"/>
      <c r="AD20" s="749"/>
      <c r="AE20" s="749"/>
      <c r="AF20" s="749"/>
      <c r="AG20" s="749"/>
      <c r="AH20" s="749"/>
      <c r="AI20" s="749"/>
      <c r="AJ20" s="749"/>
      <c r="AK20" s="749"/>
      <c r="AL20" s="749"/>
      <c r="AM20" s="749"/>
      <c r="AN20" s="749"/>
      <c r="AO20" s="749"/>
      <c r="AP20" s="749"/>
      <c r="AQ20" s="749"/>
      <c r="AR20" s="749"/>
      <c r="AS20" s="749"/>
      <c r="AT20" s="749"/>
      <c r="AU20" s="749"/>
      <c r="AV20" s="749"/>
      <c r="AW20" s="749"/>
      <c r="AX20" s="749"/>
      <c r="AY20" s="749"/>
      <c r="AZ20" s="749"/>
      <c r="BA20" s="749"/>
      <c r="BB20" s="749"/>
      <c r="BC20" s="749"/>
      <c r="BD20" s="749"/>
      <c r="BE20" s="749"/>
      <c r="BF20" s="749" t="s">
        <v>93</v>
      </c>
      <c r="BG20" s="749"/>
      <c r="BH20" s="749"/>
      <c r="BI20" s="749"/>
      <c r="BJ20" s="749"/>
      <c r="BK20" s="749"/>
      <c r="BL20" s="749"/>
      <c r="BM20" s="749"/>
      <c r="BN20" s="749"/>
      <c r="BO20" s="749"/>
      <c r="BP20" s="749"/>
      <c r="BQ20" s="749"/>
      <c r="BR20" s="749"/>
      <c r="BS20" s="749"/>
      <c r="BT20" s="749" t="s">
        <v>93</v>
      </c>
      <c r="BU20" s="749"/>
      <c r="BV20" s="749"/>
      <c r="BW20" s="749"/>
      <c r="BX20" s="749"/>
      <c r="BY20" s="749"/>
      <c r="BZ20" s="749"/>
      <c r="CA20" s="749"/>
      <c r="CB20" s="749"/>
      <c r="CC20" s="749"/>
      <c r="CD20" s="749"/>
      <c r="CE20" s="749"/>
      <c r="CF20" s="749"/>
      <c r="CG20" s="749"/>
      <c r="CH20" s="749"/>
      <c r="CI20" s="749"/>
      <c r="CJ20" s="749"/>
      <c r="CK20" s="749"/>
      <c r="CL20" s="749"/>
      <c r="CM20" s="749"/>
      <c r="CN20" s="749"/>
      <c r="CO20" s="749"/>
      <c r="CP20" s="749"/>
      <c r="CQ20" s="749"/>
      <c r="CR20" s="749" t="s">
        <v>93</v>
      </c>
      <c r="CS20" s="749"/>
      <c r="CT20" s="749"/>
      <c r="CU20" s="749"/>
      <c r="CV20" s="749"/>
      <c r="CW20" s="749"/>
      <c r="CX20" s="749"/>
      <c r="CY20" s="749"/>
      <c r="CZ20" s="749"/>
      <c r="DA20" s="749"/>
      <c r="DB20" s="749" t="s">
        <v>93</v>
      </c>
      <c r="DC20" s="749"/>
      <c r="DD20" s="749"/>
      <c r="DE20" s="749" t="s">
        <v>93</v>
      </c>
      <c r="DF20" s="749"/>
      <c r="DG20" s="749"/>
      <c r="DH20" s="749"/>
      <c r="DI20" s="749" t="s">
        <v>93</v>
      </c>
      <c r="DJ20" s="749"/>
      <c r="DK20" s="749"/>
      <c r="DL20" s="749"/>
      <c r="DM20" s="749" t="s">
        <v>93</v>
      </c>
      <c r="DN20" s="749"/>
      <c r="DO20" s="749"/>
      <c r="DP20" s="749"/>
      <c r="DQ20" s="749" t="s">
        <v>93</v>
      </c>
      <c r="DR20" s="749" t="s">
        <v>93</v>
      </c>
      <c r="DS20" s="749" t="s">
        <v>93</v>
      </c>
      <c r="DT20" s="749"/>
      <c r="DU20" s="749"/>
      <c r="DV20" s="749"/>
      <c r="DW20" s="749"/>
      <c r="DX20" s="749"/>
      <c r="DY20" s="749"/>
      <c r="DZ20" s="749"/>
      <c r="EA20" s="749"/>
      <c r="EB20" s="749"/>
      <c r="EC20" s="749"/>
      <c r="ED20" s="749"/>
      <c r="EE20" s="749"/>
      <c r="EF20" s="749"/>
      <c r="EG20" s="749"/>
      <c r="EH20" s="749"/>
      <c r="EI20" s="749"/>
      <c r="EJ20" s="749"/>
      <c r="EK20" s="749"/>
      <c r="EL20" s="749"/>
      <c r="EM20" s="749" t="s">
        <v>93</v>
      </c>
      <c r="EN20" s="749"/>
      <c r="EO20" s="749"/>
      <c r="EP20" s="749"/>
      <c r="EQ20" s="749"/>
      <c r="ER20" s="749"/>
      <c r="ES20" s="749"/>
      <c r="ET20" s="749"/>
      <c r="EU20" s="749"/>
      <c r="EV20" s="749"/>
      <c r="EW20" s="749"/>
      <c r="EX20" s="749"/>
      <c r="EY20" s="749"/>
      <c r="EZ20" s="749"/>
      <c r="FA20" s="749"/>
      <c r="FB20" s="749"/>
      <c r="FC20" s="749"/>
      <c r="FD20" s="749"/>
      <c r="FE20" s="749"/>
      <c r="FF20" s="749"/>
      <c r="FG20" s="749"/>
      <c r="FH20" s="749"/>
      <c r="FI20" s="749"/>
      <c r="FJ20" s="749"/>
      <c r="FK20" s="749"/>
      <c r="FL20" s="749"/>
      <c r="FM20" s="749"/>
      <c r="FN20" s="749"/>
      <c r="FO20" s="749" t="s">
        <v>93</v>
      </c>
      <c r="FP20" s="749"/>
      <c r="FQ20" s="749"/>
      <c r="FR20" s="749"/>
      <c r="FS20" s="749"/>
      <c r="FT20" s="749"/>
      <c r="FU20" s="749"/>
      <c r="FV20" s="749"/>
      <c r="FW20" s="749"/>
      <c r="FX20" s="749"/>
      <c r="FY20" s="749"/>
      <c r="FZ20" s="749"/>
      <c r="GA20" s="749"/>
      <c r="GB20" s="749"/>
      <c r="GC20" s="749" t="s">
        <v>93</v>
      </c>
      <c r="GD20" s="749" t="s">
        <v>93</v>
      </c>
      <c r="GE20" s="749"/>
      <c r="GF20" s="749"/>
      <c r="GG20" s="749"/>
      <c r="GH20" s="749"/>
      <c r="GI20" s="749"/>
      <c r="GJ20" s="749" t="s">
        <v>93</v>
      </c>
      <c r="GK20" s="749"/>
      <c r="GL20" s="749"/>
      <c r="GM20" s="749"/>
      <c r="GN20" s="749"/>
      <c r="GO20" s="749"/>
      <c r="GP20" s="749"/>
      <c r="GQ20" s="749"/>
      <c r="GR20" s="749"/>
      <c r="GS20" s="749"/>
      <c r="GT20" s="749"/>
      <c r="GU20" s="749" t="s">
        <v>93</v>
      </c>
      <c r="GV20" s="749"/>
      <c r="GW20" s="749"/>
      <c r="GX20" s="749"/>
      <c r="GY20" s="749"/>
      <c r="GZ20" s="749"/>
      <c r="HA20" s="749"/>
      <c r="HB20" s="749"/>
      <c r="HC20" s="749"/>
      <c r="HD20" s="749" t="s">
        <v>93</v>
      </c>
      <c r="HE20" s="749"/>
      <c r="HF20" s="749"/>
      <c r="HG20" s="749"/>
      <c r="HH20" s="749"/>
      <c r="HI20" s="749"/>
      <c r="HJ20" s="785" t="s">
        <v>93</v>
      </c>
      <c r="HK20" s="749"/>
      <c r="HL20" s="749"/>
      <c r="HM20" s="749"/>
      <c r="HN20" s="749" t="s">
        <v>93</v>
      </c>
      <c r="HO20" s="749" t="s">
        <v>93</v>
      </c>
      <c r="HP20" s="749"/>
      <c r="HQ20" s="749"/>
      <c r="HR20" s="749" t="s">
        <v>93</v>
      </c>
      <c r="HS20" s="749"/>
      <c r="HT20" s="749"/>
      <c r="HU20" s="749" t="s">
        <v>93</v>
      </c>
      <c r="HV20" s="749"/>
      <c r="HW20" s="785" t="s">
        <v>93</v>
      </c>
      <c r="HX20" s="749"/>
    </row>
    <row r="21" spans="1:232" s="375" customFormat="1" ht="20" customHeight="1">
      <c r="A21" s="738" t="s">
        <v>109</v>
      </c>
      <c r="B21" s="739"/>
      <c r="C21" s="739" t="str">
        <f>IF(ISTEXT(IFERROR(VLOOKUP(A21,职业列表!I3:J10,1,FALSE),0)),"★","")</f>
        <v/>
      </c>
      <c r="D21" s="739"/>
      <c r="E21" s="739"/>
      <c r="F21" s="739"/>
      <c r="G21" s="739" t="s">
        <v>93</v>
      </c>
      <c r="H21" s="739"/>
      <c r="I21" s="739"/>
      <c r="J21" s="739"/>
      <c r="K21" s="739"/>
      <c r="L21" s="739" t="s">
        <v>93</v>
      </c>
      <c r="M21" s="739"/>
      <c r="N21" s="739"/>
      <c r="O21" s="739"/>
      <c r="P21" s="739"/>
      <c r="Q21" s="739"/>
      <c r="R21" s="739"/>
      <c r="S21" s="739"/>
      <c r="T21" s="739"/>
      <c r="U21" s="739" t="s">
        <v>93</v>
      </c>
      <c r="V21" s="739" t="s">
        <v>93</v>
      </c>
      <c r="W21" s="739"/>
      <c r="X21" s="739"/>
      <c r="Y21" s="739"/>
      <c r="Z21" s="739"/>
      <c r="AA21" s="739"/>
      <c r="AB21" s="739"/>
      <c r="AC21" s="739"/>
      <c r="AD21" s="739"/>
      <c r="AE21" s="739" t="s">
        <v>93</v>
      </c>
      <c r="AF21" s="739" t="s">
        <v>93</v>
      </c>
      <c r="AG21" s="739"/>
      <c r="AH21" s="739"/>
      <c r="AI21" s="739"/>
      <c r="AJ21" s="739" t="s">
        <v>93</v>
      </c>
      <c r="AK21" s="739"/>
      <c r="AL21" s="739"/>
      <c r="AM21" s="739" t="s">
        <v>1359</v>
      </c>
      <c r="AN21" s="739"/>
      <c r="AO21" s="739"/>
      <c r="AP21" s="739" t="s">
        <v>93</v>
      </c>
      <c r="AQ21" s="739"/>
      <c r="AR21" s="739"/>
      <c r="AS21" s="739"/>
      <c r="AT21" s="739"/>
      <c r="AU21" s="739"/>
      <c r="AV21" s="739" t="s">
        <v>93</v>
      </c>
      <c r="AW21" s="739" t="s">
        <v>93</v>
      </c>
      <c r="AX21" s="739" t="s">
        <v>93</v>
      </c>
      <c r="AY21" s="739"/>
      <c r="AZ21" s="739"/>
      <c r="BA21" s="739"/>
      <c r="BB21" s="739"/>
      <c r="BC21" s="739"/>
      <c r="BD21" s="739" t="s">
        <v>93</v>
      </c>
      <c r="BE21" s="739" t="s">
        <v>93</v>
      </c>
      <c r="BF21" s="739" t="s">
        <v>93</v>
      </c>
      <c r="BG21" s="739"/>
      <c r="BH21" s="739"/>
      <c r="BI21" s="739"/>
      <c r="BJ21" s="739"/>
      <c r="BK21" s="739" t="s">
        <v>93</v>
      </c>
      <c r="BL21" s="739"/>
      <c r="BM21" s="739"/>
      <c r="BN21" s="739"/>
      <c r="BO21" s="739"/>
      <c r="BP21" s="739"/>
      <c r="BQ21" s="739"/>
      <c r="BR21" s="739"/>
      <c r="BS21" s="739" t="s">
        <v>93</v>
      </c>
      <c r="BT21" s="739"/>
      <c r="BU21" s="739"/>
      <c r="BV21" s="739"/>
      <c r="BW21" s="739"/>
      <c r="BX21" s="739" t="s">
        <v>93</v>
      </c>
      <c r="BY21" s="739"/>
      <c r="BZ21" s="739"/>
      <c r="CA21" s="739"/>
      <c r="CB21" s="739"/>
      <c r="CC21" s="739"/>
      <c r="CD21" s="739"/>
      <c r="CE21" s="739"/>
      <c r="CF21" s="739"/>
      <c r="CG21" s="739"/>
      <c r="CH21" s="739"/>
      <c r="CI21" s="739"/>
      <c r="CJ21" s="739"/>
      <c r="CK21" s="739"/>
      <c r="CL21" s="739"/>
      <c r="CM21" s="739"/>
      <c r="CN21" s="740" t="s">
        <v>1359</v>
      </c>
      <c r="CO21" s="739"/>
      <c r="CP21" s="739"/>
      <c r="CQ21" s="739"/>
      <c r="CR21" s="739"/>
      <c r="CS21" s="739"/>
      <c r="CT21" s="739"/>
      <c r="CU21" s="739"/>
      <c r="CV21" s="739"/>
      <c r="CW21" s="739"/>
      <c r="CX21" s="739" t="s">
        <v>93</v>
      </c>
      <c r="CY21" s="739"/>
      <c r="CZ21" s="739"/>
      <c r="DA21" s="739"/>
      <c r="DB21" s="739"/>
      <c r="DC21" s="739"/>
      <c r="DD21" s="739"/>
      <c r="DE21" s="739" t="s">
        <v>1362</v>
      </c>
      <c r="DF21" s="739"/>
      <c r="DG21" s="739" t="s">
        <v>93</v>
      </c>
      <c r="DH21" s="739"/>
      <c r="DI21" s="739"/>
      <c r="DJ21" s="739"/>
      <c r="DK21" s="739"/>
      <c r="DL21" s="739"/>
      <c r="DM21" s="739"/>
      <c r="DN21" s="739"/>
      <c r="DO21" s="739"/>
      <c r="DP21" s="739"/>
      <c r="DQ21" s="739"/>
      <c r="DR21" s="739"/>
      <c r="DS21" s="739"/>
      <c r="DT21" s="739"/>
      <c r="DU21" s="739"/>
      <c r="DV21" s="739"/>
      <c r="DW21" s="739"/>
      <c r="DX21" s="739"/>
      <c r="DY21" s="739"/>
      <c r="DZ21" s="739"/>
      <c r="EA21" s="739"/>
      <c r="EB21" s="739"/>
      <c r="EC21" s="739"/>
      <c r="ED21" s="739"/>
      <c r="EE21" s="739"/>
      <c r="EF21" s="739"/>
      <c r="EG21" s="739"/>
      <c r="EH21" s="739"/>
      <c r="EI21" s="739" t="s">
        <v>93</v>
      </c>
      <c r="EJ21" s="739"/>
      <c r="EK21" s="739" t="s">
        <v>93</v>
      </c>
      <c r="EL21" s="739"/>
      <c r="EM21" s="739"/>
      <c r="EN21" s="739"/>
      <c r="EO21" s="739"/>
      <c r="EP21" s="739" t="s">
        <v>93</v>
      </c>
      <c r="EQ21" s="739"/>
      <c r="ER21" s="739" t="s">
        <v>93</v>
      </c>
      <c r="ES21" s="739" t="s">
        <v>93</v>
      </c>
      <c r="ET21" s="739"/>
      <c r="EU21" s="739"/>
      <c r="EV21" s="739"/>
      <c r="EW21" s="739"/>
      <c r="EX21" s="739"/>
      <c r="EY21" s="739"/>
      <c r="EZ21" s="739"/>
      <c r="FA21" s="739"/>
      <c r="FB21" s="739" t="s">
        <v>93</v>
      </c>
      <c r="FC21" s="739" t="s">
        <v>93</v>
      </c>
      <c r="FD21" s="739" t="s">
        <v>93</v>
      </c>
      <c r="FE21" s="739"/>
      <c r="FF21" s="739"/>
      <c r="FG21" s="739"/>
      <c r="FH21" s="739"/>
      <c r="FI21" s="739"/>
      <c r="FJ21" s="739"/>
      <c r="FK21" s="739"/>
      <c r="FL21" s="739"/>
      <c r="FM21" s="739"/>
      <c r="FN21" s="739"/>
      <c r="FO21" s="739"/>
      <c r="FP21" s="739"/>
      <c r="FQ21" s="739"/>
      <c r="FR21" s="739"/>
      <c r="FS21" s="739"/>
      <c r="FT21" s="739"/>
      <c r="FU21" s="739"/>
      <c r="FV21" s="739"/>
      <c r="FW21" s="739"/>
      <c r="FX21" s="739"/>
      <c r="FY21" s="739"/>
      <c r="FZ21" s="739"/>
      <c r="GA21" s="739"/>
      <c r="GB21" s="739"/>
      <c r="GC21" s="739"/>
      <c r="GD21" s="739"/>
      <c r="GE21" s="739"/>
      <c r="GF21" s="739"/>
      <c r="GG21" s="739"/>
      <c r="GH21" s="739"/>
      <c r="GI21" s="739"/>
      <c r="GJ21" s="739"/>
      <c r="GK21" s="739"/>
      <c r="GL21" s="739"/>
      <c r="GM21" s="739"/>
      <c r="GN21" s="739"/>
      <c r="GO21" s="739" t="s">
        <v>93</v>
      </c>
      <c r="GP21" s="739"/>
      <c r="GQ21" s="739"/>
      <c r="GR21" s="739" t="s">
        <v>93</v>
      </c>
      <c r="GS21" s="739"/>
      <c r="GT21" s="739"/>
      <c r="GU21" s="739"/>
      <c r="GV21" s="739"/>
      <c r="GW21" s="739" t="s">
        <v>1359</v>
      </c>
      <c r="GX21" s="739"/>
      <c r="GY21" s="739"/>
      <c r="GZ21" s="739"/>
      <c r="HA21" s="739"/>
      <c r="HB21" s="739"/>
      <c r="HC21" s="739"/>
      <c r="HD21" s="740" t="s">
        <v>93</v>
      </c>
      <c r="HE21" s="739"/>
      <c r="HF21" s="739"/>
      <c r="HG21" s="739"/>
      <c r="HH21" s="739"/>
      <c r="HI21" s="739"/>
      <c r="HJ21" s="739"/>
      <c r="HK21" s="739"/>
      <c r="HL21" s="739"/>
      <c r="HM21" s="739"/>
      <c r="HN21" s="739"/>
      <c r="HO21" s="740" t="s">
        <v>1362</v>
      </c>
      <c r="HP21" s="739"/>
      <c r="HQ21" s="739"/>
      <c r="HR21" s="739"/>
      <c r="HS21" s="739"/>
      <c r="HT21" s="739"/>
      <c r="HU21" s="739" t="s">
        <v>1362</v>
      </c>
      <c r="HV21" s="739"/>
      <c r="HW21" s="739"/>
      <c r="HX21" s="739"/>
    </row>
    <row r="22" spans="1:232" s="375" customFormat="1" ht="20" customHeight="1">
      <c r="A22" s="738" t="s">
        <v>111</v>
      </c>
      <c r="B22" s="739"/>
      <c r="C22" s="739" t="str">
        <f>IF(ISTEXT(IFERROR(VLOOKUP(A22,职业列表!I3:J10,1,FALSE),0)),"★","")</f>
        <v/>
      </c>
      <c r="D22" s="739"/>
      <c r="E22" s="739"/>
      <c r="F22" s="739"/>
      <c r="G22" s="739"/>
      <c r="H22" s="739"/>
      <c r="I22" s="739"/>
      <c r="J22" s="739"/>
      <c r="K22" s="739"/>
      <c r="L22" s="739"/>
      <c r="M22" s="739"/>
      <c r="N22" s="739"/>
      <c r="O22" s="739"/>
      <c r="P22" s="739"/>
      <c r="Q22" s="739"/>
      <c r="R22" s="739"/>
      <c r="S22" s="739"/>
      <c r="T22" s="739"/>
      <c r="U22" s="739"/>
      <c r="V22" s="739" t="s">
        <v>1359</v>
      </c>
      <c r="W22" s="739"/>
      <c r="X22" s="739"/>
      <c r="Y22" s="739"/>
      <c r="Z22" s="739" t="s">
        <v>93</v>
      </c>
      <c r="AA22" s="739" t="s">
        <v>93</v>
      </c>
      <c r="AB22" s="739"/>
      <c r="AC22" s="739"/>
      <c r="AD22" s="739" t="s">
        <v>93</v>
      </c>
      <c r="AE22" s="739" t="s">
        <v>1359</v>
      </c>
      <c r="AF22" s="739"/>
      <c r="AG22" s="739" t="s">
        <v>1359</v>
      </c>
      <c r="AH22" s="739"/>
      <c r="AI22" s="739"/>
      <c r="AJ22" s="739"/>
      <c r="AK22" s="739"/>
      <c r="AL22" s="739"/>
      <c r="AM22" s="739"/>
      <c r="AN22" s="739"/>
      <c r="AO22" s="739"/>
      <c r="AP22" s="739"/>
      <c r="AQ22" s="739"/>
      <c r="AR22" s="739"/>
      <c r="AS22" s="739"/>
      <c r="AT22" s="739"/>
      <c r="AU22" s="739"/>
      <c r="AV22" s="739"/>
      <c r="AW22" s="739"/>
      <c r="AX22" s="739" t="s">
        <v>93</v>
      </c>
      <c r="AY22" s="739"/>
      <c r="AZ22" s="739"/>
      <c r="BA22" s="739" t="s">
        <v>93</v>
      </c>
      <c r="BB22" s="739"/>
      <c r="BC22" s="739"/>
      <c r="BD22" s="739"/>
      <c r="BE22" s="739"/>
      <c r="BF22" s="739"/>
      <c r="BG22" s="739"/>
      <c r="BH22" s="739"/>
      <c r="BI22" s="739"/>
      <c r="BJ22" s="739"/>
      <c r="BK22" s="739"/>
      <c r="BL22" s="739"/>
      <c r="BM22" s="739"/>
      <c r="BN22" s="739" t="s">
        <v>93</v>
      </c>
      <c r="BO22" s="739"/>
      <c r="BP22" s="739"/>
      <c r="BQ22" s="739"/>
      <c r="BR22" s="739" t="s">
        <v>93</v>
      </c>
      <c r="BS22" s="739" t="s">
        <v>93</v>
      </c>
      <c r="BT22" s="739"/>
      <c r="BU22" s="739"/>
      <c r="BV22" s="739"/>
      <c r="BW22" s="739"/>
      <c r="BX22" s="739" t="s">
        <v>93</v>
      </c>
      <c r="BY22" s="739"/>
      <c r="BZ22" s="739"/>
      <c r="CA22" s="739"/>
      <c r="CB22" s="739"/>
      <c r="CC22" s="739"/>
      <c r="CD22" s="739"/>
      <c r="CE22" s="739"/>
      <c r="CF22" s="739"/>
      <c r="CG22" s="739"/>
      <c r="CH22" s="739"/>
      <c r="CI22" s="739"/>
      <c r="CJ22" s="739"/>
      <c r="CK22" s="739" t="s">
        <v>93</v>
      </c>
      <c r="CL22" s="739" t="s">
        <v>93</v>
      </c>
      <c r="CM22" s="739"/>
      <c r="CN22" s="739"/>
      <c r="CO22" s="739"/>
      <c r="CP22" s="739"/>
      <c r="CQ22" s="739"/>
      <c r="CR22" s="739"/>
      <c r="CS22" s="739"/>
      <c r="CT22" s="739"/>
      <c r="CU22" s="739"/>
      <c r="CV22" s="739" t="s">
        <v>1359</v>
      </c>
      <c r="CW22" s="739"/>
      <c r="CX22" s="739"/>
      <c r="CY22" s="739"/>
      <c r="CZ22" s="739"/>
      <c r="DA22" s="739" t="s">
        <v>93</v>
      </c>
      <c r="DB22" s="739"/>
      <c r="DC22" s="739"/>
      <c r="DD22" s="739"/>
      <c r="DE22" s="739" t="s">
        <v>1359</v>
      </c>
      <c r="DF22" s="739"/>
      <c r="DG22" s="739"/>
      <c r="DH22" s="739"/>
      <c r="DI22" s="739"/>
      <c r="DJ22" s="739"/>
      <c r="DK22" s="739"/>
      <c r="DL22" s="739"/>
      <c r="DM22" s="739"/>
      <c r="DN22" s="739"/>
      <c r="DO22" s="739"/>
      <c r="DP22" s="739"/>
      <c r="DQ22" s="739"/>
      <c r="DR22" s="739"/>
      <c r="DS22" s="739"/>
      <c r="DT22" s="739"/>
      <c r="DU22" s="739"/>
      <c r="DV22" s="739"/>
      <c r="DW22" s="739"/>
      <c r="DX22" s="739"/>
      <c r="DY22" s="739"/>
      <c r="DZ22" s="739"/>
      <c r="EA22" s="739"/>
      <c r="EB22" s="739"/>
      <c r="EC22" s="739"/>
      <c r="ED22" s="739"/>
      <c r="EE22" s="739"/>
      <c r="EF22" s="739"/>
      <c r="EG22" s="739"/>
      <c r="EH22" s="739"/>
      <c r="EI22" s="739" t="s">
        <v>93</v>
      </c>
      <c r="EJ22" s="739"/>
      <c r="EK22" s="739"/>
      <c r="EL22" s="739"/>
      <c r="EM22" s="739"/>
      <c r="EN22" s="739" t="s">
        <v>1359</v>
      </c>
      <c r="EO22" s="739"/>
      <c r="EP22" s="739" t="s">
        <v>93</v>
      </c>
      <c r="EQ22" s="739"/>
      <c r="ER22" s="739"/>
      <c r="ES22" s="739"/>
      <c r="ET22" s="739"/>
      <c r="EU22" s="739"/>
      <c r="EV22" s="739"/>
      <c r="EW22" s="739"/>
      <c r="EX22" s="739"/>
      <c r="EY22" s="739"/>
      <c r="EZ22" s="739" t="s">
        <v>93</v>
      </c>
      <c r="FA22" s="739"/>
      <c r="FB22" s="739" t="s">
        <v>1359</v>
      </c>
      <c r="FC22" s="739"/>
      <c r="FD22" s="739"/>
      <c r="FE22" s="739"/>
      <c r="FF22" s="739"/>
      <c r="FG22" s="739"/>
      <c r="FH22" s="739"/>
      <c r="FI22" s="739"/>
      <c r="FJ22" s="739"/>
      <c r="FK22" s="739"/>
      <c r="FL22" s="739"/>
      <c r="FM22" s="739"/>
      <c r="FN22" s="739"/>
      <c r="FO22" s="739"/>
      <c r="FP22" s="739"/>
      <c r="FQ22" s="739"/>
      <c r="FR22" s="739"/>
      <c r="FS22" s="739"/>
      <c r="FT22" s="739"/>
      <c r="FU22" s="739" t="s">
        <v>93</v>
      </c>
      <c r="FV22" s="739"/>
      <c r="FW22" s="739"/>
      <c r="FX22" s="739"/>
      <c r="FY22" s="739"/>
      <c r="FZ22" s="739"/>
      <c r="GA22" s="739" t="s">
        <v>93</v>
      </c>
      <c r="GB22" s="739"/>
      <c r="GC22" s="739"/>
      <c r="GD22" s="739"/>
      <c r="GE22" s="739"/>
      <c r="GF22" s="739"/>
      <c r="GG22" s="739"/>
      <c r="GH22" s="739"/>
      <c r="GI22" s="739"/>
      <c r="GJ22" s="739"/>
      <c r="GK22" s="739"/>
      <c r="GL22" s="739"/>
      <c r="GM22" s="739"/>
      <c r="GN22" s="739" t="s">
        <v>93</v>
      </c>
      <c r="GO22" s="739"/>
      <c r="GP22" s="739" t="s">
        <v>93</v>
      </c>
      <c r="GQ22" s="739"/>
      <c r="GR22" s="739" t="s">
        <v>93</v>
      </c>
      <c r="GS22" s="739"/>
      <c r="GT22" s="739" t="s">
        <v>93</v>
      </c>
      <c r="GU22" s="739"/>
      <c r="GV22" s="739"/>
      <c r="GW22" s="739"/>
      <c r="GX22" s="739" t="s">
        <v>93</v>
      </c>
      <c r="GY22" s="739"/>
      <c r="GZ22" s="739"/>
      <c r="HA22" s="739"/>
      <c r="HB22" s="739"/>
      <c r="HC22" s="739"/>
      <c r="HD22" s="739"/>
      <c r="HE22" s="739"/>
      <c r="HF22" s="739"/>
      <c r="HG22" s="739"/>
      <c r="HH22" s="739"/>
      <c r="HI22" s="739"/>
      <c r="HJ22" s="739"/>
      <c r="HK22" s="739"/>
      <c r="HL22" s="739"/>
      <c r="HM22" s="739"/>
      <c r="HN22" s="739"/>
      <c r="HO22" s="739"/>
      <c r="HP22" s="739"/>
      <c r="HQ22" s="739"/>
      <c r="HR22" s="739"/>
      <c r="HS22" s="739"/>
      <c r="HT22" s="739"/>
      <c r="HU22" s="739"/>
      <c r="HV22" s="739"/>
      <c r="HW22" s="739"/>
      <c r="HX22" s="739"/>
    </row>
    <row r="23" spans="1:232" s="375" customFormat="1" ht="20" customHeight="1">
      <c r="A23" s="747" t="s">
        <v>114</v>
      </c>
      <c r="B23" s="739"/>
      <c r="C23" s="740" t="str">
        <f>IF(ISTEXT(IFERROR(VLOOKUP(A23,职业列表!I3:J10,1,FALSE),0)),"★","")</f>
        <v/>
      </c>
      <c r="D23" s="739"/>
      <c r="E23" s="739"/>
      <c r="F23" s="739"/>
      <c r="G23" s="739"/>
      <c r="H23" s="739"/>
      <c r="I23" s="739"/>
      <c r="J23" s="739"/>
      <c r="K23" s="739"/>
      <c r="L23" s="739"/>
      <c r="M23" s="739"/>
      <c r="N23" s="739"/>
      <c r="O23" s="739"/>
      <c r="P23" s="739"/>
      <c r="Q23" s="739"/>
      <c r="R23" s="739"/>
      <c r="S23" s="739"/>
      <c r="T23" s="739"/>
      <c r="U23" s="739"/>
      <c r="V23" s="739" t="s">
        <v>1359</v>
      </c>
      <c r="W23" s="739"/>
      <c r="X23" s="739"/>
      <c r="Y23" s="739"/>
      <c r="Z23" s="739" t="s">
        <v>93</v>
      </c>
      <c r="AA23" s="739" t="s">
        <v>93</v>
      </c>
      <c r="AB23" s="739"/>
      <c r="AC23" s="739"/>
      <c r="AD23" s="739"/>
      <c r="AE23" s="739"/>
      <c r="AF23" s="739"/>
      <c r="AG23" s="739"/>
      <c r="AH23" s="739"/>
      <c r="AI23" s="739"/>
      <c r="AJ23" s="739"/>
      <c r="AK23" s="739"/>
      <c r="AL23" s="739"/>
      <c r="AM23" s="739"/>
      <c r="AN23" s="739"/>
      <c r="AO23" s="739"/>
      <c r="AP23" s="739"/>
      <c r="AQ23" s="739"/>
      <c r="AR23" s="739"/>
      <c r="AS23" s="739"/>
      <c r="AT23" s="739"/>
      <c r="AU23" s="739"/>
      <c r="AV23" s="739"/>
      <c r="AW23" s="739"/>
      <c r="AX23" s="739"/>
      <c r="AY23" s="739"/>
      <c r="AZ23" s="739"/>
      <c r="BA23" s="739"/>
      <c r="BB23" s="739"/>
      <c r="BC23" s="739"/>
      <c r="BD23" s="739"/>
      <c r="BE23" s="739"/>
      <c r="BF23" s="739"/>
      <c r="BG23" s="739"/>
      <c r="BH23" s="739"/>
      <c r="BI23" s="739"/>
      <c r="BJ23" s="739"/>
      <c r="BK23" s="739"/>
      <c r="BL23" s="739"/>
      <c r="BM23" s="739"/>
      <c r="BN23" s="739"/>
      <c r="BO23" s="739"/>
      <c r="BP23" s="739"/>
      <c r="BQ23" s="739"/>
      <c r="BR23" s="739"/>
      <c r="BS23" s="739"/>
      <c r="BT23" s="739"/>
      <c r="BU23" s="739"/>
      <c r="BV23" s="739"/>
      <c r="BW23" s="739"/>
      <c r="BX23" s="739"/>
      <c r="BY23" s="739"/>
      <c r="BZ23" s="739"/>
      <c r="CA23" s="739"/>
      <c r="CB23" s="739"/>
      <c r="CC23" s="739"/>
      <c r="CD23" s="739"/>
      <c r="CE23" s="739"/>
      <c r="CF23" s="739"/>
      <c r="CG23" s="739"/>
      <c r="CH23" s="739"/>
      <c r="CI23" s="739"/>
      <c r="CJ23" s="739"/>
      <c r="CK23" s="739"/>
      <c r="CL23" s="739"/>
      <c r="CM23" s="739"/>
      <c r="CN23" s="739"/>
      <c r="CO23" s="739"/>
      <c r="CP23" s="739"/>
      <c r="CQ23" s="739"/>
      <c r="CR23" s="739"/>
      <c r="CS23" s="739"/>
      <c r="CT23" s="739"/>
      <c r="CU23" s="739"/>
      <c r="CV23" s="739"/>
      <c r="CW23" s="739"/>
      <c r="CX23" s="739"/>
      <c r="CY23" s="739"/>
      <c r="CZ23" s="739"/>
      <c r="DA23" s="739"/>
      <c r="DB23" s="739"/>
      <c r="DC23" s="739"/>
      <c r="DD23" s="739"/>
      <c r="DE23" s="739"/>
      <c r="DF23" s="739"/>
      <c r="DG23" s="739"/>
      <c r="DH23" s="739"/>
      <c r="DI23" s="739"/>
      <c r="DJ23" s="739"/>
      <c r="DK23" s="739"/>
      <c r="DL23" s="739"/>
      <c r="DM23" s="739"/>
      <c r="DN23" s="739"/>
      <c r="DO23" s="739"/>
      <c r="DP23" s="739"/>
      <c r="DQ23" s="739"/>
      <c r="DR23" s="739"/>
      <c r="DS23" s="739"/>
      <c r="DT23" s="739"/>
      <c r="DU23" s="739"/>
      <c r="DV23" s="739"/>
      <c r="DW23" s="739"/>
      <c r="DX23" s="739"/>
      <c r="DY23" s="739"/>
      <c r="DZ23" s="739"/>
      <c r="EA23" s="739"/>
      <c r="EB23" s="739"/>
      <c r="EC23" s="739"/>
      <c r="ED23" s="739"/>
      <c r="EE23" s="739"/>
      <c r="EF23" s="739"/>
      <c r="EG23" s="739"/>
      <c r="EH23" s="739"/>
      <c r="EI23" s="739"/>
      <c r="EJ23" s="739"/>
      <c r="EK23" s="739"/>
      <c r="EL23" s="739"/>
      <c r="EM23" s="739"/>
      <c r="EN23" s="739"/>
      <c r="EO23" s="739"/>
      <c r="EP23" s="739"/>
      <c r="EQ23" s="739"/>
      <c r="ER23" s="739"/>
      <c r="ES23" s="739"/>
      <c r="ET23" s="739"/>
      <c r="EU23" s="739"/>
      <c r="EV23" s="739"/>
      <c r="EW23" s="739"/>
      <c r="EX23" s="739"/>
      <c r="EY23" s="739"/>
      <c r="EZ23" s="739"/>
      <c r="FA23" s="739"/>
      <c r="FB23" s="739"/>
      <c r="FC23" s="739"/>
      <c r="FD23" s="739"/>
      <c r="FE23" s="739"/>
      <c r="FF23" s="739"/>
      <c r="FG23" s="739"/>
      <c r="FH23" s="739"/>
      <c r="FI23" s="739"/>
      <c r="FJ23" s="739"/>
      <c r="FK23" s="739"/>
      <c r="FL23" s="739"/>
      <c r="FM23" s="739"/>
      <c r="FN23" s="739"/>
      <c r="FO23" s="739"/>
      <c r="FP23" s="739"/>
      <c r="FQ23" s="739"/>
      <c r="FR23" s="739"/>
      <c r="FS23" s="739"/>
      <c r="FT23" s="739"/>
      <c r="FU23" s="739"/>
      <c r="FV23" s="739"/>
      <c r="FW23" s="739"/>
      <c r="FX23" s="739"/>
      <c r="FY23" s="739"/>
      <c r="FZ23" s="739"/>
      <c r="GA23" s="739"/>
      <c r="GB23" s="739"/>
      <c r="GC23" s="739"/>
      <c r="GD23" s="739"/>
      <c r="GE23" s="739"/>
      <c r="GF23" s="739"/>
      <c r="GG23" s="739"/>
      <c r="GH23" s="739"/>
      <c r="GI23" s="739"/>
      <c r="GJ23" s="739"/>
      <c r="GK23" s="739"/>
      <c r="GL23" s="739"/>
      <c r="GM23" s="739"/>
      <c r="GN23" s="739"/>
      <c r="GO23" s="739"/>
      <c r="GP23" s="739"/>
      <c r="GQ23" s="739"/>
      <c r="GR23" s="739"/>
      <c r="GS23" s="739"/>
      <c r="GT23" s="739" t="s">
        <v>93</v>
      </c>
      <c r="GU23" s="739"/>
      <c r="GV23" s="739"/>
      <c r="GW23" s="739"/>
      <c r="GX23" s="739" t="s">
        <v>93</v>
      </c>
      <c r="GY23" s="739"/>
      <c r="GZ23" s="739"/>
      <c r="HA23" s="739"/>
      <c r="HB23" s="739"/>
      <c r="HC23" s="739"/>
      <c r="HD23" s="739"/>
      <c r="HE23" s="739"/>
      <c r="HF23" s="739"/>
      <c r="HG23" s="739"/>
      <c r="HH23" s="739"/>
      <c r="HI23" s="739"/>
      <c r="HJ23" s="739"/>
      <c r="HK23" s="739"/>
      <c r="HL23" s="739"/>
      <c r="HM23" s="739"/>
      <c r="HN23" s="739"/>
      <c r="HO23" s="739"/>
      <c r="HP23" s="739"/>
      <c r="HQ23" s="739"/>
      <c r="HR23" s="739"/>
      <c r="HS23" s="739"/>
      <c r="HT23" s="739"/>
      <c r="HU23" s="739"/>
      <c r="HV23" s="739"/>
      <c r="HW23" s="739"/>
      <c r="HX23" s="739"/>
    </row>
    <row r="24" spans="1:232" s="723" customFormat="1" ht="20" customHeight="1">
      <c r="A24" s="745" t="s">
        <v>116</v>
      </c>
      <c r="B24" s="746"/>
      <c r="C24" s="739" t="str">
        <f>IF(ISTEXT(IFERROR(VLOOKUP(A24,职业列表!I3:J10,1,FALSE),0)),"★","")</f>
        <v/>
      </c>
      <c r="D24" s="746"/>
      <c r="E24" s="746"/>
      <c r="F24" s="746" t="s">
        <v>1361</v>
      </c>
      <c r="G24" s="746" t="s">
        <v>1361</v>
      </c>
      <c r="H24" s="746" t="s">
        <v>1361</v>
      </c>
      <c r="I24" s="746"/>
      <c r="J24" s="746"/>
      <c r="K24" s="746" t="s">
        <v>1361</v>
      </c>
      <c r="L24" s="746" t="s">
        <v>1361</v>
      </c>
      <c r="M24" s="746"/>
      <c r="N24" s="746"/>
      <c r="O24" s="746" t="s">
        <v>1361</v>
      </c>
      <c r="P24" s="746" t="s">
        <v>1361</v>
      </c>
      <c r="Q24" s="746" t="s">
        <v>1361</v>
      </c>
      <c r="R24" s="746"/>
      <c r="S24" s="746" t="s">
        <v>1361</v>
      </c>
      <c r="T24" s="746"/>
      <c r="U24" s="746" t="s">
        <v>1361</v>
      </c>
      <c r="V24" s="746" t="s">
        <v>1361</v>
      </c>
      <c r="W24" s="746"/>
      <c r="X24" s="746"/>
      <c r="Y24" s="746" t="s">
        <v>1361</v>
      </c>
      <c r="Z24" s="746"/>
      <c r="AA24" s="746" t="s">
        <v>1361</v>
      </c>
      <c r="AB24" s="746"/>
      <c r="AC24" s="746"/>
      <c r="AD24" s="746"/>
      <c r="AE24" s="746"/>
      <c r="AF24" s="746" t="s">
        <v>1361</v>
      </c>
      <c r="AG24" s="746"/>
      <c r="AH24" s="746" t="s">
        <v>1361</v>
      </c>
      <c r="AI24" s="746" t="s">
        <v>1361</v>
      </c>
      <c r="AJ24" s="746" t="s">
        <v>1361</v>
      </c>
      <c r="AK24" s="746" t="s">
        <v>1361</v>
      </c>
      <c r="AL24" s="746"/>
      <c r="AM24" s="746" t="s">
        <v>1361</v>
      </c>
      <c r="AN24" s="746" t="s">
        <v>1361</v>
      </c>
      <c r="AO24" s="746" t="s">
        <v>1361</v>
      </c>
      <c r="AP24" s="746" t="s">
        <v>1361</v>
      </c>
      <c r="AQ24" s="773"/>
      <c r="AR24" s="746" t="s">
        <v>1361</v>
      </c>
      <c r="AS24" s="746"/>
      <c r="AT24" s="746"/>
      <c r="AU24" s="746" t="s">
        <v>1361</v>
      </c>
      <c r="AV24" s="746" t="s">
        <v>1361</v>
      </c>
      <c r="AW24" s="746" t="s">
        <v>1361</v>
      </c>
      <c r="AX24" s="746" t="s">
        <v>93</v>
      </c>
      <c r="AY24" s="746" t="s">
        <v>1361</v>
      </c>
      <c r="AZ24" s="746" t="s">
        <v>93</v>
      </c>
      <c r="BA24" s="746"/>
      <c r="BB24" s="746" t="s">
        <v>1361</v>
      </c>
      <c r="BC24" s="746"/>
      <c r="BD24" s="746" t="s">
        <v>1361</v>
      </c>
      <c r="BE24" s="746"/>
      <c r="BF24" s="746"/>
      <c r="BG24" s="746" t="s">
        <v>1361</v>
      </c>
      <c r="BH24" s="746"/>
      <c r="BI24" s="746" t="s">
        <v>1361</v>
      </c>
      <c r="BJ24" s="746" t="s">
        <v>1361</v>
      </c>
      <c r="BK24" s="746" t="s">
        <v>1361</v>
      </c>
      <c r="BL24" s="746" t="s">
        <v>1361</v>
      </c>
      <c r="BM24" s="746"/>
      <c r="BN24" s="746" t="s">
        <v>1361</v>
      </c>
      <c r="BO24" s="746" t="s">
        <v>1361</v>
      </c>
      <c r="BP24" s="746" t="s">
        <v>1361</v>
      </c>
      <c r="BQ24" s="746"/>
      <c r="BR24" s="746"/>
      <c r="BS24" s="746"/>
      <c r="BT24" s="746"/>
      <c r="BU24" s="773"/>
      <c r="BV24" s="746" t="s">
        <v>1361</v>
      </c>
      <c r="BW24" s="746"/>
      <c r="BX24" s="746"/>
      <c r="BY24" s="746" t="s">
        <v>1361</v>
      </c>
      <c r="BZ24" s="746" t="s">
        <v>1361</v>
      </c>
      <c r="CA24" s="746"/>
      <c r="CB24" s="746"/>
      <c r="CC24" s="746" t="s">
        <v>1361</v>
      </c>
      <c r="CD24" s="746" t="s">
        <v>1361</v>
      </c>
      <c r="CE24" s="746" t="s">
        <v>1361</v>
      </c>
      <c r="CF24" s="746"/>
      <c r="CG24" s="746"/>
      <c r="CH24" s="746" t="s">
        <v>1361</v>
      </c>
      <c r="CI24" s="746" t="s">
        <v>1361</v>
      </c>
      <c r="CJ24" s="746" t="s">
        <v>1361</v>
      </c>
      <c r="CK24" s="746"/>
      <c r="CL24" s="746"/>
      <c r="CM24" s="746" t="s">
        <v>1361</v>
      </c>
      <c r="CN24" s="746" t="s">
        <v>1361</v>
      </c>
      <c r="CO24" s="746" t="s">
        <v>1361</v>
      </c>
      <c r="CP24" s="746"/>
      <c r="CQ24" s="746"/>
      <c r="CR24" s="746" t="s">
        <v>1361</v>
      </c>
      <c r="CS24" s="746"/>
      <c r="CT24" s="746"/>
      <c r="CU24" s="746" t="s">
        <v>1361</v>
      </c>
      <c r="CV24" s="746"/>
      <c r="CW24" s="746" t="s">
        <v>1361</v>
      </c>
      <c r="CX24" s="746" t="s">
        <v>1361</v>
      </c>
      <c r="CY24" s="746" t="s">
        <v>1361</v>
      </c>
      <c r="CZ24" s="746" t="s">
        <v>1361</v>
      </c>
      <c r="DA24" s="746" t="s">
        <v>1361</v>
      </c>
      <c r="DB24" s="746"/>
      <c r="DC24" s="746" t="s">
        <v>1361</v>
      </c>
      <c r="DD24" s="746"/>
      <c r="DE24" s="746"/>
      <c r="DF24" s="746"/>
      <c r="DG24" s="746" t="s">
        <v>1361</v>
      </c>
      <c r="DH24" s="746" t="s">
        <v>1361</v>
      </c>
      <c r="DI24" s="746" t="s">
        <v>1361</v>
      </c>
      <c r="DJ24" s="746" t="s">
        <v>1361</v>
      </c>
      <c r="DK24" s="746" t="s">
        <v>1361</v>
      </c>
      <c r="DL24" s="746" t="s">
        <v>1361</v>
      </c>
      <c r="DM24" s="746"/>
      <c r="DN24" s="746" t="s">
        <v>93</v>
      </c>
      <c r="DO24" s="746" t="s">
        <v>1361</v>
      </c>
      <c r="DP24" s="746" t="s">
        <v>1361</v>
      </c>
      <c r="DQ24" s="746" t="s">
        <v>1361</v>
      </c>
      <c r="DR24" s="746" t="s">
        <v>1361</v>
      </c>
      <c r="DS24" s="746" t="s">
        <v>1361</v>
      </c>
      <c r="DT24" s="746" t="s">
        <v>1361</v>
      </c>
      <c r="DU24" s="746" t="s">
        <v>1361</v>
      </c>
      <c r="DV24" s="746" t="s">
        <v>1361</v>
      </c>
      <c r="DW24" s="746" t="s">
        <v>1361</v>
      </c>
      <c r="DX24" s="746" t="s">
        <v>1361</v>
      </c>
      <c r="DY24" s="746" t="s">
        <v>1361</v>
      </c>
      <c r="DZ24" s="746" t="s">
        <v>1361</v>
      </c>
      <c r="EA24" s="746" t="s">
        <v>1361</v>
      </c>
      <c r="EB24" s="746" t="s">
        <v>1361</v>
      </c>
      <c r="EC24" s="746" t="s">
        <v>1361</v>
      </c>
      <c r="ED24" s="746"/>
      <c r="EE24" s="746" t="s">
        <v>1361</v>
      </c>
      <c r="EF24" s="746"/>
      <c r="EG24" s="746"/>
      <c r="EH24" s="746"/>
      <c r="EI24" s="746" t="s">
        <v>1361</v>
      </c>
      <c r="EJ24" s="746" t="s">
        <v>1361</v>
      </c>
      <c r="EK24" s="746" t="s">
        <v>1361</v>
      </c>
      <c r="EL24" s="746"/>
      <c r="EM24" s="746" t="s">
        <v>1361</v>
      </c>
      <c r="EN24" s="746"/>
      <c r="EO24" s="746" t="s">
        <v>1361</v>
      </c>
      <c r="EP24" s="746"/>
      <c r="EQ24" s="746" t="s">
        <v>93</v>
      </c>
      <c r="ER24" s="746" t="s">
        <v>1361</v>
      </c>
      <c r="ES24" s="746" t="s">
        <v>1361</v>
      </c>
      <c r="ET24" s="746" t="s">
        <v>1361</v>
      </c>
      <c r="EU24" s="746" t="s">
        <v>1361</v>
      </c>
      <c r="EV24" s="746" t="s">
        <v>1361</v>
      </c>
      <c r="EW24" s="746"/>
      <c r="EX24" s="746" t="s">
        <v>1361</v>
      </c>
      <c r="EY24" s="746" t="s">
        <v>1361</v>
      </c>
      <c r="EZ24" s="746"/>
      <c r="FA24" s="746" t="s">
        <v>1361</v>
      </c>
      <c r="FB24" s="746" t="s">
        <v>1361</v>
      </c>
      <c r="FC24" s="746"/>
      <c r="FD24" s="746" t="s">
        <v>93</v>
      </c>
      <c r="FE24" s="746" t="s">
        <v>1361</v>
      </c>
      <c r="FF24" s="746" t="s">
        <v>1361</v>
      </c>
      <c r="FG24" s="746" t="s">
        <v>1361</v>
      </c>
      <c r="FH24" s="746"/>
      <c r="FI24" s="746"/>
      <c r="FJ24" s="746" t="s">
        <v>1359</v>
      </c>
      <c r="FK24" s="746"/>
      <c r="FL24" s="746"/>
      <c r="FM24" s="746" t="s">
        <v>1361</v>
      </c>
      <c r="FN24" s="746" t="s">
        <v>93</v>
      </c>
      <c r="FO24" s="746"/>
      <c r="FP24" s="746"/>
      <c r="FQ24" s="746" t="s">
        <v>1361</v>
      </c>
      <c r="FR24" s="746" t="s">
        <v>1361</v>
      </c>
      <c r="FS24" s="746"/>
      <c r="FT24" s="746"/>
      <c r="FU24" s="746"/>
      <c r="FV24" s="746" t="s">
        <v>1361</v>
      </c>
      <c r="FW24" s="746"/>
      <c r="FX24" s="746"/>
      <c r="FY24" s="746" t="s">
        <v>1361</v>
      </c>
      <c r="FZ24" s="746"/>
      <c r="GA24" s="746"/>
      <c r="GB24" s="746" t="s">
        <v>1361</v>
      </c>
      <c r="GC24" s="746"/>
      <c r="GD24" s="746"/>
      <c r="GE24" s="746"/>
      <c r="GF24" s="746" t="s">
        <v>1361</v>
      </c>
      <c r="GG24" s="746" t="s">
        <v>1361</v>
      </c>
      <c r="GH24" s="746" t="s">
        <v>1361</v>
      </c>
      <c r="GI24" s="746" t="s">
        <v>1361</v>
      </c>
      <c r="GJ24" s="746"/>
      <c r="GK24" s="746" t="s">
        <v>93</v>
      </c>
      <c r="GL24" s="746" t="s">
        <v>93</v>
      </c>
      <c r="GM24" s="746" t="s">
        <v>93</v>
      </c>
      <c r="GN24" s="746" t="s">
        <v>1361</v>
      </c>
      <c r="GO24" s="746" t="s">
        <v>1361</v>
      </c>
      <c r="GP24" s="746" t="s">
        <v>1361</v>
      </c>
      <c r="GQ24" s="746" t="s">
        <v>1361</v>
      </c>
      <c r="GR24" s="746"/>
      <c r="GS24" s="746"/>
      <c r="GT24" s="746" t="s">
        <v>1361</v>
      </c>
      <c r="GU24" s="746"/>
      <c r="GV24" s="746"/>
      <c r="GW24" s="746" t="s">
        <v>1361</v>
      </c>
      <c r="GX24" s="746" t="s">
        <v>1361</v>
      </c>
      <c r="GY24" s="746" t="s">
        <v>1361</v>
      </c>
      <c r="GZ24" s="746" t="s">
        <v>1361</v>
      </c>
      <c r="HA24" s="746" t="s">
        <v>1361</v>
      </c>
      <c r="HB24" s="746"/>
      <c r="HC24" s="746" t="s">
        <v>1361</v>
      </c>
      <c r="HD24" s="746"/>
      <c r="HE24" s="746" t="s">
        <v>1361</v>
      </c>
      <c r="HF24" s="746"/>
      <c r="HG24" s="746" t="s">
        <v>1361</v>
      </c>
      <c r="HH24" s="768" t="s">
        <v>1361</v>
      </c>
      <c r="HI24" s="746"/>
      <c r="HJ24" s="768" t="s">
        <v>1361</v>
      </c>
      <c r="HK24" s="746" t="s">
        <v>1361</v>
      </c>
      <c r="HL24" s="746"/>
      <c r="HM24" s="768" t="s">
        <v>1361</v>
      </c>
      <c r="HN24" s="746" t="s">
        <v>1361</v>
      </c>
      <c r="HO24" s="746" t="s">
        <v>1361</v>
      </c>
      <c r="HP24" s="746" t="s">
        <v>1361</v>
      </c>
      <c r="HQ24" s="746"/>
      <c r="HR24" s="768" t="s">
        <v>1361</v>
      </c>
      <c r="HS24" s="768" t="s">
        <v>1361</v>
      </c>
      <c r="HT24" s="768" t="s">
        <v>1361</v>
      </c>
      <c r="HU24" s="746"/>
      <c r="HV24" s="746" t="s">
        <v>1361</v>
      </c>
      <c r="HW24" s="746"/>
      <c r="HX24" s="746" t="s">
        <v>1361</v>
      </c>
    </row>
    <row r="25" spans="1:232" s="725" customFormat="1" ht="20" customHeight="1">
      <c r="A25" s="750" t="s">
        <v>69</v>
      </c>
      <c r="B25" s="751"/>
      <c r="C25" s="739" t="str">
        <f>IF(ISTEXT(IFERROR(VLOOKUP(A25,职业列表!I3:J10,1,FALSE),0)),"★","")</f>
        <v/>
      </c>
      <c r="D25" s="751"/>
      <c r="E25" s="751"/>
      <c r="F25" s="751" t="s">
        <v>93</v>
      </c>
      <c r="G25" s="751"/>
      <c r="H25" s="751" t="s">
        <v>93</v>
      </c>
      <c r="I25" s="751"/>
      <c r="J25" s="751"/>
      <c r="K25" s="751"/>
      <c r="L25" s="751"/>
      <c r="M25" s="751"/>
      <c r="N25" s="751"/>
      <c r="O25" s="751"/>
      <c r="P25" s="751" t="s">
        <v>93</v>
      </c>
      <c r="Q25" s="751" t="s">
        <v>93</v>
      </c>
      <c r="R25" s="751"/>
      <c r="S25" s="751" t="s">
        <v>93</v>
      </c>
      <c r="T25" s="751"/>
      <c r="U25" s="751"/>
      <c r="V25" s="771" t="s">
        <v>1360</v>
      </c>
      <c r="W25" s="751" t="s">
        <v>93</v>
      </c>
      <c r="X25" s="751"/>
      <c r="Y25" s="751"/>
      <c r="Z25" s="751"/>
      <c r="AA25" s="751"/>
      <c r="AB25" s="751" t="s">
        <v>1360</v>
      </c>
      <c r="AC25" s="751"/>
      <c r="AD25" s="751" t="s">
        <v>93</v>
      </c>
      <c r="AE25" s="751" t="s">
        <v>93</v>
      </c>
      <c r="AF25" s="751" t="s">
        <v>93</v>
      </c>
      <c r="AG25" s="751"/>
      <c r="AH25" s="751"/>
      <c r="AI25" s="751" t="s">
        <v>1360</v>
      </c>
      <c r="AJ25" s="751" t="s">
        <v>1359</v>
      </c>
      <c r="AK25" s="751"/>
      <c r="AL25" s="751"/>
      <c r="AM25" s="751"/>
      <c r="AN25" s="751" t="s">
        <v>93</v>
      </c>
      <c r="AO25" s="751"/>
      <c r="AP25" s="751" t="s">
        <v>1359</v>
      </c>
      <c r="AQ25" s="751"/>
      <c r="AR25" s="751"/>
      <c r="AS25" s="751"/>
      <c r="AT25" s="751"/>
      <c r="AU25" s="751"/>
      <c r="AV25" s="751"/>
      <c r="AW25" s="751"/>
      <c r="AX25" s="751"/>
      <c r="AY25" s="751"/>
      <c r="AZ25" s="751"/>
      <c r="BA25" s="751"/>
      <c r="BB25" s="751"/>
      <c r="BC25" s="751"/>
      <c r="BD25" s="751"/>
      <c r="BE25" s="751" t="s">
        <v>93</v>
      </c>
      <c r="BF25" s="751"/>
      <c r="BG25" s="751"/>
      <c r="BH25" s="751"/>
      <c r="BI25" s="751"/>
      <c r="BJ25" s="751" t="s">
        <v>93</v>
      </c>
      <c r="BK25" s="751" t="s">
        <v>93</v>
      </c>
      <c r="BL25" s="751"/>
      <c r="BM25" s="751"/>
      <c r="BN25" s="751" t="s">
        <v>93</v>
      </c>
      <c r="BO25" s="751"/>
      <c r="BP25" s="751"/>
      <c r="BQ25" s="751"/>
      <c r="BR25" s="751"/>
      <c r="BS25" s="751" t="s">
        <v>93</v>
      </c>
      <c r="BT25" s="751"/>
      <c r="BU25" s="751"/>
      <c r="BV25" s="751"/>
      <c r="BW25" s="751"/>
      <c r="BX25" s="751"/>
      <c r="BY25" s="751"/>
      <c r="BZ25" s="751"/>
      <c r="CA25" s="751"/>
      <c r="CB25" s="751"/>
      <c r="CC25" s="751"/>
      <c r="CD25" s="751"/>
      <c r="CE25" s="751"/>
      <c r="CF25" s="751"/>
      <c r="CG25" s="751"/>
      <c r="CH25" s="751"/>
      <c r="CI25" s="751"/>
      <c r="CJ25" s="751"/>
      <c r="CK25" s="751"/>
      <c r="CL25" s="751"/>
      <c r="CM25" s="751"/>
      <c r="CN25" s="771" t="s">
        <v>93</v>
      </c>
      <c r="CO25" s="751"/>
      <c r="CP25" s="751"/>
      <c r="CQ25" s="751"/>
      <c r="CR25" s="751"/>
      <c r="CS25" s="751"/>
      <c r="CT25" s="751"/>
      <c r="CU25" s="751"/>
      <c r="CV25" s="751" t="s">
        <v>93</v>
      </c>
      <c r="CW25" s="751"/>
      <c r="CX25" s="751"/>
      <c r="CY25" s="751"/>
      <c r="CZ25" s="751"/>
      <c r="DA25" s="751"/>
      <c r="DB25" s="751" t="s">
        <v>93</v>
      </c>
      <c r="DC25" s="751"/>
      <c r="DD25" s="751"/>
      <c r="DE25" s="751" t="s">
        <v>93</v>
      </c>
      <c r="DF25" s="751" t="s">
        <v>1359</v>
      </c>
      <c r="DG25" s="751"/>
      <c r="DH25" s="751" t="s">
        <v>93</v>
      </c>
      <c r="DI25" s="751"/>
      <c r="DJ25" s="751"/>
      <c r="DK25" s="751"/>
      <c r="DL25" s="751"/>
      <c r="DM25" s="751"/>
      <c r="DN25" s="751"/>
      <c r="DO25" s="751" t="s">
        <v>93</v>
      </c>
      <c r="DP25" s="751" t="s">
        <v>93</v>
      </c>
      <c r="DQ25" s="751" t="s">
        <v>93</v>
      </c>
      <c r="DR25" s="751" t="s">
        <v>93</v>
      </c>
      <c r="DS25" s="751"/>
      <c r="DT25" s="751"/>
      <c r="DU25" s="751"/>
      <c r="DV25" s="751"/>
      <c r="DW25" s="751"/>
      <c r="DX25" s="751"/>
      <c r="DY25" s="751" t="s">
        <v>93</v>
      </c>
      <c r="DZ25" s="751"/>
      <c r="EA25" s="751"/>
      <c r="EB25" s="751"/>
      <c r="EC25" s="751"/>
      <c r="ED25" s="751"/>
      <c r="EE25" s="751"/>
      <c r="EF25" s="751"/>
      <c r="EG25" s="751"/>
      <c r="EH25" s="751"/>
      <c r="EI25" s="751"/>
      <c r="EJ25" s="751"/>
      <c r="EK25" s="751"/>
      <c r="EL25" s="751"/>
      <c r="EM25" s="751" t="s">
        <v>93</v>
      </c>
      <c r="EN25" s="751"/>
      <c r="EO25" s="751"/>
      <c r="EP25" s="751"/>
      <c r="EQ25" s="751"/>
      <c r="ER25" s="751"/>
      <c r="ES25" s="751"/>
      <c r="ET25" s="751"/>
      <c r="EU25" s="751"/>
      <c r="EV25" s="751"/>
      <c r="EW25" s="751"/>
      <c r="EX25" s="751"/>
      <c r="EY25" s="751"/>
      <c r="EZ25" s="751"/>
      <c r="FA25" s="751"/>
      <c r="FB25" s="751"/>
      <c r="FC25" s="751" t="s">
        <v>93</v>
      </c>
      <c r="FD25" s="751" t="s">
        <v>93</v>
      </c>
      <c r="FE25" s="751"/>
      <c r="FF25" s="751"/>
      <c r="FG25" s="751"/>
      <c r="FH25" s="751" t="s">
        <v>93</v>
      </c>
      <c r="FI25" s="751" t="s">
        <v>93</v>
      </c>
      <c r="FJ25" s="751"/>
      <c r="FK25" s="751"/>
      <c r="FL25" s="751"/>
      <c r="FM25" s="751"/>
      <c r="FN25" s="751"/>
      <c r="FO25" s="751" t="s">
        <v>93</v>
      </c>
      <c r="FP25" s="751"/>
      <c r="FQ25" s="751"/>
      <c r="FR25" s="751"/>
      <c r="FS25" s="751"/>
      <c r="FT25" s="751"/>
      <c r="FU25" s="751"/>
      <c r="FV25" s="751"/>
      <c r="FW25" s="751"/>
      <c r="FX25" s="751"/>
      <c r="FY25" s="751"/>
      <c r="FZ25" s="751"/>
      <c r="GA25" s="751" t="s">
        <v>93</v>
      </c>
      <c r="GB25" s="751"/>
      <c r="GC25" s="751" t="s">
        <v>93</v>
      </c>
      <c r="GD25" s="751" t="s">
        <v>93</v>
      </c>
      <c r="GE25" s="751"/>
      <c r="GF25" s="751"/>
      <c r="GG25" s="751"/>
      <c r="GH25" s="751"/>
      <c r="GI25" s="751"/>
      <c r="GJ25" s="751"/>
      <c r="GK25" s="751"/>
      <c r="GL25" s="751"/>
      <c r="GM25" s="751"/>
      <c r="GN25" s="751"/>
      <c r="GO25" s="751"/>
      <c r="GP25" s="751"/>
      <c r="GQ25" s="751"/>
      <c r="GR25" s="751"/>
      <c r="GS25" s="751" t="s">
        <v>93</v>
      </c>
      <c r="GT25" s="751"/>
      <c r="GU25" s="751" t="s">
        <v>93</v>
      </c>
      <c r="GV25" s="751"/>
      <c r="GW25" s="751" t="s">
        <v>93</v>
      </c>
      <c r="GX25" s="751"/>
      <c r="GY25" s="751"/>
      <c r="GZ25" s="751"/>
      <c r="HA25" s="751"/>
      <c r="HB25" s="751"/>
      <c r="HC25" s="751"/>
      <c r="HD25" s="771" t="s">
        <v>1390</v>
      </c>
      <c r="HE25" s="751"/>
      <c r="HF25" s="751"/>
      <c r="HG25" s="751"/>
      <c r="HH25" s="751"/>
      <c r="HI25" s="751"/>
      <c r="HJ25" s="751"/>
      <c r="HK25" s="751"/>
      <c r="HL25" s="751" t="s">
        <v>93</v>
      </c>
      <c r="HM25" s="751"/>
      <c r="HN25" s="751"/>
      <c r="HO25" s="771" t="s">
        <v>1362</v>
      </c>
      <c r="HP25" s="751"/>
      <c r="HQ25" s="751"/>
      <c r="HR25" s="771" t="s">
        <v>93</v>
      </c>
      <c r="HS25" s="751"/>
      <c r="HT25" s="751"/>
      <c r="HU25" s="751"/>
      <c r="HV25" s="751"/>
      <c r="HW25" s="751"/>
      <c r="HX25" s="751" t="s">
        <v>93</v>
      </c>
    </row>
    <row r="26" spans="1:232" s="375" customFormat="1" ht="20" customHeight="1">
      <c r="A26" s="743" t="s">
        <v>121</v>
      </c>
      <c r="B26" s="739"/>
      <c r="C26" s="739" t="str">
        <f>IF(ISTEXT(IFERROR(VLOOKUP(A26,职业列表!I3:J10,1,FALSE),0)),"★","")</f>
        <v/>
      </c>
      <c r="D26" s="739"/>
      <c r="E26" s="739"/>
      <c r="F26" s="739" t="s">
        <v>93</v>
      </c>
      <c r="G26" s="739"/>
      <c r="H26" s="739"/>
      <c r="I26" s="739"/>
      <c r="J26" s="739"/>
      <c r="K26" s="739"/>
      <c r="L26" s="739"/>
      <c r="M26" s="739"/>
      <c r="N26" s="739"/>
      <c r="O26" s="739"/>
      <c r="P26" s="739"/>
      <c r="Q26" s="739"/>
      <c r="R26" s="739"/>
      <c r="S26" s="739"/>
      <c r="T26" s="739"/>
      <c r="U26" s="739"/>
      <c r="V26" s="739" t="s">
        <v>1360</v>
      </c>
      <c r="W26" s="739"/>
      <c r="X26" s="739"/>
      <c r="Y26" s="739"/>
      <c r="Z26" s="739"/>
      <c r="AA26" s="739"/>
      <c r="AB26" s="739" t="s">
        <v>1360</v>
      </c>
      <c r="AC26" s="739"/>
      <c r="AD26" s="739" t="s">
        <v>93</v>
      </c>
      <c r="AE26" s="739" t="s">
        <v>93</v>
      </c>
      <c r="AF26" s="739" t="s">
        <v>93</v>
      </c>
      <c r="AG26" s="739"/>
      <c r="AH26" s="739"/>
      <c r="AI26" s="739" t="s">
        <v>1360</v>
      </c>
      <c r="AJ26" s="739"/>
      <c r="AK26" s="739"/>
      <c r="AL26" s="739"/>
      <c r="AM26" s="739"/>
      <c r="AN26" s="739" t="s">
        <v>93</v>
      </c>
      <c r="AO26" s="739"/>
      <c r="AP26" s="739"/>
      <c r="AQ26" s="739"/>
      <c r="AR26" s="739"/>
      <c r="AS26" s="739"/>
      <c r="AT26" s="739"/>
      <c r="AU26" s="739"/>
      <c r="AV26" s="739"/>
      <c r="AW26" s="739"/>
      <c r="AX26" s="739"/>
      <c r="AY26" s="739"/>
      <c r="AZ26" s="739"/>
      <c r="BA26" s="739"/>
      <c r="BB26" s="739"/>
      <c r="BC26" s="739"/>
      <c r="BD26" s="739"/>
      <c r="BE26" s="739"/>
      <c r="BF26" s="739"/>
      <c r="BG26" s="739"/>
      <c r="BH26" s="739"/>
      <c r="BI26" s="739"/>
      <c r="BJ26" s="739" t="s">
        <v>93</v>
      </c>
      <c r="BK26" s="739" t="s">
        <v>93</v>
      </c>
      <c r="BL26" s="739"/>
      <c r="BM26" s="739"/>
      <c r="BN26" s="739"/>
      <c r="BO26" s="739"/>
      <c r="BP26" s="739"/>
      <c r="BQ26" s="739"/>
      <c r="BR26" s="739"/>
      <c r="BS26" s="739" t="s">
        <v>93</v>
      </c>
      <c r="BT26" s="740" t="s">
        <v>1391</v>
      </c>
      <c r="BU26" s="739"/>
      <c r="BV26" s="739"/>
      <c r="BW26" s="739"/>
      <c r="BX26" s="739"/>
      <c r="BY26" s="739"/>
      <c r="BZ26" s="739"/>
      <c r="CA26" s="739"/>
      <c r="CB26" s="739"/>
      <c r="CC26" s="739"/>
      <c r="CD26" s="739"/>
      <c r="CE26" s="739"/>
      <c r="CF26" s="739"/>
      <c r="CG26" s="739"/>
      <c r="CH26" s="739"/>
      <c r="CI26" s="739"/>
      <c r="CJ26" s="739"/>
      <c r="CK26" s="739"/>
      <c r="CL26" s="739"/>
      <c r="CM26" s="739"/>
      <c r="CN26" s="739"/>
      <c r="CO26" s="739"/>
      <c r="CP26" s="739"/>
      <c r="CQ26" s="739"/>
      <c r="CR26" s="739"/>
      <c r="CS26" s="739"/>
      <c r="CT26" s="739"/>
      <c r="CU26" s="739"/>
      <c r="CV26" s="739" t="s">
        <v>93</v>
      </c>
      <c r="CW26" s="739"/>
      <c r="CX26" s="739"/>
      <c r="CY26" s="739"/>
      <c r="CZ26" s="739"/>
      <c r="DA26" s="739"/>
      <c r="DB26" s="739" t="s">
        <v>93</v>
      </c>
      <c r="DC26" s="739"/>
      <c r="DD26" s="739"/>
      <c r="DE26" s="739" t="s">
        <v>93</v>
      </c>
      <c r="DF26" s="739" t="s">
        <v>1359</v>
      </c>
      <c r="DG26" s="739"/>
      <c r="DH26" s="739"/>
      <c r="DI26" s="739"/>
      <c r="DJ26" s="739"/>
      <c r="DK26" s="739"/>
      <c r="DL26" s="739"/>
      <c r="DM26" s="739"/>
      <c r="DN26" s="739"/>
      <c r="DO26" s="739"/>
      <c r="DP26" s="739"/>
      <c r="DQ26" s="739"/>
      <c r="DR26" s="739"/>
      <c r="DS26" s="739"/>
      <c r="DT26" s="739"/>
      <c r="DU26" s="739"/>
      <c r="DV26" s="739"/>
      <c r="DW26" s="739"/>
      <c r="DX26" s="739"/>
      <c r="DY26" s="739"/>
      <c r="DZ26" s="739"/>
      <c r="EA26" s="739"/>
      <c r="EB26" s="739"/>
      <c r="EC26" s="739"/>
      <c r="ED26" s="739"/>
      <c r="EE26" s="739"/>
      <c r="EF26" s="739"/>
      <c r="EG26" s="739"/>
      <c r="EH26" s="739"/>
      <c r="EI26" s="739"/>
      <c r="EJ26" s="739"/>
      <c r="EK26" s="739"/>
      <c r="EL26" s="739"/>
      <c r="EM26" s="739"/>
      <c r="EN26" s="739"/>
      <c r="EO26" s="739"/>
      <c r="EP26" s="739"/>
      <c r="EQ26" s="739"/>
      <c r="ER26" s="739"/>
      <c r="ES26" s="739"/>
      <c r="ET26" s="739"/>
      <c r="EU26" s="739"/>
      <c r="EV26" s="739"/>
      <c r="EW26" s="739"/>
      <c r="EX26" s="739"/>
      <c r="EY26" s="739"/>
      <c r="EZ26" s="739"/>
      <c r="FA26" s="739"/>
      <c r="FB26" s="739"/>
      <c r="FC26" s="739" t="s">
        <v>1390</v>
      </c>
      <c r="FD26" s="739"/>
      <c r="FE26" s="739"/>
      <c r="FF26" s="739"/>
      <c r="FG26" s="739"/>
      <c r="FH26" s="739"/>
      <c r="FI26" s="739"/>
      <c r="FJ26" s="739"/>
      <c r="FK26" s="739"/>
      <c r="FL26" s="739"/>
      <c r="FM26" s="739"/>
      <c r="FN26" s="739"/>
      <c r="FO26" s="739"/>
      <c r="FP26" s="739"/>
      <c r="FQ26" s="739"/>
      <c r="FR26" s="739" t="s">
        <v>1392</v>
      </c>
      <c r="FS26" s="739"/>
      <c r="FT26" s="739"/>
      <c r="FU26" s="739"/>
      <c r="FV26" s="739"/>
      <c r="FW26" s="739"/>
      <c r="FX26" s="739"/>
      <c r="FY26" s="739"/>
      <c r="FZ26" s="739"/>
      <c r="GA26" s="739" t="s">
        <v>93</v>
      </c>
      <c r="GB26" s="739"/>
      <c r="GC26" s="739" t="s">
        <v>93</v>
      </c>
      <c r="GD26" s="739" t="s">
        <v>93</v>
      </c>
      <c r="GE26" s="739"/>
      <c r="GF26" s="739"/>
      <c r="GG26" s="739"/>
      <c r="GH26" s="739"/>
      <c r="GI26" s="739"/>
      <c r="GJ26" s="739"/>
      <c r="GK26" s="739"/>
      <c r="GL26" s="739"/>
      <c r="GM26" s="739"/>
      <c r="GN26" s="739"/>
      <c r="GO26" s="739"/>
      <c r="GP26" s="739"/>
      <c r="GQ26" s="739"/>
      <c r="GR26" s="739"/>
      <c r="GS26" s="739"/>
      <c r="GT26" s="739"/>
      <c r="GU26" s="739" t="s">
        <v>93</v>
      </c>
      <c r="GV26" s="739"/>
      <c r="GW26" s="739"/>
      <c r="GX26" s="739"/>
      <c r="GY26" s="739"/>
      <c r="GZ26" s="739"/>
      <c r="HA26" s="739"/>
      <c r="HB26" s="739"/>
      <c r="HC26" s="739"/>
      <c r="HD26" s="739"/>
      <c r="HE26" s="739"/>
      <c r="HF26" s="739"/>
      <c r="HG26" s="739"/>
      <c r="HH26" s="739" t="s">
        <v>93</v>
      </c>
      <c r="HI26" s="739"/>
      <c r="HJ26" s="739"/>
      <c r="HK26" s="740" t="s">
        <v>1393</v>
      </c>
      <c r="HL26" s="739"/>
      <c r="HM26" s="739"/>
      <c r="HN26" s="739"/>
      <c r="HO26" s="739"/>
      <c r="HP26" s="739"/>
      <c r="HQ26" s="739"/>
      <c r="HR26" s="739"/>
      <c r="HS26" s="739"/>
      <c r="HT26" s="739"/>
      <c r="HU26" s="739"/>
      <c r="HV26" s="739"/>
      <c r="HW26" s="739"/>
      <c r="HX26" s="739"/>
    </row>
    <row r="27" spans="1:232" s="375" customFormat="1" ht="20" customHeight="1">
      <c r="A27" s="743" t="s">
        <v>125</v>
      </c>
      <c r="B27" s="739"/>
      <c r="C27" s="739" t="str">
        <f>IF(ISTEXT(IFERROR(VLOOKUP(A27,职业列表!I3:P12,1,FALSE),0)),"★","")</f>
        <v/>
      </c>
      <c r="D27" s="739"/>
      <c r="E27" s="739"/>
      <c r="F27" s="739" t="s">
        <v>93</v>
      </c>
      <c r="G27" s="739"/>
      <c r="H27" s="739"/>
      <c r="I27" s="739"/>
      <c r="J27" s="739"/>
      <c r="K27" s="739"/>
      <c r="L27" s="739"/>
      <c r="M27" s="739"/>
      <c r="N27" s="739"/>
      <c r="O27" s="739"/>
      <c r="P27" s="739"/>
      <c r="Q27" s="739"/>
      <c r="R27" s="739"/>
      <c r="S27" s="739"/>
      <c r="T27" s="739"/>
      <c r="U27" s="739"/>
      <c r="V27" s="739" t="s">
        <v>1360</v>
      </c>
      <c r="W27" s="739"/>
      <c r="X27" s="739"/>
      <c r="Y27" s="739"/>
      <c r="Z27" s="739"/>
      <c r="AA27" s="739"/>
      <c r="AB27" s="739" t="s">
        <v>1360</v>
      </c>
      <c r="AC27" s="739"/>
      <c r="AD27" s="739" t="s">
        <v>93</v>
      </c>
      <c r="AE27" s="739" t="s">
        <v>93</v>
      </c>
      <c r="AF27" s="739" t="s">
        <v>93</v>
      </c>
      <c r="AG27" s="739"/>
      <c r="AH27" s="739"/>
      <c r="AI27" s="739" t="s">
        <v>1360</v>
      </c>
      <c r="AJ27" s="739"/>
      <c r="AK27" s="739"/>
      <c r="AL27" s="739"/>
      <c r="AM27" s="739"/>
      <c r="AN27" s="739" t="s">
        <v>93</v>
      </c>
      <c r="AO27" s="739"/>
      <c r="AP27" s="739"/>
      <c r="AQ27" s="739"/>
      <c r="AR27" s="739"/>
      <c r="AS27" s="739"/>
      <c r="AT27" s="739"/>
      <c r="AU27" s="739"/>
      <c r="AV27" s="739"/>
      <c r="AW27" s="739"/>
      <c r="AX27" s="739"/>
      <c r="AY27" s="739"/>
      <c r="AZ27" s="739"/>
      <c r="BA27" s="739"/>
      <c r="BB27" s="739"/>
      <c r="BC27" s="739"/>
      <c r="BD27" s="739"/>
      <c r="BE27" s="739"/>
      <c r="BF27" s="739"/>
      <c r="BG27" s="739"/>
      <c r="BH27" s="739"/>
      <c r="BI27" s="739"/>
      <c r="BJ27" s="739" t="s">
        <v>93</v>
      </c>
      <c r="BK27" s="739" t="s">
        <v>93</v>
      </c>
      <c r="BL27" s="739"/>
      <c r="BM27" s="739"/>
      <c r="BN27" s="739"/>
      <c r="BO27" s="739"/>
      <c r="BP27" s="739"/>
      <c r="BQ27" s="739"/>
      <c r="BR27" s="739"/>
      <c r="BS27" s="739" t="s">
        <v>93</v>
      </c>
      <c r="BT27" s="740"/>
      <c r="BU27" s="739"/>
      <c r="BV27" s="739"/>
      <c r="BW27" s="739"/>
      <c r="BX27" s="739"/>
      <c r="BY27" s="739"/>
      <c r="BZ27" s="739"/>
      <c r="CA27" s="739"/>
      <c r="CB27" s="739"/>
      <c r="CC27" s="739"/>
      <c r="CD27" s="739"/>
      <c r="CE27" s="739"/>
      <c r="CF27" s="739"/>
      <c r="CG27" s="739"/>
      <c r="CH27" s="739"/>
      <c r="CI27" s="739"/>
      <c r="CJ27" s="739"/>
      <c r="CK27" s="739"/>
      <c r="CL27" s="739"/>
      <c r="CM27" s="739"/>
      <c r="CN27" s="739"/>
      <c r="CO27" s="739"/>
      <c r="CP27" s="739"/>
      <c r="CQ27" s="739"/>
      <c r="CR27" s="739"/>
      <c r="CS27" s="739"/>
      <c r="CT27" s="739"/>
      <c r="CU27" s="739"/>
      <c r="CV27" s="739" t="s">
        <v>93</v>
      </c>
      <c r="CW27" s="739"/>
      <c r="CX27" s="739"/>
      <c r="CY27" s="739"/>
      <c r="CZ27" s="739"/>
      <c r="DA27" s="739"/>
      <c r="DB27" s="739" t="s">
        <v>93</v>
      </c>
      <c r="DC27" s="739"/>
      <c r="DD27" s="739"/>
      <c r="DE27" s="739" t="s">
        <v>93</v>
      </c>
      <c r="DF27" s="739" t="s">
        <v>1359</v>
      </c>
      <c r="DG27" s="739"/>
      <c r="DH27" s="739"/>
      <c r="DI27" s="739"/>
      <c r="DJ27" s="739"/>
      <c r="DK27" s="739"/>
      <c r="DL27" s="739"/>
      <c r="DM27" s="739"/>
      <c r="DN27" s="739"/>
      <c r="DO27" s="739"/>
      <c r="DP27" s="739"/>
      <c r="DQ27" s="739"/>
      <c r="DR27" s="739"/>
      <c r="DS27" s="739"/>
      <c r="DT27" s="739"/>
      <c r="DU27" s="739"/>
      <c r="DV27" s="739"/>
      <c r="DW27" s="739"/>
      <c r="DX27" s="739"/>
      <c r="DY27" s="739"/>
      <c r="DZ27" s="739"/>
      <c r="EA27" s="739"/>
      <c r="EB27" s="739"/>
      <c r="EC27" s="739"/>
      <c r="ED27" s="739"/>
      <c r="EE27" s="739"/>
      <c r="EF27" s="739"/>
      <c r="EG27" s="739"/>
      <c r="EH27" s="739"/>
      <c r="EI27" s="739"/>
      <c r="EJ27" s="739"/>
      <c r="EK27" s="739"/>
      <c r="EL27" s="739"/>
      <c r="EM27" s="739"/>
      <c r="EN27" s="739"/>
      <c r="EO27" s="739"/>
      <c r="EP27" s="739"/>
      <c r="EQ27" s="739"/>
      <c r="ER27" s="739"/>
      <c r="ES27" s="739"/>
      <c r="ET27" s="739"/>
      <c r="EU27" s="739"/>
      <c r="EV27" s="739"/>
      <c r="EW27" s="739"/>
      <c r="EX27" s="739"/>
      <c r="EY27" s="739"/>
      <c r="EZ27" s="739"/>
      <c r="FA27" s="739"/>
      <c r="FB27" s="739"/>
      <c r="FC27" s="739"/>
      <c r="FD27" s="739"/>
      <c r="FE27" s="739"/>
      <c r="FF27" s="739"/>
      <c r="FG27" s="739"/>
      <c r="FH27" s="739"/>
      <c r="FI27" s="739"/>
      <c r="FJ27" s="739"/>
      <c r="FK27" s="739"/>
      <c r="FL27" s="739"/>
      <c r="FM27" s="739"/>
      <c r="FN27" s="739"/>
      <c r="FO27" s="739"/>
      <c r="FP27" s="739"/>
      <c r="FQ27" s="739"/>
      <c r="FR27" s="739"/>
      <c r="FS27" s="739"/>
      <c r="FT27" s="739"/>
      <c r="FU27" s="739"/>
      <c r="FV27" s="739"/>
      <c r="FW27" s="739"/>
      <c r="FX27" s="739"/>
      <c r="FY27" s="739"/>
      <c r="FZ27" s="739"/>
      <c r="GA27" s="739" t="s">
        <v>93</v>
      </c>
      <c r="GB27" s="739"/>
      <c r="GC27" s="739" t="s">
        <v>93</v>
      </c>
      <c r="GD27" s="739" t="s">
        <v>93</v>
      </c>
      <c r="GE27" s="739"/>
      <c r="GF27" s="739"/>
      <c r="GG27" s="739"/>
      <c r="GH27" s="739"/>
      <c r="GI27" s="739"/>
      <c r="GJ27" s="739"/>
      <c r="GK27" s="739"/>
      <c r="GL27" s="739"/>
      <c r="GM27" s="739"/>
      <c r="GN27" s="739"/>
      <c r="GO27" s="739"/>
      <c r="GP27" s="739"/>
      <c r="GQ27" s="739"/>
      <c r="GR27" s="739"/>
      <c r="GS27" s="739"/>
      <c r="GT27" s="739"/>
      <c r="GU27" s="739" t="s">
        <v>93</v>
      </c>
      <c r="GV27" s="739"/>
      <c r="GW27" s="739"/>
      <c r="GX27" s="739"/>
      <c r="GY27" s="739"/>
      <c r="GZ27" s="739"/>
      <c r="HA27" s="739"/>
      <c r="HB27" s="739"/>
      <c r="HC27" s="739"/>
      <c r="HD27" s="739"/>
      <c r="HE27" s="739"/>
      <c r="HF27" s="739"/>
      <c r="HG27" s="739"/>
      <c r="HH27" s="739" t="s">
        <v>93</v>
      </c>
      <c r="HI27" s="739"/>
      <c r="HJ27" s="739"/>
      <c r="HK27" s="740"/>
      <c r="HL27" s="739"/>
      <c r="HM27" s="739"/>
      <c r="HN27" s="739"/>
      <c r="HO27" s="739"/>
      <c r="HP27" s="739"/>
      <c r="HQ27" s="739"/>
      <c r="HR27" s="739"/>
      <c r="HS27" s="739"/>
      <c r="HT27" s="739"/>
      <c r="HU27" s="739"/>
      <c r="HV27" s="739"/>
      <c r="HW27" s="739"/>
      <c r="HX27" s="739"/>
    </row>
    <row r="28" spans="1:232" s="375" customFormat="1" ht="20" customHeight="1">
      <c r="A28" s="747" t="s">
        <v>130</v>
      </c>
      <c r="B28" s="739"/>
      <c r="C28" s="739" t="str">
        <f>IF(ISTEXT(IFERROR(VLOOKUP(A28,职业列表!I3:J10,1,FALSE),0)),"★","")</f>
        <v/>
      </c>
      <c r="D28" s="739"/>
      <c r="E28" s="739"/>
      <c r="F28" s="739" t="s">
        <v>93</v>
      </c>
      <c r="G28" s="739"/>
      <c r="H28" s="739"/>
      <c r="I28" s="739"/>
      <c r="J28" s="739"/>
      <c r="K28" s="739"/>
      <c r="L28" s="739"/>
      <c r="M28" s="739"/>
      <c r="N28" s="739"/>
      <c r="O28" s="739"/>
      <c r="P28" s="739"/>
      <c r="Q28" s="739"/>
      <c r="R28" s="739"/>
      <c r="S28" s="739"/>
      <c r="T28" s="739"/>
      <c r="U28" s="739"/>
      <c r="V28" s="739" t="s">
        <v>1360</v>
      </c>
      <c r="W28" s="739"/>
      <c r="X28" s="739"/>
      <c r="Y28" s="739"/>
      <c r="Z28" s="739"/>
      <c r="AA28" s="739"/>
      <c r="AB28" s="739" t="s">
        <v>1360</v>
      </c>
      <c r="AC28" s="739"/>
      <c r="AD28" s="739" t="s">
        <v>93</v>
      </c>
      <c r="AE28" s="739" t="s">
        <v>93</v>
      </c>
      <c r="AF28" s="739" t="s">
        <v>93</v>
      </c>
      <c r="AG28" s="739"/>
      <c r="AH28" s="739"/>
      <c r="AI28" s="739" t="s">
        <v>1360</v>
      </c>
      <c r="AJ28" s="739"/>
      <c r="AK28" s="739"/>
      <c r="AL28" s="739"/>
      <c r="AM28" s="739"/>
      <c r="AN28" s="739" t="s">
        <v>93</v>
      </c>
      <c r="AO28" s="739"/>
      <c r="AP28" s="739"/>
      <c r="AQ28" s="739"/>
      <c r="AR28" s="739"/>
      <c r="AS28" s="739"/>
      <c r="AT28" s="739"/>
      <c r="AU28" s="739"/>
      <c r="AV28" s="739"/>
      <c r="AW28" s="739"/>
      <c r="AX28" s="739"/>
      <c r="AY28" s="739"/>
      <c r="AZ28" s="739"/>
      <c r="BA28" s="739"/>
      <c r="BB28" s="739"/>
      <c r="BC28" s="739"/>
      <c r="BD28" s="739"/>
      <c r="BE28" s="739"/>
      <c r="BF28" s="739"/>
      <c r="BG28" s="739"/>
      <c r="BH28" s="739"/>
      <c r="BI28" s="739"/>
      <c r="BJ28" s="739" t="s">
        <v>93</v>
      </c>
      <c r="BK28" s="739" t="s">
        <v>93</v>
      </c>
      <c r="BL28" s="739"/>
      <c r="BM28" s="739"/>
      <c r="BN28" s="739"/>
      <c r="BO28" s="739"/>
      <c r="BP28" s="739"/>
      <c r="BQ28" s="739"/>
      <c r="BR28" s="739"/>
      <c r="BS28" s="739" t="s">
        <v>93</v>
      </c>
      <c r="BT28" s="740"/>
      <c r="BU28" s="739"/>
      <c r="BV28" s="739"/>
      <c r="BW28" s="739"/>
      <c r="BX28" s="739"/>
      <c r="BY28" s="739"/>
      <c r="BZ28" s="739"/>
      <c r="CA28" s="739"/>
      <c r="CB28" s="739"/>
      <c r="CC28" s="739"/>
      <c r="CD28" s="739"/>
      <c r="CE28" s="739"/>
      <c r="CF28" s="739"/>
      <c r="CG28" s="739"/>
      <c r="CH28" s="739"/>
      <c r="CI28" s="739"/>
      <c r="CJ28" s="739"/>
      <c r="CK28" s="739"/>
      <c r="CL28" s="739"/>
      <c r="CM28" s="739"/>
      <c r="CN28" s="739"/>
      <c r="CO28" s="739"/>
      <c r="CP28" s="739"/>
      <c r="CQ28" s="739"/>
      <c r="CR28" s="739"/>
      <c r="CS28" s="739"/>
      <c r="CT28" s="739"/>
      <c r="CU28" s="739"/>
      <c r="CV28" s="739" t="s">
        <v>93</v>
      </c>
      <c r="CW28" s="739"/>
      <c r="CX28" s="739"/>
      <c r="CY28" s="739"/>
      <c r="CZ28" s="739"/>
      <c r="DA28" s="739"/>
      <c r="DB28" s="739" t="s">
        <v>93</v>
      </c>
      <c r="DC28" s="739"/>
      <c r="DD28" s="739"/>
      <c r="DE28" s="739" t="s">
        <v>93</v>
      </c>
      <c r="DF28" s="739" t="s">
        <v>1359</v>
      </c>
      <c r="DG28" s="739"/>
      <c r="DH28" s="739"/>
      <c r="DI28" s="739"/>
      <c r="DJ28" s="739"/>
      <c r="DK28" s="739"/>
      <c r="DL28" s="739"/>
      <c r="DM28" s="739"/>
      <c r="DN28" s="739"/>
      <c r="DO28" s="739"/>
      <c r="DP28" s="739"/>
      <c r="DQ28" s="739"/>
      <c r="DR28" s="739"/>
      <c r="DS28" s="739"/>
      <c r="DT28" s="739"/>
      <c r="DU28" s="739"/>
      <c r="DV28" s="739"/>
      <c r="DW28" s="739"/>
      <c r="DX28" s="739"/>
      <c r="DY28" s="739"/>
      <c r="DZ28" s="739"/>
      <c r="EA28" s="739"/>
      <c r="EB28" s="739"/>
      <c r="EC28" s="739"/>
      <c r="ED28" s="739"/>
      <c r="EE28" s="739"/>
      <c r="EF28" s="739"/>
      <c r="EG28" s="739"/>
      <c r="EH28" s="739"/>
      <c r="EI28" s="739"/>
      <c r="EJ28" s="739"/>
      <c r="EK28" s="739"/>
      <c r="EL28" s="739"/>
      <c r="EM28" s="739"/>
      <c r="EN28" s="739"/>
      <c r="EO28" s="739"/>
      <c r="EP28" s="739"/>
      <c r="EQ28" s="739"/>
      <c r="ER28" s="739"/>
      <c r="ES28" s="739"/>
      <c r="ET28" s="739"/>
      <c r="EU28" s="739"/>
      <c r="EV28" s="739"/>
      <c r="EW28" s="739"/>
      <c r="EX28" s="739"/>
      <c r="EY28" s="739"/>
      <c r="EZ28" s="739"/>
      <c r="FA28" s="739"/>
      <c r="FB28" s="739"/>
      <c r="FC28" s="739"/>
      <c r="FD28" s="739"/>
      <c r="FE28" s="739"/>
      <c r="FF28" s="739"/>
      <c r="FG28" s="739"/>
      <c r="FH28" s="739"/>
      <c r="FI28" s="739"/>
      <c r="FJ28" s="739"/>
      <c r="FK28" s="739"/>
      <c r="FL28" s="739"/>
      <c r="FM28" s="739"/>
      <c r="FN28" s="739"/>
      <c r="FO28" s="739"/>
      <c r="FP28" s="739"/>
      <c r="FQ28" s="739"/>
      <c r="FR28" s="739"/>
      <c r="FS28" s="739"/>
      <c r="FT28" s="739"/>
      <c r="FU28" s="739"/>
      <c r="FV28" s="739"/>
      <c r="FW28" s="739"/>
      <c r="FX28" s="739"/>
      <c r="FY28" s="739"/>
      <c r="FZ28" s="739"/>
      <c r="GA28" s="739" t="s">
        <v>93</v>
      </c>
      <c r="GB28" s="739"/>
      <c r="GC28" s="739" t="s">
        <v>93</v>
      </c>
      <c r="GD28" s="739" t="s">
        <v>93</v>
      </c>
      <c r="GE28" s="739"/>
      <c r="GF28" s="739"/>
      <c r="GG28" s="739"/>
      <c r="GH28" s="739"/>
      <c r="GI28" s="739"/>
      <c r="GJ28" s="739"/>
      <c r="GK28" s="739"/>
      <c r="GL28" s="739"/>
      <c r="GM28" s="739"/>
      <c r="GN28" s="739"/>
      <c r="GO28" s="739"/>
      <c r="GP28" s="739"/>
      <c r="GQ28" s="739"/>
      <c r="GR28" s="739"/>
      <c r="GS28" s="739"/>
      <c r="GT28" s="739"/>
      <c r="GU28" s="739" t="s">
        <v>93</v>
      </c>
      <c r="GV28" s="739"/>
      <c r="GW28" s="739"/>
      <c r="GX28" s="739"/>
      <c r="GY28" s="739"/>
      <c r="GZ28" s="739"/>
      <c r="HA28" s="739"/>
      <c r="HB28" s="739"/>
      <c r="HC28" s="739"/>
      <c r="HD28" s="739"/>
      <c r="HE28" s="739"/>
      <c r="HF28" s="739"/>
      <c r="HG28" s="739"/>
      <c r="HH28" s="739" t="s">
        <v>93</v>
      </c>
      <c r="HI28" s="739"/>
      <c r="HJ28" s="739"/>
      <c r="HK28" s="740"/>
      <c r="HL28" s="739"/>
      <c r="HM28" s="739"/>
      <c r="HN28" s="739"/>
      <c r="HO28" s="739"/>
      <c r="HP28" s="739"/>
      <c r="HQ28" s="739"/>
      <c r="HR28" s="739"/>
      <c r="HS28" s="739"/>
      <c r="HT28" s="739"/>
      <c r="HU28" s="739"/>
      <c r="HV28" s="739"/>
      <c r="HW28" s="739"/>
      <c r="HX28" s="739"/>
    </row>
    <row r="29" spans="1:232" s="726" customFormat="1" ht="20" customHeight="1">
      <c r="A29" s="752" t="s">
        <v>132</v>
      </c>
      <c r="B29" s="753"/>
      <c r="C29" s="739" t="str">
        <f>IF(ISTEXT(IFERROR(VLOOKUP(A29,职业列表!I3:J10,1,FALSE),0)),"★","")</f>
        <v/>
      </c>
      <c r="D29" s="753"/>
      <c r="E29" s="753"/>
      <c r="F29" s="753"/>
      <c r="G29" s="753"/>
      <c r="H29" s="753" t="s">
        <v>93</v>
      </c>
      <c r="I29" s="753"/>
      <c r="J29" s="753"/>
      <c r="K29" s="753"/>
      <c r="L29" s="753"/>
      <c r="M29" s="753"/>
      <c r="N29" s="753"/>
      <c r="O29" s="753"/>
      <c r="P29" s="753"/>
      <c r="Q29" s="753"/>
      <c r="R29" s="753"/>
      <c r="S29" s="753"/>
      <c r="T29" s="753" t="s">
        <v>93</v>
      </c>
      <c r="U29" s="753"/>
      <c r="V29" s="753" t="s">
        <v>1360</v>
      </c>
      <c r="W29" s="753"/>
      <c r="X29" s="753"/>
      <c r="Y29" s="753"/>
      <c r="Z29" s="753"/>
      <c r="AA29" s="753"/>
      <c r="AB29" s="753" t="s">
        <v>1360</v>
      </c>
      <c r="AC29" s="753"/>
      <c r="AD29" s="753" t="s">
        <v>93</v>
      </c>
      <c r="AE29" s="753" t="s">
        <v>93</v>
      </c>
      <c r="AF29" s="753" t="s">
        <v>93</v>
      </c>
      <c r="AG29" s="753"/>
      <c r="AH29" s="753"/>
      <c r="AI29" s="753" t="s">
        <v>1360</v>
      </c>
      <c r="AJ29" s="753" t="s">
        <v>1359</v>
      </c>
      <c r="AK29" s="753"/>
      <c r="AL29" s="753"/>
      <c r="AM29" s="753" t="s">
        <v>93</v>
      </c>
      <c r="AN29" s="753" t="s">
        <v>93</v>
      </c>
      <c r="AO29" s="753"/>
      <c r="AP29" s="753" t="s">
        <v>1359</v>
      </c>
      <c r="AQ29" s="774"/>
      <c r="AR29" s="753" t="s">
        <v>93</v>
      </c>
      <c r="AS29" s="753"/>
      <c r="AT29" s="753"/>
      <c r="AU29" s="753"/>
      <c r="AV29" s="753"/>
      <c r="AW29" s="753"/>
      <c r="AX29" s="753"/>
      <c r="AY29" s="753"/>
      <c r="AZ29" s="753"/>
      <c r="BA29" s="753"/>
      <c r="BB29" s="753"/>
      <c r="BC29" s="753" t="s">
        <v>93</v>
      </c>
      <c r="BD29" s="753"/>
      <c r="BE29" s="753" t="s">
        <v>93</v>
      </c>
      <c r="BF29" s="753"/>
      <c r="BG29" s="753"/>
      <c r="BH29" s="753"/>
      <c r="BI29" s="753"/>
      <c r="BJ29" s="753" t="s">
        <v>93</v>
      </c>
      <c r="BK29" s="753" t="s">
        <v>93</v>
      </c>
      <c r="BL29" s="777"/>
      <c r="BM29" s="753"/>
      <c r="BN29" s="753"/>
      <c r="BO29" s="753"/>
      <c r="BP29" s="753"/>
      <c r="BQ29" s="753"/>
      <c r="BR29" s="753"/>
      <c r="BS29" s="753"/>
      <c r="BT29" s="753"/>
      <c r="BU29" s="753"/>
      <c r="BV29" s="753"/>
      <c r="BW29" s="753"/>
      <c r="BX29" s="753"/>
      <c r="BY29" s="753" t="s">
        <v>93</v>
      </c>
      <c r="BZ29" s="753"/>
      <c r="CA29" s="753"/>
      <c r="CB29" s="753"/>
      <c r="CC29" s="753"/>
      <c r="CD29" s="753"/>
      <c r="CE29" s="753"/>
      <c r="CF29" s="753" t="s">
        <v>93</v>
      </c>
      <c r="CG29" s="753"/>
      <c r="CH29" s="753"/>
      <c r="CI29" s="753"/>
      <c r="CJ29" s="753"/>
      <c r="CK29" s="753"/>
      <c r="CL29" s="753"/>
      <c r="CM29" s="753" t="s">
        <v>93</v>
      </c>
      <c r="CN29" s="777" t="s">
        <v>93</v>
      </c>
      <c r="CO29" s="753"/>
      <c r="CP29" s="753"/>
      <c r="CQ29" s="753"/>
      <c r="CR29" s="753"/>
      <c r="CS29" s="753"/>
      <c r="CT29" s="753"/>
      <c r="CU29" s="753"/>
      <c r="CV29" s="753" t="s">
        <v>93</v>
      </c>
      <c r="CW29" s="753"/>
      <c r="CX29" s="753"/>
      <c r="CY29" s="753"/>
      <c r="CZ29" s="753"/>
      <c r="DA29" s="753"/>
      <c r="DB29" s="753" t="s">
        <v>93</v>
      </c>
      <c r="DC29" s="753" t="s">
        <v>93</v>
      </c>
      <c r="DD29" s="753"/>
      <c r="DE29" s="753"/>
      <c r="DF29" s="753"/>
      <c r="DG29" s="753"/>
      <c r="DH29" s="753"/>
      <c r="DI29" s="753"/>
      <c r="DJ29" s="753"/>
      <c r="DK29" s="753"/>
      <c r="DL29" s="753"/>
      <c r="DM29" s="753"/>
      <c r="DN29" s="753"/>
      <c r="DO29" s="753"/>
      <c r="DP29" s="753"/>
      <c r="DQ29" s="753"/>
      <c r="DR29" s="753"/>
      <c r="DS29" s="753"/>
      <c r="DT29" s="753"/>
      <c r="DU29" s="753"/>
      <c r="DV29" s="753"/>
      <c r="DW29" s="753"/>
      <c r="DX29" s="753"/>
      <c r="DY29" s="753" t="s">
        <v>93</v>
      </c>
      <c r="DZ29" s="753"/>
      <c r="EA29" s="753"/>
      <c r="EB29" s="753"/>
      <c r="EC29" s="753"/>
      <c r="ED29" s="753"/>
      <c r="EE29" s="753"/>
      <c r="EF29" s="753"/>
      <c r="EG29" s="753"/>
      <c r="EH29" s="753"/>
      <c r="EI29" s="753"/>
      <c r="EJ29" s="753"/>
      <c r="EK29" s="753"/>
      <c r="EL29" s="753"/>
      <c r="EM29" s="753"/>
      <c r="EN29" s="753"/>
      <c r="EO29" s="753"/>
      <c r="EP29" s="753"/>
      <c r="EQ29" s="753"/>
      <c r="ER29" s="753"/>
      <c r="ES29" s="753"/>
      <c r="ET29" s="753"/>
      <c r="EU29" s="753"/>
      <c r="EV29" s="753"/>
      <c r="EW29" s="753"/>
      <c r="EX29" s="753"/>
      <c r="EY29" s="753"/>
      <c r="EZ29" s="753"/>
      <c r="FA29" s="753"/>
      <c r="FB29" s="753"/>
      <c r="FC29" s="753" t="s">
        <v>93</v>
      </c>
      <c r="FD29" s="753"/>
      <c r="FE29" s="753"/>
      <c r="FF29" s="753"/>
      <c r="FG29" s="753"/>
      <c r="FH29" s="753"/>
      <c r="FI29" s="753"/>
      <c r="FJ29" s="753"/>
      <c r="FK29" s="753"/>
      <c r="FL29" s="753"/>
      <c r="FM29" s="753"/>
      <c r="FN29" s="753"/>
      <c r="FO29" s="753"/>
      <c r="FP29" s="753"/>
      <c r="FQ29" s="753"/>
      <c r="FR29" s="753"/>
      <c r="FS29" s="753"/>
      <c r="FT29" s="753"/>
      <c r="FU29" s="753"/>
      <c r="FV29" s="753"/>
      <c r="FW29" s="753"/>
      <c r="FX29" s="753"/>
      <c r="FY29" s="753"/>
      <c r="FZ29" s="753"/>
      <c r="GA29" s="753" t="s">
        <v>93</v>
      </c>
      <c r="GB29" s="753"/>
      <c r="GC29" s="753" t="s">
        <v>93</v>
      </c>
      <c r="GD29" s="753" t="s">
        <v>93</v>
      </c>
      <c r="GE29" s="753" t="s">
        <v>93</v>
      </c>
      <c r="GF29" s="753"/>
      <c r="GG29" s="753"/>
      <c r="GH29" s="753"/>
      <c r="GI29" s="753"/>
      <c r="GJ29" s="753"/>
      <c r="GK29" s="753"/>
      <c r="GL29" s="753"/>
      <c r="GM29" s="753"/>
      <c r="GN29" s="753"/>
      <c r="GO29" s="753"/>
      <c r="GP29" s="753"/>
      <c r="GQ29" s="753"/>
      <c r="GR29" s="753"/>
      <c r="GS29" s="753"/>
      <c r="GT29" s="753"/>
      <c r="GU29" s="753" t="s">
        <v>93</v>
      </c>
      <c r="GV29" s="753"/>
      <c r="GW29" s="753" t="s">
        <v>93</v>
      </c>
      <c r="GX29" s="753"/>
      <c r="GY29" s="753"/>
      <c r="GZ29" s="753"/>
      <c r="HA29" s="753"/>
      <c r="HB29" s="753"/>
      <c r="HC29" s="753"/>
      <c r="HD29" s="753"/>
      <c r="HE29" s="753"/>
      <c r="HF29" s="753"/>
      <c r="HG29" s="753"/>
      <c r="HH29" s="753"/>
      <c r="HI29" s="753"/>
      <c r="HJ29" s="753"/>
      <c r="HK29" s="777" t="s">
        <v>93</v>
      </c>
      <c r="HL29" s="777" t="s">
        <v>93</v>
      </c>
      <c r="HM29" s="753"/>
      <c r="HN29" s="753"/>
      <c r="HO29" s="753"/>
      <c r="HP29" s="753"/>
      <c r="HQ29" s="753"/>
      <c r="HR29" s="753" t="s">
        <v>93</v>
      </c>
      <c r="HS29" s="753"/>
      <c r="HT29" s="753"/>
      <c r="HU29" s="753"/>
      <c r="HV29" s="753"/>
      <c r="HW29" s="753"/>
      <c r="HX29" s="753"/>
    </row>
    <row r="30" spans="1:232" s="375" customFormat="1" ht="20" customHeight="1">
      <c r="A30" s="743" t="s">
        <v>136</v>
      </c>
      <c r="B30" s="739"/>
      <c r="C30" s="739" t="str">
        <f>IF(ISTEXT(IFERROR(VLOOKUP(A30,职业列表!I3:J10,1,FALSE),0)),"★","")</f>
        <v/>
      </c>
      <c r="D30" s="739"/>
      <c r="E30" s="739"/>
      <c r="F30" s="739"/>
      <c r="G30" s="739"/>
      <c r="H30" s="739" t="s">
        <v>93</v>
      </c>
      <c r="I30" s="739"/>
      <c r="J30" s="739"/>
      <c r="K30" s="739"/>
      <c r="L30" s="739"/>
      <c r="M30" s="739"/>
      <c r="N30" s="739"/>
      <c r="O30" s="739"/>
      <c r="P30" s="739"/>
      <c r="Q30" s="739"/>
      <c r="R30" s="739"/>
      <c r="S30" s="739"/>
      <c r="T30" s="739" t="s">
        <v>93</v>
      </c>
      <c r="U30" s="739"/>
      <c r="V30" s="739" t="s">
        <v>1360</v>
      </c>
      <c r="W30" s="739"/>
      <c r="X30" s="739"/>
      <c r="Y30" s="739"/>
      <c r="Z30" s="739"/>
      <c r="AA30" s="739"/>
      <c r="AB30" s="739" t="s">
        <v>1360</v>
      </c>
      <c r="AC30" s="739"/>
      <c r="AD30" s="739" t="s">
        <v>93</v>
      </c>
      <c r="AE30" s="739" t="s">
        <v>93</v>
      </c>
      <c r="AF30" s="739" t="s">
        <v>93</v>
      </c>
      <c r="AG30" s="739"/>
      <c r="AH30" s="739"/>
      <c r="AI30" s="739" t="s">
        <v>1360</v>
      </c>
      <c r="AJ30" s="739"/>
      <c r="AK30" s="739"/>
      <c r="AL30" s="739"/>
      <c r="AM30" s="739" t="s">
        <v>93</v>
      </c>
      <c r="AN30" s="739" t="s">
        <v>93</v>
      </c>
      <c r="AO30" s="739"/>
      <c r="AP30" s="739" t="s">
        <v>1359</v>
      </c>
      <c r="AQ30" s="775"/>
      <c r="AR30" s="739" t="s">
        <v>93</v>
      </c>
      <c r="AS30" s="739"/>
      <c r="AT30" s="739"/>
      <c r="AU30" s="739"/>
      <c r="AV30" s="739"/>
      <c r="AW30" s="739"/>
      <c r="AX30" s="739"/>
      <c r="AY30" s="739"/>
      <c r="AZ30" s="739"/>
      <c r="BA30" s="739"/>
      <c r="BB30" s="739"/>
      <c r="BC30" s="739" t="s">
        <v>93</v>
      </c>
      <c r="BD30" s="739"/>
      <c r="BE30" s="739" t="s">
        <v>93</v>
      </c>
      <c r="BF30" s="739"/>
      <c r="BG30" s="739"/>
      <c r="BH30" s="739"/>
      <c r="BI30" s="739"/>
      <c r="BJ30" s="739" t="s">
        <v>93</v>
      </c>
      <c r="BK30" s="739" t="s">
        <v>93</v>
      </c>
      <c r="BL30" s="739" t="s">
        <v>1394</v>
      </c>
      <c r="BM30" s="739"/>
      <c r="BN30" s="739"/>
      <c r="BO30" s="739"/>
      <c r="BP30" s="739"/>
      <c r="BQ30" s="739"/>
      <c r="BR30" s="739"/>
      <c r="BS30" s="739"/>
      <c r="BT30" s="739"/>
      <c r="BU30" s="739"/>
      <c r="BV30" s="739"/>
      <c r="BW30" s="739"/>
      <c r="BX30" s="739"/>
      <c r="BY30" s="739" t="s">
        <v>93</v>
      </c>
      <c r="BZ30" s="739"/>
      <c r="CA30" s="739"/>
      <c r="CB30" s="739"/>
      <c r="CC30" s="739"/>
      <c r="CD30" s="739"/>
      <c r="CE30" s="739"/>
      <c r="CF30" s="739" t="s">
        <v>93</v>
      </c>
      <c r="CG30" s="739"/>
      <c r="CH30" s="739"/>
      <c r="CI30" s="739"/>
      <c r="CJ30" s="739"/>
      <c r="CK30" s="739"/>
      <c r="CL30" s="739"/>
      <c r="CM30" s="739" t="s">
        <v>93</v>
      </c>
      <c r="CN30" s="739" t="s">
        <v>93</v>
      </c>
      <c r="CO30" s="739"/>
      <c r="CP30" s="739"/>
      <c r="CQ30" s="739"/>
      <c r="CR30" s="739"/>
      <c r="CS30" s="739"/>
      <c r="CT30" s="739"/>
      <c r="CU30" s="739"/>
      <c r="CV30" s="739" t="s">
        <v>93</v>
      </c>
      <c r="CW30" s="739"/>
      <c r="CX30" s="739"/>
      <c r="CY30" s="739"/>
      <c r="CZ30" s="739"/>
      <c r="DA30" s="739"/>
      <c r="DB30" s="739" t="s">
        <v>93</v>
      </c>
      <c r="DC30" s="739" t="s">
        <v>93</v>
      </c>
      <c r="DD30" s="739"/>
      <c r="DE30" s="739"/>
      <c r="DF30" s="739"/>
      <c r="DG30" s="739"/>
      <c r="DH30" s="739"/>
      <c r="DI30" s="739"/>
      <c r="DJ30" s="739"/>
      <c r="DK30" s="739"/>
      <c r="DL30" s="739"/>
      <c r="DM30" s="739"/>
      <c r="DN30" s="739"/>
      <c r="DO30" s="739"/>
      <c r="DP30" s="739"/>
      <c r="DQ30" s="739"/>
      <c r="DR30" s="739"/>
      <c r="DS30" s="739"/>
      <c r="DT30" s="739"/>
      <c r="DU30" s="739"/>
      <c r="DV30" s="739"/>
      <c r="DW30" s="739"/>
      <c r="DX30" s="739"/>
      <c r="DY30" s="739"/>
      <c r="DZ30" s="739"/>
      <c r="EA30" s="739"/>
      <c r="EB30" s="739"/>
      <c r="EC30" s="739"/>
      <c r="ED30" s="739"/>
      <c r="EE30" s="739"/>
      <c r="EF30" s="739"/>
      <c r="EG30" s="739"/>
      <c r="EH30" s="739"/>
      <c r="EI30" s="739"/>
      <c r="EJ30" s="739"/>
      <c r="EK30" s="739"/>
      <c r="EL30" s="739"/>
      <c r="EM30" s="739"/>
      <c r="EN30" s="739"/>
      <c r="EO30" s="739"/>
      <c r="EP30" s="739"/>
      <c r="EQ30" s="739"/>
      <c r="ER30" s="739"/>
      <c r="ES30" s="739"/>
      <c r="ET30" s="739"/>
      <c r="EU30" s="739"/>
      <c r="EV30" s="739"/>
      <c r="EW30" s="739"/>
      <c r="EX30" s="739"/>
      <c r="EY30" s="739"/>
      <c r="EZ30" s="739"/>
      <c r="FA30" s="739"/>
      <c r="FB30" s="739"/>
      <c r="FC30" s="739" t="s">
        <v>93</v>
      </c>
      <c r="FD30" s="739"/>
      <c r="FE30" s="739"/>
      <c r="FF30" s="739"/>
      <c r="FG30" s="739"/>
      <c r="FH30" s="739"/>
      <c r="FI30" s="739"/>
      <c r="FJ30" s="739"/>
      <c r="FK30" s="739"/>
      <c r="FL30" s="739"/>
      <c r="FM30" s="739"/>
      <c r="FN30" s="739"/>
      <c r="FO30" s="739"/>
      <c r="FP30" s="739"/>
      <c r="FQ30" s="739"/>
      <c r="FR30" s="739" t="s">
        <v>1395</v>
      </c>
      <c r="FS30" s="739"/>
      <c r="FT30" s="739"/>
      <c r="FU30" s="739"/>
      <c r="FV30" s="739"/>
      <c r="FW30" s="739"/>
      <c r="FX30" s="739"/>
      <c r="FY30" s="739"/>
      <c r="FZ30" s="739"/>
      <c r="GA30" s="739" t="s">
        <v>93</v>
      </c>
      <c r="GB30" s="739"/>
      <c r="GC30" s="739" t="s">
        <v>93</v>
      </c>
      <c r="GD30" s="739" t="s">
        <v>93</v>
      </c>
      <c r="GE30" s="739" t="s">
        <v>93</v>
      </c>
      <c r="GF30" s="739"/>
      <c r="GG30" s="739"/>
      <c r="GH30" s="739"/>
      <c r="GI30" s="739"/>
      <c r="GJ30" s="739"/>
      <c r="GK30" s="739"/>
      <c r="GL30" s="739"/>
      <c r="GM30" s="739"/>
      <c r="GN30" s="739"/>
      <c r="GO30" s="739"/>
      <c r="GP30" s="739"/>
      <c r="GQ30" s="739"/>
      <c r="GR30" s="739"/>
      <c r="GS30" s="739"/>
      <c r="GT30" s="739"/>
      <c r="GU30" s="739" t="s">
        <v>93</v>
      </c>
      <c r="GV30" s="739"/>
      <c r="GW30" s="739" t="s">
        <v>93</v>
      </c>
      <c r="GX30" s="739"/>
      <c r="GY30" s="739"/>
      <c r="GZ30" s="740"/>
      <c r="HA30" s="740" t="s">
        <v>1396</v>
      </c>
      <c r="HB30" s="739"/>
      <c r="HC30" s="739"/>
      <c r="HD30" s="739"/>
      <c r="HE30" s="739"/>
      <c r="HF30" s="739"/>
      <c r="HG30" s="739"/>
      <c r="HH30" s="739"/>
      <c r="HI30" s="739"/>
      <c r="HJ30" s="739"/>
      <c r="HK30" s="740" t="s">
        <v>1397</v>
      </c>
      <c r="HL30" s="740" t="s">
        <v>1397</v>
      </c>
      <c r="HM30" s="739"/>
      <c r="HN30" s="739"/>
      <c r="HO30" s="739"/>
      <c r="HP30" s="739"/>
      <c r="HQ30" s="739"/>
      <c r="HR30" s="739"/>
      <c r="HS30" s="739"/>
      <c r="HT30" s="739"/>
      <c r="HU30" s="739"/>
      <c r="HV30" s="739"/>
      <c r="HW30" s="740" t="s">
        <v>1397</v>
      </c>
      <c r="HX30" s="739"/>
    </row>
    <row r="31" spans="1:232" s="375" customFormat="1" ht="20" customHeight="1">
      <c r="A31" s="743" t="s">
        <v>138</v>
      </c>
      <c r="B31" s="739"/>
      <c r="C31" s="739" t="str">
        <f>IF(ISTEXT(IFERROR(VLOOKUP(A31,职业列表!I3:J10,1,FALSE),0)),"★","")</f>
        <v/>
      </c>
      <c r="D31" s="739"/>
      <c r="E31" s="739"/>
      <c r="F31" s="739"/>
      <c r="G31" s="739"/>
      <c r="H31" s="739" t="s">
        <v>93</v>
      </c>
      <c r="I31" s="739"/>
      <c r="J31" s="739"/>
      <c r="K31" s="739"/>
      <c r="L31" s="739"/>
      <c r="M31" s="739"/>
      <c r="N31" s="739"/>
      <c r="O31" s="739"/>
      <c r="P31" s="739"/>
      <c r="Q31" s="739"/>
      <c r="R31" s="739"/>
      <c r="S31" s="739"/>
      <c r="T31" s="739" t="s">
        <v>93</v>
      </c>
      <c r="U31" s="739"/>
      <c r="V31" s="739" t="s">
        <v>1360</v>
      </c>
      <c r="W31" s="739"/>
      <c r="X31" s="739"/>
      <c r="Y31" s="739"/>
      <c r="Z31" s="739"/>
      <c r="AA31" s="739"/>
      <c r="AB31" s="739" t="s">
        <v>1360</v>
      </c>
      <c r="AC31" s="739"/>
      <c r="AD31" s="739" t="s">
        <v>93</v>
      </c>
      <c r="AE31" s="739" t="s">
        <v>93</v>
      </c>
      <c r="AF31" s="739" t="s">
        <v>93</v>
      </c>
      <c r="AG31" s="739"/>
      <c r="AH31" s="739"/>
      <c r="AI31" s="739" t="s">
        <v>1360</v>
      </c>
      <c r="AJ31" s="739"/>
      <c r="AK31" s="739"/>
      <c r="AL31" s="739"/>
      <c r="AM31" s="739" t="s">
        <v>93</v>
      </c>
      <c r="AN31" s="739" t="s">
        <v>93</v>
      </c>
      <c r="AO31" s="739"/>
      <c r="AP31" s="739" t="s">
        <v>1359</v>
      </c>
      <c r="AQ31" s="775"/>
      <c r="AR31" s="739" t="s">
        <v>93</v>
      </c>
      <c r="AS31" s="739"/>
      <c r="AT31" s="739"/>
      <c r="AU31" s="739"/>
      <c r="AV31" s="739"/>
      <c r="AW31" s="739"/>
      <c r="AX31" s="739"/>
      <c r="AY31" s="739"/>
      <c r="AZ31" s="739"/>
      <c r="BA31" s="739"/>
      <c r="BB31" s="739"/>
      <c r="BC31" s="739" t="s">
        <v>93</v>
      </c>
      <c r="BD31" s="739"/>
      <c r="BE31" s="739" t="s">
        <v>93</v>
      </c>
      <c r="BF31" s="739"/>
      <c r="BG31" s="739"/>
      <c r="BH31" s="739"/>
      <c r="BI31" s="739"/>
      <c r="BJ31" s="739" t="s">
        <v>93</v>
      </c>
      <c r="BK31" s="739" t="s">
        <v>93</v>
      </c>
      <c r="BL31" s="739"/>
      <c r="BM31" s="739"/>
      <c r="BN31" s="739"/>
      <c r="BO31" s="739"/>
      <c r="BP31" s="739"/>
      <c r="BQ31" s="739"/>
      <c r="BR31" s="739"/>
      <c r="BS31" s="739"/>
      <c r="BT31" s="739"/>
      <c r="BU31" s="739"/>
      <c r="BV31" s="739"/>
      <c r="BW31" s="739"/>
      <c r="BX31" s="739"/>
      <c r="BY31" s="739" t="s">
        <v>93</v>
      </c>
      <c r="BZ31" s="739"/>
      <c r="CA31" s="739"/>
      <c r="CB31" s="739"/>
      <c r="CC31" s="739"/>
      <c r="CD31" s="739"/>
      <c r="CE31" s="739"/>
      <c r="CF31" s="739" t="s">
        <v>93</v>
      </c>
      <c r="CG31" s="739"/>
      <c r="CH31" s="739"/>
      <c r="CI31" s="739"/>
      <c r="CJ31" s="739"/>
      <c r="CK31" s="739"/>
      <c r="CL31" s="739"/>
      <c r="CM31" s="739" t="s">
        <v>93</v>
      </c>
      <c r="CN31" s="739" t="s">
        <v>93</v>
      </c>
      <c r="CO31" s="739"/>
      <c r="CP31" s="739"/>
      <c r="CQ31" s="739"/>
      <c r="CR31" s="739"/>
      <c r="CS31" s="739"/>
      <c r="CT31" s="739"/>
      <c r="CU31" s="739"/>
      <c r="CV31" s="739" t="s">
        <v>93</v>
      </c>
      <c r="CW31" s="739"/>
      <c r="CX31" s="739"/>
      <c r="CY31" s="739"/>
      <c r="CZ31" s="739"/>
      <c r="DA31" s="739"/>
      <c r="DB31" s="739" t="s">
        <v>93</v>
      </c>
      <c r="DC31" s="739" t="s">
        <v>93</v>
      </c>
      <c r="DD31" s="739"/>
      <c r="DE31" s="739"/>
      <c r="DF31" s="739"/>
      <c r="DG31" s="739"/>
      <c r="DH31" s="739"/>
      <c r="DI31" s="739"/>
      <c r="DJ31" s="739"/>
      <c r="DK31" s="739"/>
      <c r="DL31" s="739"/>
      <c r="DM31" s="739"/>
      <c r="DN31" s="739"/>
      <c r="DO31" s="739"/>
      <c r="DP31" s="739"/>
      <c r="DQ31" s="739"/>
      <c r="DR31" s="739"/>
      <c r="DS31" s="739"/>
      <c r="DT31" s="739"/>
      <c r="DU31" s="739"/>
      <c r="DV31" s="739"/>
      <c r="DW31" s="739"/>
      <c r="DX31" s="739"/>
      <c r="DY31" s="739"/>
      <c r="DZ31" s="739"/>
      <c r="EA31" s="739"/>
      <c r="EB31" s="739"/>
      <c r="EC31" s="739"/>
      <c r="ED31" s="739"/>
      <c r="EE31" s="739"/>
      <c r="EF31" s="739"/>
      <c r="EG31" s="739"/>
      <c r="EH31" s="739"/>
      <c r="EI31" s="739"/>
      <c r="EJ31" s="739"/>
      <c r="EK31" s="739"/>
      <c r="EL31" s="739"/>
      <c r="EM31" s="739"/>
      <c r="EN31" s="739"/>
      <c r="EO31" s="739"/>
      <c r="EP31" s="739"/>
      <c r="EQ31" s="739"/>
      <c r="ER31" s="739"/>
      <c r="ES31" s="739"/>
      <c r="ET31" s="739"/>
      <c r="EU31" s="739"/>
      <c r="EV31" s="739"/>
      <c r="EW31" s="739"/>
      <c r="EX31" s="739"/>
      <c r="EY31" s="739"/>
      <c r="EZ31" s="739"/>
      <c r="FA31" s="739"/>
      <c r="FB31" s="739"/>
      <c r="FC31" s="739" t="s">
        <v>93</v>
      </c>
      <c r="FD31" s="739"/>
      <c r="FE31" s="739"/>
      <c r="FF31" s="739"/>
      <c r="FG31" s="739"/>
      <c r="FH31" s="739"/>
      <c r="FI31" s="739"/>
      <c r="FJ31" s="739"/>
      <c r="FK31" s="739"/>
      <c r="FL31" s="739"/>
      <c r="FM31" s="739"/>
      <c r="FN31" s="739"/>
      <c r="FO31" s="739"/>
      <c r="FP31" s="739"/>
      <c r="FQ31" s="739"/>
      <c r="FR31" s="739"/>
      <c r="FS31" s="739"/>
      <c r="FT31" s="739"/>
      <c r="FU31" s="739"/>
      <c r="FV31" s="739"/>
      <c r="FW31" s="739"/>
      <c r="FX31" s="739"/>
      <c r="FY31" s="739"/>
      <c r="FZ31" s="739"/>
      <c r="GA31" s="739" t="s">
        <v>93</v>
      </c>
      <c r="GB31" s="739"/>
      <c r="GC31" s="739" t="s">
        <v>93</v>
      </c>
      <c r="GD31" s="739" t="s">
        <v>93</v>
      </c>
      <c r="GE31" s="739" t="s">
        <v>93</v>
      </c>
      <c r="GF31" s="739"/>
      <c r="GG31" s="739"/>
      <c r="GH31" s="739"/>
      <c r="GI31" s="739"/>
      <c r="GJ31" s="739"/>
      <c r="GK31" s="739"/>
      <c r="GL31" s="739"/>
      <c r="GM31" s="739"/>
      <c r="GN31" s="739"/>
      <c r="GO31" s="739"/>
      <c r="GP31" s="739"/>
      <c r="GQ31" s="739"/>
      <c r="GR31" s="739"/>
      <c r="GS31" s="739"/>
      <c r="GT31" s="739"/>
      <c r="GU31" s="739" t="s">
        <v>93</v>
      </c>
      <c r="GV31" s="739"/>
      <c r="GW31" s="739" t="s">
        <v>93</v>
      </c>
      <c r="GX31" s="739"/>
      <c r="GY31" s="739"/>
      <c r="GZ31" s="740"/>
      <c r="HA31" s="740"/>
      <c r="HB31" s="739"/>
      <c r="HC31" s="739"/>
      <c r="HD31" s="739"/>
      <c r="HE31" s="739"/>
      <c r="HF31" s="739"/>
      <c r="HG31" s="739"/>
      <c r="HH31" s="739"/>
      <c r="HI31" s="739"/>
      <c r="HJ31" s="739"/>
      <c r="HK31" s="740"/>
      <c r="HL31" s="740"/>
      <c r="HM31" s="739"/>
      <c r="HN31" s="739"/>
      <c r="HO31" s="739"/>
      <c r="HP31" s="739"/>
      <c r="HQ31" s="739"/>
      <c r="HR31" s="739"/>
      <c r="HS31" s="739"/>
      <c r="HT31" s="739"/>
      <c r="HU31" s="739"/>
      <c r="HV31" s="739"/>
      <c r="HW31" s="740"/>
      <c r="HX31" s="739"/>
    </row>
    <row r="32" spans="1:232" ht="20" customHeight="1">
      <c r="A32" s="754" t="s">
        <v>140</v>
      </c>
      <c r="B32" s="755"/>
      <c r="C32" s="755" t="str">
        <f>IF(ISTEXT(IFERROR(VLOOKUP(A32,职业列表!I3:J10,1,FALSE),0)),"★","")</f>
        <v/>
      </c>
      <c r="D32" s="739"/>
      <c r="E32" s="739"/>
      <c r="F32" s="739"/>
      <c r="G32" s="739"/>
      <c r="H32" s="739" t="s">
        <v>93</v>
      </c>
      <c r="I32" s="739"/>
      <c r="J32" s="739"/>
      <c r="K32" s="739"/>
      <c r="L32" s="739"/>
      <c r="M32" s="739"/>
      <c r="N32" s="739"/>
      <c r="O32" s="739"/>
      <c r="P32" s="739"/>
      <c r="Q32" s="739"/>
      <c r="R32" s="739"/>
      <c r="S32" s="739"/>
      <c r="T32" s="739" t="s">
        <v>93</v>
      </c>
      <c r="U32" s="739"/>
      <c r="V32" s="739" t="s">
        <v>1360</v>
      </c>
      <c r="W32" s="739"/>
      <c r="X32" s="739"/>
      <c r="Y32" s="739"/>
      <c r="Z32" s="739"/>
      <c r="AA32" s="739"/>
      <c r="AB32" s="739" t="s">
        <v>1360</v>
      </c>
      <c r="AC32" s="739"/>
      <c r="AD32" s="739" t="s">
        <v>93</v>
      </c>
      <c r="AE32" s="739" t="s">
        <v>93</v>
      </c>
      <c r="AF32" s="739" t="s">
        <v>93</v>
      </c>
      <c r="AG32" s="739"/>
      <c r="AH32" s="739"/>
      <c r="AI32" s="739" t="s">
        <v>1360</v>
      </c>
      <c r="AJ32" s="739"/>
      <c r="AK32" s="739"/>
      <c r="AL32" s="739"/>
      <c r="AM32" s="739" t="s">
        <v>93</v>
      </c>
      <c r="AN32" s="739" t="s">
        <v>93</v>
      </c>
      <c r="AO32" s="739"/>
      <c r="AP32" s="739" t="s">
        <v>1359</v>
      </c>
      <c r="AQ32" s="775"/>
      <c r="AR32" s="739" t="s">
        <v>93</v>
      </c>
      <c r="AS32" s="739"/>
      <c r="AT32" s="739"/>
      <c r="AU32" s="739"/>
      <c r="AV32" s="739"/>
      <c r="AW32" s="739"/>
      <c r="AX32" s="739"/>
      <c r="AY32" s="739"/>
      <c r="AZ32" s="739"/>
      <c r="BA32" s="739"/>
      <c r="BB32" s="739"/>
      <c r="BC32" s="739" t="s">
        <v>93</v>
      </c>
      <c r="BD32" s="739"/>
      <c r="BE32" s="739" t="s">
        <v>93</v>
      </c>
      <c r="BF32" s="739"/>
      <c r="BG32" s="739"/>
      <c r="BH32" s="739"/>
      <c r="BI32" s="739"/>
      <c r="BJ32" s="739" t="s">
        <v>93</v>
      </c>
      <c r="BK32" s="739" t="s">
        <v>93</v>
      </c>
      <c r="BL32" s="739"/>
      <c r="BM32" s="739"/>
      <c r="BN32" s="739"/>
      <c r="BO32" s="739"/>
      <c r="BP32" s="739"/>
      <c r="BQ32" s="739"/>
      <c r="BR32" s="739"/>
      <c r="BS32" s="739"/>
      <c r="BT32" s="739"/>
      <c r="BU32" s="739"/>
      <c r="BV32" s="739"/>
      <c r="BW32" s="739"/>
      <c r="BX32" s="739"/>
      <c r="BY32" s="739" t="s">
        <v>93</v>
      </c>
      <c r="BZ32" s="739"/>
      <c r="CA32" s="739"/>
      <c r="CB32" s="739"/>
      <c r="CC32" s="739"/>
      <c r="CD32" s="739"/>
      <c r="CE32" s="739"/>
      <c r="CF32" s="739" t="s">
        <v>93</v>
      </c>
      <c r="CG32" s="739"/>
      <c r="CH32" s="739"/>
      <c r="CI32" s="739"/>
      <c r="CJ32" s="739"/>
      <c r="CK32" s="739"/>
      <c r="CL32" s="739"/>
      <c r="CM32" s="739" t="s">
        <v>93</v>
      </c>
      <c r="CN32" s="739" t="s">
        <v>93</v>
      </c>
      <c r="CO32" s="739"/>
      <c r="CP32" s="739"/>
      <c r="CQ32" s="739"/>
      <c r="CR32" s="739"/>
      <c r="CS32" s="739"/>
      <c r="CT32" s="739"/>
      <c r="CU32" s="739"/>
      <c r="CV32" s="739" t="s">
        <v>93</v>
      </c>
      <c r="CW32" s="739"/>
      <c r="CX32" s="739"/>
      <c r="CY32" s="739"/>
      <c r="CZ32" s="739"/>
      <c r="DA32" s="739"/>
      <c r="DB32" s="739" t="s">
        <v>93</v>
      </c>
      <c r="DC32" s="739" t="s">
        <v>93</v>
      </c>
      <c r="DD32" s="739"/>
      <c r="DE32" s="739"/>
      <c r="DF32" s="739"/>
      <c r="DG32" s="739"/>
      <c r="DH32" s="739"/>
      <c r="DI32" s="739"/>
      <c r="DJ32" s="739"/>
      <c r="DK32" s="739"/>
      <c r="DL32" s="739"/>
      <c r="DM32" s="739"/>
      <c r="DN32" s="739"/>
      <c r="DO32" s="739"/>
      <c r="DP32" s="739"/>
      <c r="DQ32" s="739"/>
      <c r="DR32" s="739"/>
      <c r="DS32" s="739"/>
      <c r="DT32" s="739"/>
      <c r="DU32" s="739"/>
      <c r="DV32" s="739"/>
      <c r="DW32" s="739"/>
      <c r="DX32" s="739"/>
      <c r="DY32" s="739"/>
      <c r="DZ32" s="739"/>
      <c r="EA32" s="739"/>
      <c r="EB32" s="739"/>
      <c r="EC32" s="739"/>
      <c r="ED32" s="739"/>
      <c r="EE32" s="739"/>
      <c r="EF32" s="739"/>
      <c r="EG32" s="739"/>
      <c r="EH32" s="739"/>
      <c r="EI32" s="739"/>
      <c r="EJ32" s="739"/>
      <c r="EK32" s="739"/>
      <c r="EL32" s="739"/>
      <c r="EM32" s="739"/>
      <c r="EN32" s="739"/>
      <c r="EO32" s="739"/>
      <c r="EP32" s="739"/>
      <c r="EQ32" s="739"/>
      <c r="ER32" s="739"/>
      <c r="ES32" s="739"/>
      <c r="ET32" s="739"/>
      <c r="EU32" s="739"/>
      <c r="EV32" s="739"/>
      <c r="EW32" s="739"/>
      <c r="EX32" s="739"/>
      <c r="EY32" s="739"/>
      <c r="EZ32" s="739"/>
      <c r="FA32" s="739"/>
      <c r="FB32" s="739"/>
      <c r="FC32" s="739" t="s">
        <v>93</v>
      </c>
      <c r="FD32" s="739"/>
      <c r="FE32" s="739"/>
      <c r="FF32" s="739"/>
      <c r="FG32" s="739"/>
      <c r="FH32" s="739"/>
      <c r="FI32" s="739"/>
      <c r="FJ32" s="739"/>
      <c r="FK32" s="739"/>
      <c r="FL32" s="739"/>
      <c r="FM32" s="739"/>
      <c r="FN32" s="739"/>
      <c r="FO32" s="739"/>
      <c r="FP32" s="739"/>
      <c r="FQ32" s="739"/>
      <c r="FR32" s="739"/>
      <c r="FS32" s="739"/>
      <c r="FT32" s="739"/>
      <c r="FU32" s="739"/>
      <c r="FV32" s="739"/>
      <c r="FW32" s="739"/>
      <c r="FX32" s="739"/>
      <c r="FY32" s="739"/>
      <c r="FZ32" s="739"/>
      <c r="GA32" s="739" t="s">
        <v>93</v>
      </c>
      <c r="GB32" s="739"/>
      <c r="GC32" s="739" t="s">
        <v>93</v>
      </c>
      <c r="GD32" s="739" t="s">
        <v>93</v>
      </c>
      <c r="GE32" s="739" t="s">
        <v>93</v>
      </c>
      <c r="GF32" s="739"/>
      <c r="GG32" s="739"/>
      <c r="GH32" s="739"/>
      <c r="GI32" s="739"/>
      <c r="GJ32" s="739"/>
      <c r="GK32" s="739"/>
      <c r="GL32" s="739"/>
      <c r="GM32" s="739"/>
      <c r="GN32" s="739"/>
      <c r="GO32" s="739"/>
      <c r="GP32" s="739"/>
      <c r="GQ32" s="739"/>
      <c r="GR32" s="739"/>
      <c r="GS32" s="739"/>
      <c r="GT32" s="739"/>
      <c r="GU32" s="739" t="s">
        <v>93</v>
      </c>
      <c r="GV32" s="739"/>
      <c r="GW32" s="739" t="s">
        <v>93</v>
      </c>
      <c r="GX32" s="739"/>
      <c r="GY32" s="739"/>
      <c r="GZ32" s="740"/>
      <c r="HA32" s="740"/>
      <c r="HB32" s="739"/>
      <c r="HC32" s="739"/>
      <c r="HD32" s="739"/>
      <c r="HE32" s="739"/>
      <c r="HF32" s="739"/>
      <c r="HG32" s="739"/>
      <c r="HH32" s="739"/>
      <c r="HI32" s="739"/>
      <c r="HJ32" s="739"/>
      <c r="HK32" s="740"/>
      <c r="HL32" s="740"/>
      <c r="HM32" s="739"/>
      <c r="HN32" s="739"/>
      <c r="HO32" s="739"/>
      <c r="HP32" s="739"/>
      <c r="HQ32" s="739"/>
      <c r="HR32" s="739"/>
      <c r="HS32" s="739"/>
      <c r="HT32" s="739"/>
      <c r="HU32" s="739"/>
      <c r="HV32" s="739"/>
      <c r="HW32" s="740"/>
      <c r="HX32" s="739"/>
    </row>
    <row r="33" spans="1:232" s="375" customFormat="1" ht="20" customHeight="1">
      <c r="A33" s="738" t="s">
        <v>142</v>
      </c>
      <c r="B33" s="739"/>
      <c r="C33" s="739" t="str">
        <f>IF(ISTEXT(IFERROR(VLOOKUP(A33,职业列表!I3:J10,1,FALSE),0)),"★","")</f>
        <v/>
      </c>
      <c r="D33" s="739"/>
      <c r="E33" s="739"/>
      <c r="F33" s="739"/>
      <c r="G33" s="739"/>
      <c r="H33" s="739"/>
      <c r="I33" s="739"/>
      <c r="J33" s="739"/>
      <c r="K33" s="739"/>
      <c r="L33" s="739"/>
      <c r="M33" s="739"/>
      <c r="N33" s="739"/>
      <c r="O33" s="739"/>
      <c r="P33" s="739" t="s">
        <v>93</v>
      </c>
      <c r="Q33" s="739"/>
      <c r="R33" s="739"/>
      <c r="S33" s="739"/>
      <c r="T33" s="739"/>
      <c r="U33" s="739"/>
      <c r="V33" s="739"/>
      <c r="W33" s="739"/>
      <c r="X33" s="739" t="s">
        <v>93</v>
      </c>
      <c r="Y33" s="739"/>
      <c r="Z33" s="739"/>
      <c r="AA33" s="739"/>
      <c r="AB33" s="739" t="s">
        <v>1359</v>
      </c>
      <c r="AC33" s="739"/>
      <c r="AD33" s="739"/>
      <c r="AE33" s="739"/>
      <c r="AF33" s="739"/>
      <c r="AG33" s="739"/>
      <c r="AH33" s="739"/>
      <c r="AI33" s="739"/>
      <c r="AJ33" s="739"/>
      <c r="AK33" s="739"/>
      <c r="AL33" s="739"/>
      <c r="AM33" s="739"/>
      <c r="AN33" s="739"/>
      <c r="AO33" s="739"/>
      <c r="AP33" s="739"/>
      <c r="AQ33" s="739"/>
      <c r="AR33" s="739"/>
      <c r="AS33" s="739" t="s">
        <v>93</v>
      </c>
      <c r="AT33" s="739" t="s">
        <v>93</v>
      </c>
      <c r="AU33" s="739"/>
      <c r="AV33" s="739"/>
      <c r="AW33" s="739"/>
      <c r="AX33" s="739"/>
      <c r="AY33" s="739"/>
      <c r="AZ33" s="739"/>
      <c r="BA33" s="739"/>
      <c r="BB33" s="739"/>
      <c r="BC33" s="739"/>
      <c r="BD33" s="739"/>
      <c r="BE33" s="739"/>
      <c r="BF33" s="739" t="s">
        <v>93</v>
      </c>
      <c r="BG33" s="739"/>
      <c r="BH33" s="739"/>
      <c r="BI33" s="739"/>
      <c r="BJ33" s="739"/>
      <c r="BK33" s="739"/>
      <c r="BL33" s="739"/>
      <c r="BM33" s="739"/>
      <c r="BN33" s="739" t="s">
        <v>93</v>
      </c>
      <c r="BO33" s="739"/>
      <c r="BP33" s="739"/>
      <c r="BQ33" s="739"/>
      <c r="BR33" s="739"/>
      <c r="BS33" s="739" t="s">
        <v>93</v>
      </c>
      <c r="BT33" s="739" t="s">
        <v>93</v>
      </c>
      <c r="BU33" s="739"/>
      <c r="BV33" s="739"/>
      <c r="BW33" s="739"/>
      <c r="BX33" s="739"/>
      <c r="BY33" s="739" t="s">
        <v>93</v>
      </c>
      <c r="BZ33" s="739" t="s">
        <v>93</v>
      </c>
      <c r="CA33" s="739" t="s">
        <v>93</v>
      </c>
      <c r="CB33" s="739"/>
      <c r="CC33" s="739"/>
      <c r="CD33" s="739" t="s">
        <v>93</v>
      </c>
      <c r="CE33" s="739"/>
      <c r="CF33" s="739" t="s">
        <v>93</v>
      </c>
      <c r="CG33" s="739"/>
      <c r="CH33" s="739" t="s">
        <v>93</v>
      </c>
      <c r="CI33" s="739"/>
      <c r="CJ33" s="739"/>
      <c r="CK33" s="739"/>
      <c r="CL33" s="739"/>
      <c r="CM33" s="739"/>
      <c r="CN33" s="739" t="s">
        <v>93</v>
      </c>
      <c r="CO33" s="739"/>
      <c r="CP33" s="739"/>
      <c r="CQ33" s="739" t="s">
        <v>93</v>
      </c>
      <c r="CR33" s="739"/>
      <c r="CS33" s="739"/>
      <c r="CT33" s="739"/>
      <c r="CU33" s="739"/>
      <c r="CV33" s="739" t="s">
        <v>93</v>
      </c>
      <c r="CW33" s="739" t="s">
        <v>93</v>
      </c>
      <c r="CX33" s="739"/>
      <c r="CY33" s="739"/>
      <c r="CZ33" s="739"/>
      <c r="DA33" s="739"/>
      <c r="DB33" s="740" t="s">
        <v>1362</v>
      </c>
      <c r="DC33" s="739"/>
      <c r="DD33" s="739"/>
      <c r="DE33" s="739" t="s">
        <v>93</v>
      </c>
      <c r="DF33" s="739"/>
      <c r="DG33" s="739"/>
      <c r="DH33" s="739"/>
      <c r="DI33" s="739"/>
      <c r="DJ33" s="739"/>
      <c r="DK33" s="739"/>
      <c r="DL33" s="739"/>
      <c r="DM33" s="739" t="s">
        <v>93</v>
      </c>
      <c r="DN33" s="739"/>
      <c r="DO33" s="739"/>
      <c r="DP33" s="739"/>
      <c r="DQ33" s="739"/>
      <c r="DR33" s="739"/>
      <c r="DS33" s="739"/>
      <c r="DT33" s="739"/>
      <c r="DU33" s="739"/>
      <c r="DV33" s="739"/>
      <c r="DW33" s="739"/>
      <c r="DX33" s="739"/>
      <c r="DY33" s="739"/>
      <c r="DZ33" s="739"/>
      <c r="EA33" s="739"/>
      <c r="EB33" s="739"/>
      <c r="EC33" s="739"/>
      <c r="ED33" s="739"/>
      <c r="EE33" s="739"/>
      <c r="EF33" s="739" t="s">
        <v>93</v>
      </c>
      <c r="EG33" s="739" t="s">
        <v>93</v>
      </c>
      <c r="EH33" s="739" t="s">
        <v>93</v>
      </c>
      <c r="EI33" s="739"/>
      <c r="EJ33" s="739" t="s">
        <v>93</v>
      </c>
      <c r="EK33" s="739"/>
      <c r="EL33" s="739"/>
      <c r="EM33" s="739" t="s">
        <v>93</v>
      </c>
      <c r="EN33" s="739"/>
      <c r="EO33" s="739"/>
      <c r="EP33" s="739"/>
      <c r="EQ33" s="739"/>
      <c r="ER33" s="739"/>
      <c r="ES33" s="739"/>
      <c r="ET33" s="739"/>
      <c r="EU33" s="739"/>
      <c r="EV33" s="739"/>
      <c r="EW33" s="739"/>
      <c r="EX33" s="739"/>
      <c r="EY33" s="739"/>
      <c r="EZ33" s="739"/>
      <c r="FA33" s="739" t="s">
        <v>93</v>
      </c>
      <c r="FB33" s="739"/>
      <c r="FC33" s="739"/>
      <c r="FD33" s="739"/>
      <c r="FE33" s="739"/>
      <c r="FF33" s="739"/>
      <c r="FG33" s="739"/>
      <c r="FH33" s="739"/>
      <c r="FI33" s="739"/>
      <c r="FJ33" s="739"/>
      <c r="FK33" s="739"/>
      <c r="FL33" s="739" t="s">
        <v>1359</v>
      </c>
      <c r="FM33" s="739"/>
      <c r="FN33" s="739"/>
      <c r="FO33" s="739"/>
      <c r="FP33" s="739"/>
      <c r="FQ33" s="739"/>
      <c r="FR33" s="739" t="s">
        <v>93</v>
      </c>
      <c r="FS33" s="739" t="s">
        <v>93</v>
      </c>
      <c r="FT33" s="739"/>
      <c r="FU33" s="739" t="s">
        <v>93</v>
      </c>
      <c r="FV33" s="739" t="s">
        <v>93</v>
      </c>
      <c r="FW33" s="739"/>
      <c r="FX33" s="739" t="s">
        <v>93</v>
      </c>
      <c r="FY33" s="739"/>
      <c r="FZ33" s="739"/>
      <c r="GA33" s="739" t="s">
        <v>93</v>
      </c>
      <c r="GB33" s="739" t="s">
        <v>93</v>
      </c>
      <c r="GC33" s="739" t="s">
        <v>1362</v>
      </c>
      <c r="GD33" s="739" t="s">
        <v>1362</v>
      </c>
      <c r="GE33" s="739"/>
      <c r="GF33" s="739"/>
      <c r="GG33" s="739"/>
      <c r="GH33" s="739"/>
      <c r="GI33" s="739"/>
      <c r="GJ33" s="739"/>
      <c r="GK33" s="739"/>
      <c r="GL33" s="739"/>
      <c r="GM33" s="739"/>
      <c r="GN33" s="739"/>
      <c r="GO33" s="739"/>
      <c r="GP33" s="739"/>
      <c r="GQ33" s="739"/>
      <c r="GR33" s="739"/>
      <c r="GS33" s="739"/>
      <c r="GT33" s="739"/>
      <c r="GU33" s="739" t="s">
        <v>1362</v>
      </c>
      <c r="GV33" s="739"/>
      <c r="GW33" s="739" t="s">
        <v>93</v>
      </c>
      <c r="GX33" s="739"/>
      <c r="GY33" s="739" t="s">
        <v>93</v>
      </c>
      <c r="GZ33" s="739"/>
      <c r="HA33" s="739"/>
      <c r="HB33" s="739"/>
      <c r="HC33" s="739"/>
      <c r="HD33" s="739"/>
      <c r="HE33" s="739"/>
      <c r="HF33" s="739" t="s">
        <v>93</v>
      </c>
      <c r="HG33" s="739"/>
      <c r="HH33" s="739"/>
      <c r="HI33" s="739"/>
      <c r="HJ33" s="739"/>
      <c r="HK33" s="740" t="s">
        <v>93</v>
      </c>
      <c r="HL33" s="739" t="s">
        <v>93</v>
      </c>
      <c r="HM33" s="739"/>
      <c r="HN33" s="739"/>
      <c r="HO33" s="740" t="s">
        <v>93</v>
      </c>
      <c r="HP33" s="739"/>
      <c r="HQ33" s="740" t="s">
        <v>93</v>
      </c>
      <c r="HR33" s="739" t="s">
        <v>93</v>
      </c>
      <c r="HS33" s="739"/>
      <c r="HT33" s="739"/>
      <c r="HU33" s="739" t="s">
        <v>1362</v>
      </c>
      <c r="HV33" s="739"/>
      <c r="HW33" s="739" t="s">
        <v>93</v>
      </c>
      <c r="HX33" s="739"/>
    </row>
    <row r="34" spans="1:232" s="375" customFormat="1" ht="20" customHeight="1">
      <c r="A34" s="738" t="s">
        <v>144</v>
      </c>
      <c r="B34" s="739"/>
      <c r="C34" s="740" t="str">
        <f>IF(ISTEXT(IFERROR(VLOOKUP(A34,职业列表!I3:J10,1,FALSE),0)),"★","")</f>
        <v/>
      </c>
      <c r="D34" s="739"/>
      <c r="E34" s="739"/>
      <c r="F34" s="739" t="s">
        <v>93</v>
      </c>
      <c r="G34" s="739"/>
      <c r="H34" s="739"/>
      <c r="I34" s="739"/>
      <c r="J34" s="739"/>
      <c r="K34" s="739" t="s">
        <v>93</v>
      </c>
      <c r="L34" s="739" t="s">
        <v>93</v>
      </c>
      <c r="M34" s="739" t="s">
        <v>93</v>
      </c>
      <c r="N34" s="739"/>
      <c r="O34" s="739" t="s">
        <v>1359</v>
      </c>
      <c r="P34" s="739"/>
      <c r="Q34" s="739"/>
      <c r="R34" s="739" t="s">
        <v>93</v>
      </c>
      <c r="S34" s="739"/>
      <c r="T34" s="739"/>
      <c r="U34" s="739" t="s">
        <v>93</v>
      </c>
      <c r="V34" s="739"/>
      <c r="W34" s="739"/>
      <c r="X34" s="739"/>
      <c r="Y34" s="739" t="s">
        <v>93</v>
      </c>
      <c r="Z34" s="739"/>
      <c r="AA34" s="739"/>
      <c r="AB34" s="739"/>
      <c r="AC34" s="739"/>
      <c r="AD34" s="739"/>
      <c r="AE34" s="739"/>
      <c r="AF34" s="739"/>
      <c r="AG34" s="739"/>
      <c r="AH34" s="739"/>
      <c r="AI34" s="739"/>
      <c r="AJ34" s="739"/>
      <c r="AK34" s="739" t="s">
        <v>93</v>
      </c>
      <c r="AL34" s="739" t="s">
        <v>93</v>
      </c>
      <c r="AM34" s="739"/>
      <c r="AN34" s="739"/>
      <c r="AO34" s="739"/>
      <c r="AP34" s="739" t="s">
        <v>93</v>
      </c>
      <c r="AQ34" s="739"/>
      <c r="AR34" s="739"/>
      <c r="AS34" s="739"/>
      <c r="AT34" s="739"/>
      <c r="AU34" s="739"/>
      <c r="AV34" s="739"/>
      <c r="AW34" s="739"/>
      <c r="AX34" s="739"/>
      <c r="AY34" s="739" t="s">
        <v>93</v>
      </c>
      <c r="AZ34" s="739" t="s">
        <v>93</v>
      </c>
      <c r="BA34" s="739"/>
      <c r="BB34" s="739"/>
      <c r="BC34" s="739" t="s">
        <v>93</v>
      </c>
      <c r="BD34" s="739"/>
      <c r="BE34" s="739"/>
      <c r="BF34" s="739"/>
      <c r="BG34" s="739" t="s">
        <v>93</v>
      </c>
      <c r="BH34" s="739"/>
      <c r="BI34" s="739"/>
      <c r="BJ34" s="739"/>
      <c r="BK34" s="739"/>
      <c r="BL34" s="739" t="s">
        <v>93</v>
      </c>
      <c r="BM34" s="739"/>
      <c r="BN34" s="739"/>
      <c r="BO34" s="739" t="s">
        <v>93</v>
      </c>
      <c r="BP34" s="739" t="s">
        <v>93</v>
      </c>
      <c r="BQ34" s="739" t="s">
        <v>93</v>
      </c>
      <c r="BR34" s="739"/>
      <c r="BS34" s="739"/>
      <c r="BT34" s="739"/>
      <c r="BU34" s="739"/>
      <c r="BV34" s="739"/>
      <c r="BW34" s="739"/>
      <c r="BX34" s="739"/>
      <c r="BY34" s="739"/>
      <c r="BZ34" s="739"/>
      <c r="CA34" s="739"/>
      <c r="CB34" s="739" t="s">
        <v>93</v>
      </c>
      <c r="CC34" s="739"/>
      <c r="CD34" s="739"/>
      <c r="CE34" s="739" t="s">
        <v>93</v>
      </c>
      <c r="CF34" s="739"/>
      <c r="CG34" s="739" t="s">
        <v>93</v>
      </c>
      <c r="CH34" s="739"/>
      <c r="CI34" s="739"/>
      <c r="CJ34" s="739"/>
      <c r="CK34" s="739"/>
      <c r="CL34" s="739"/>
      <c r="CM34" s="739"/>
      <c r="CN34" s="739"/>
      <c r="CO34" s="739"/>
      <c r="CP34" s="739"/>
      <c r="CQ34" s="739" t="s">
        <v>93</v>
      </c>
      <c r="CR34" s="739"/>
      <c r="CS34" s="739"/>
      <c r="CT34" s="739"/>
      <c r="CU34" s="739" t="s">
        <v>93</v>
      </c>
      <c r="CV34" s="739"/>
      <c r="CW34" s="739"/>
      <c r="CX34" s="739"/>
      <c r="CY34" s="739"/>
      <c r="CZ34" s="739"/>
      <c r="DA34" s="739"/>
      <c r="DB34" s="739"/>
      <c r="DC34" s="739"/>
      <c r="DD34" s="739"/>
      <c r="DE34" s="739"/>
      <c r="DF34" s="739"/>
      <c r="DG34" s="739" t="s">
        <v>93</v>
      </c>
      <c r="DH34" s="739"/>
      <c r="DI34" s="739"/>
      <c r="DJ34" s="739"/>
      <c r="DK34" s="739"/>
      <c r="DL34" s="739" t="s">
        <v>93</v>
      </c>
      <c r="DM34" s="739"/>
      <c r="DN34" s="739" t="s">
        <v>93</v>
      </c>
      <c r="DO34" s="739"/>
      <c r="DP34" s="739"/>
      <c r="DQ34" s="739"/>
      <c r="DR34" s="739"/>
      <c r="DS34" s="739"/>
      <c r="DT34" s="739"/>
      <c r="DU34" s="739"/>
      <c r="DV34" s="739" t="s">
        <v>93</v>
      </c>
      <c r="DW34" s="739" t="s">
        <v>93</v>
      </c>
      <c r="DX34" s="739" t="s">
        <v>93</v>
      </c>
      <c r="DY34" s="739"/>
      <c r="DZ34" s="739" t="s">
        <v>93</v>
      </c>
      <c r="EA34" s="739"/>
      <c r="EB34" s="739"/>
      <c r="EC34" s="739"/>
      <c r="ED34" s="739"/>
      <c r="EE34" s="739"/>
      <c r="EF34" s="739"/>
      <c r="EG34" s="739"/>
      <c r="EH34" s="739"/>
      <c r="EI34" s="739"/>
      <c r="EJ34" s="739"/>
      <c r="EK34" s="739"/>
      <c r="EL34" s="739"/>
      <c r="EM34" s="739"/>
      <c r="EN34" s="739"/>
      <c r="EO34" s="739"/>
      <c r="EP34" s="739"/>
      <c r="EQ34" s="739"/>
      <c r="ER34" s="739"/>
      <c r="ES34" s="739"/>
      <c r="ET34" s="739"/>
      <c r="EU34" s="739"/>
      <c r="EV34" s="739"/>
      <c r="EW34" s="739"/>
      <c r="EX34" s="739"/>
      <c r="EY34" s="739"/>
      <c r="EZ34" s="739"/>
      <c r="FA34" s="739"/>
      <c r="FB34" s="739" t="s">
        <v>93</v>
      </c>
      <c r="FC34" s="739"/>
      <c r="FD34" s="739"/>
      <c r="FE34" s="739" t="s">
        <v>1359</v>
      </c>
      <c r="FF34" s="739"/>
      <c r="FG34" s="739"/>
      <c r="FH34" s="739"/>
      <c r="FI34" s="739" t="s">
        <v>1359</v>
      </c>
      <c r="FJ34" s="739" t="s">
        <v>93</v>
      </c>
      <c r="FK34" s="739" t="s">
        <v>1359</v>
      </c>
      <c r="FL34" s="739"/>
      <c r="FM34" s="739" t="s">
        <v>93</v>
      </c>
      <c r="FN34" s="739"/>
      <c r="FO34" s="739"/>
      <c r="FP34" s="739"/>
      <c r="FQ34" s="739"/>
      <c r="FR34" s="739"/>
      <c r="FS34" s="739"/>
      <c r="FT34" s="739"/>
      <c r="FU34" s="739"/>
      <c r="FV34" s="739"/>
      <c r="FW34" s="739"/>
      <c r="FX34" s="739"/>
      <c r="FY34" s="739"/>
      <c r="FZ34" s="739"/>
      <c r="GA34" s="739"/>
      <c r="GB34" s="739"/>
      <c r="GC34" s="739"/>
      <c r="GD34" s="739"/>
      <c r="GE34" s="739" t="s">
        <v>93</v>
      </c>
      <c r="GF34" s="739" t="s">
        <v>1359</v>
      </c>
      <c r="GG34" s="739"/>
      <c r="GH34" s="739"/>
      <c r="GI34" s="739"/>
      <c r="GJ34" s="739"/>
      <c r="GK34" s="739"/>
      <c r="GL34" s="739"/>
      <c r="GM34" s="739"/>
      <c r="GN34" s="739"/>
      <c r="GO34" s="739"/>
      <c r="GP34" s="739"/>
      <c r="GQ34" s="739" t="s">
        <v>93</v>
      </c>
      <c r="GR34" s="739"/>
      <c r="GS34" s="739"/>
      <c r="GT34" s="739"/>
      <c r="GU34" s="739"/>
      <c r="GV34" s="739"/>
      <c r="GW34" s="739"/>
      <c r="GX34" s="739"/>
      <c r="GY34" s="739"/>
      <c r="GZ34" s="740" t="s">
        <v>93</v>
      </c>
      <c r="HA34" s="739"/>
      <c r="HB34" s="740" t="s">
        <v>93</v>
      </c>
      <c r="HC34" s="740" t="s">
        <v>93</v>
      </c>
      <c r="HD34" s="739"/>
      <c r="HE34" s="740" t="s">
        <v>93</v>
      </c>
      <c r="HF34" s="739" t="s">
        <v>93</v>
      </c>
      <c r="HG34" s="739"/>
      <c r="HH34" s="739"/>
      <c r="HI34" s="739"/>
      <c r="HJ34" s="739"/>
      <c r="HK34" s="739"/>
      <c r="HL34" s="739"/>
      <c r="HM34" s="739"/>
      <c r="HN34" s="739"/>
      <c r="HO34" s="739"/>
      <c r="HP34" s="740" t="s">
        <v>93</v>
      </c>
      <c r="HQ34" s="739"/>
      <c r="HR34" s="739"/>
      <c r="HS34" s="739"/>
      <c r="HT34" s="739" t="s">
        <v>93</v>
      </c>
      <c r="HU34" s="739"/>
      <c r="HV34" s="739"/>
      <c r="HW34" s="739"/>
      <c r="HX34" s="739" t="s">
        <v>93</v>
      </c>
    </row>
    <row r="35" spans="1:232" s="723" customFormat="1" ht="20" customHeight="1">
      <c r="A35" s="745" t="s">
        <v>147</v>
      </c>
      <c r="B35" s="746"/>
      <c r="C35" s="740" t="str">
        <f>IF(ISTEXT(IFERROR(VLOOKUP(A35,职业列表!I3:J10,1,FALSE),0)),"★","")</f>
        <v/>
      </c>
      <c r="D35" s="746"/>
      <c r="E35" s="746"/>
      <c r="F35" s="768" t="s">
        <v>1361</v>
      </c>
      <c r="G35" s="746" t="s">
        <v>1361</v>
      </c>
      <c r="H35" s="746" t="s">
        <v>1361</v>
      </c>
      <c r="I35" s="746"/>
      <c r="J35" s="746"/>
      <c r="K35" s="746" t="s">
        <v>1361</v>
      </c>
      <c r="L35" s="746" t="s">
        <v>1361</v>
      </c>
      <c r="M35" s="746"/>
      <c r="N35" s="746"/>
      <c r="O35" s="746" t="s">
        <v>1361</v>
      </c>
      <c r="P35" s="746" t="s">
        <v>1361</v>
      </c>
      <c r="Q35" s="746" t="s">
        <v>1361</v>
      </c>
      <c r="R35" s="746"/>
      <c r="S35" s="746" t="s">
        <v>1361</v>
      </c>
      <c r="T35" s="746"/>
      <c r="U35" s="746" t="s">
        <v>1361</v>
      </c>
      <c r="V35" s="746" t="s">
        <v>1361</v>
      </c>
      <c r="W35" s="746" t="s">
        <v>93</v>
      </c>
      <c r="X35" s="746"/>
      <c r="Y35" s="746" t="s">
        <v>1361</v>
      </c>
      <c r="Z35" s="746"/>
      <c r="AA35" s="746" t="s">
        <v>1361</v>
      </c>
      <c r="AB35" s="746"/>
      <c r="AC35" s="746"/>
      <c r="AD35" s="746"/>
      <c r="AE35" s="746" t="s">
        <v>93</v>
      </c>
      <c r="AF35" s="746" t="s">
        <v>1361</v>
      </c>
      <c r="AG35" s="746"/>
      <c r="AH35" s="746" t="s">
        <v>1361</v>
      </c>
      <c r="AI35" s="746" t="s">
        <v>1361</v>
      </c>
      <c r="AJ35" s="746" t="s">
        <v>1361</v>
      </c>
      <c r="AK35" s="746" t="s">
        <v>1361</v>
      </c>
      <c r="AL35" s="746"/>
      <c r="AM35" s="746" t="s">
        <v>1361</v>
      </c>
      <c r="AN35" s="746" t="s">
        <v>1361</v>
      </c>
      <c r="AO35" s="746" t="s">
        <v>1361</v>
      </c>
      <c r="AP35" s="746" t="s">
        <v>1361</v>
      </c>
      <c r="AQ35" s="773"/>
      <c r="AR35" s="746" t="s">
        <v>1361</v>
      </c>
      <c r="AS35" s="746"/>
      <c r="AT35" s="746"/>
      <c r="AU35" s="746" t="s">
        <v>1361</v>
      </c>
      <c r="AV35" s="746" t="s">
        <v>1361</v>
      </c>
      <c r="AW35" s="746" t="s">
        <v>1361</v>
      </c>
      <c r="AX35" s="746"/>
      <c r="AY35" s="746" t="s">
        <v>1361</v>
      </c>
      <c r="AZ35" s="746" t="s">
        <v>93</v>
      </c>
      <c r="BA35" s="746"/>
      <c r="BB35" s="746" t="s">
        <v>1361</v>
      </c>
      <c r="BC35" s="746"/>
      <c r="BD35" s="746" t="s">
        <v>1361</v>
      </c>
      <c r="BE35" s="746"/>
      <c r="BF35" s="746"/>
      <c r="BG35" s="746" t="s">
        <v>1361</v>
      </c>
      <c r="BH35" s="746"/>
      <c r="BI35" s="746" t="s">
        <v>1361</v>
      </c>
      <c r="BJ35" s="746" t="s">
        <v>1361</v>
      </c>
      <c r="BK35" s="746" t="s">
        <v>1361</v>
      </c>
      <c r="BL35" s="746" t="s">
        <v>1361</v>
      </c>
      <c r="BM35" s="746"/>
      <c r="BN35" s="746" t="s">
        <v>1361</v>
      </c>
      <c r="BO35" s="746" t="s">
        <v>1361</v>
      </c>
      <c r="BP35" s="746" t="s">
        <v>1361</v>
      </c>
      <c r="BQ35" s="746" t="s">
        <v>93</v>
      </c>
      <c r="BR35" s="746"/>
      <c r="BS35" s="746"/>
      <c r="BT35" s="746"/>
      <c r="BU35" s="773"/>
      <c r="BV35" s="746" t="s">
        <v>1361</v>
      </c>
      <c r="BW35" s="746"/>
      <c r="BX35" s="746"/>
      <c r="BY35" s="746" t="s">
        <v>1361</v>
      </c>
      <c r="BZ35" s="746" t="s">
        <v>1361</v>
      </c>
      <c r="CA35" s="746"/>
      <c r="CB35" s="746"/>
      <c r="CC35" s="746" t="s">
        <v>1361</v>
      </c>
      <c r="CD35" s="746" t="s">
        <v>1361</v>
      </c>
      <c r="CE35" s="746" t="s">
        <v>1361</v>
      </c>
      <c r="CF35" s="746"/>
      <c r="CG35" s="746"/>
      <c r="CH35" s="746" t="s">
        <v>1361</v>
      </c>
      <c r="CI35" s="746" t="s">
        <v>1361</v>
      </c>
      <c r="CJ35" s="746" t="s">
        <v>1361</v>
      </c>
      <c r="CK35" s="746"/>
      <c r="CL35" s="746"/>
      <c r="CM35" s="746" t="s">
        <v>1361</v>
      </c>
      <c r="CN35" s="746" t="s">
        <v>1361</v>
      </c>
      <c r="CO35" s="746" t="s">
        <v>1361</v>
      </c>
      <c r="CP35" s="746"/>
      <c r="CQ35" s="746"/>
      <c r="CR35" s="746" t="s">
        <v>1361</v>
      </c>
      <c r="CS35" s="746"/>
      <c r="CT35" s="746"/>
      <c r="CU35" s="746" t="s">
        <v>1361</v>
      </c>
      <c r="CV35" s="746"/>
      <c r="CW35" s="746" t="s">
        <v>1361</v>
      </c>
      <c r="CX35" s="746" t="s">
        <v>1361</v>
      </c>
      <c r="CY35" s="746" t="s">
        <v>1361</v>
      </c>
      <c r="CZ35" s="746" t="s">
        <v>1361</v>
      </c>
      <c r="DA35" s="746" t="s">
        <v>1361</v>
      </c>
      <c r="DB35" s="746"/>
      <c r="DC35" s="746" t="s">
        <v>1361</v>
      </c>
      <c r="DD35" s="746"/>
      <c r="DE35" s="746"/>
      <c r="DF35" s="746"/>
      <c r="DG35" s="746" t="s">
        <v>1361</v>
      </c>
      <c r="DH35" s="746" t="s">
        <v>1361</v>
      </c>
      <c r="DI35" s="746" t="s">
        <v>1361</v>
      </c>
      <c r="DJ35" s="746" t="s">
        <v>1361</v>
      </c>
      <c r="DK35" s="746" t="s">
        <v>1361</v>
      </c>
      <c r="DL35" s="746" t="s">
        <v>1361</v>
      </c>
      <c r="DM35" s="746"/>
      <c r="DN35" s="746" t="s">
        <v>93</v>
      </c>
      <c r="DO35" s="746" t="s">
        <v>1361</v>
      </c>
      <c r="DP35" s="746" t="s">
        <v>1361</v>
      </c>
      <c r="DQ35" s="746" t="s">
        <v>1361</v>
      </c>
      <c r="DR35" s="746" t="s">
        <v>1361</v>
      </c>
      <c r="DS35" s="746" t="s">
        <v>1361</v>
      </c>
      <c r="DT35" s="746" t="s">
        <v>1361</v>
      </c>
      <c r="DU35" s="746" t="s">
        <v>1361</v>
      </c>
      <c r="DV35" s="746" t="s">
        <v>1361</v>
      </c>
      <c r="DW35" s="746" t="s">
        <v>1361</v>
      </c>
      <c r="DX35" s="746" t="s">
        <v>1361</v>
      </c>
      <c r="DY35" s="746" t="s">
        <v>1361</v>
      </c>
      <c r="DZ35" s="746" t="s">
        <v>1361</v>
      </c>
      <c r="EA35" s="746" t="s">
        <v>1361</v>
      </c>
      <c r="EB35" s="746" t="s">
        <v>1361</v>
      </c>
      <c r="EC35" s="746" t="s">
        <v>1361</v>
      </c>
      <c r="ED35" s="746"/>
      <c r="EE35" s="746" t="s">
        <v>1361</v>
      </c>
      <c r="EF35" s="746"/>
      <c r="EG35" s="746"/>
      <c r="EH35" s="746"/>
      <c r="EI35" s="746" t="s">
        <v>1361</v>
      </c>
      <c r="EJ35" s="746" t="s">
        <v>1361</v>
      </c>
      <c r="EK35" s="746" t="s">
        <v>1361</v>
      </c>
      <c r="EL35" s="746"/>
      <c r="EM35" s="746" t="s">
        <v>1361</v>
      </c>
      <c r="EN35" s="746"/>
      <c r="EO35" s="746" t="s">
        <v>1361</v>
      </c>
      <c r="EP35" s="746"/>
      <c r="EQ35" s="746"/>
      <c r="ER35" s="746" t="s">
        <v>1361</v>
      </c>
      <c r="ES35" s="746" t="s">
        <v>1361</v>
      </c>
      <c r="ET35" s="746" t="s">
        <v>1361</v>
      </c>
      <c r="EU35" s="746" t="s">
        <v>1361</v>
      </c>
      <c r="EV35" s="746" t="s">
        <v>1361</v>
      </c>
      <c r="EW35" s="746"/>
      <c r="EX35" s="746" t="s">
        <v>1361</v>
      </c>
      <c r="EY35" s="746" t="s">
        <v>1361</v>
      </c>
      <c r="EZ35" s="746"/>
      <c r="FA35" s="746" t="s">
        <v>1361</v>
      </c>
      <c r="FB35" s="746" t="s">
        <v>1361</v>
      </c>
      <c r="FC35" s="746"/>
      <c r="FD35" s="746" t="s">
        <v>93</v>
      </c>
      <c r="FE35" s="746" t="s">
        <v>1361</v>
      </c>
      <c r="FF35" s="746" t="s">
        <v>1361</v>
      </c>
      <c r="FG35" s="746" t="s">
        <v>1361</v>
      </c>
      <c r="FH35" s="746"/>
      <c r="FI35" s="746"/>
      <c r="FJ35" s="746"/>
      <c r="FK35" s="746"/>
      <c r="FL35" s="746"/>
      <c r="FM35" s="746" t="s">
        <v>1361</v>
      </c>
      <c r="FN35" s="746"/>
      <c r="FO35" s="746" t="s">
        <v>93</v>
      </c>
      <c r="FP35" s="746"/>
      <c r="FQ35" s="746" t="s">
        <v>1361</v>
      </c>
      <c r="FR35" s="746" t="s">
        <v>1361</v>
      </c>
      <c r="FS35" s="746"/>
      <c r="FT35" s="746"/>
      <c r="FU35" s="746"/>
      <c r="FV35" s="746" t="s">
        <v>1361</v>
      </c>
      <c r="FW35" s="746"/>
      <c r="FX35" s="746"/>
      <c r="FY35" s="746" t="s">
        <v>1361</v>
      </c>
      <c r="FZ35" s="746"/>
      <c r="GA35" s="746"/>
      <c r="GB35" s="746" t="s">
        <v>1361</v>
      </c>
      <c r="GC35" s="746"/>
      <c r="GD35" s="746"/>
      <c r="GE35" s="746"/>
      <c r="GF35" s="746" t="s">
        <v>1361</v>
      </c>
      <c r="GG35" s="746" t="s">
        <v>1361</v>
      </c>
      <c r="GH35" s="746" t="s">
        <v>1361</v>
      </c>
      <c r="GI35" s="746" t="s">
        <v>1361</v>
      </c>
      <c r="GJ35" s="746"/>
      <c r="GK35" s="746"/>
      <c r="GL35" s="746"/>
      <c r="GM35" s="746"/>
      <c r="GN35" s="746" t="s">
        <v>1361</v>
      </c>
      <c r="GO35" s="746" t="s">
        <v>1361</v>
      </c>
      <c r="GP35" s="746" t="s">
        <v>1361</v>
      </c>
      <c r="GQ35" s="746" t="s">
        <v>1361</v>
      </c>
      <c r="GR35" s="746"/>
      <c r="GS35" s="746"/>
      <c r="GT35" s="746" t="s">
        <v>1361</v>
      </c>
      <c r="GU35" s="746"/>
      <c r="GV35" s="746"/>
      <c r="GW35" s="746" t="s">
        <v>1361</v>
      </c>
      <c r="GX35" s="746" t="s">
        <v>1361</v>
      </c>
      <c r="GY35" s="746" t="s">
        <v>1361</v>
      </c>
      <c r="GZ35" s="768" t="s">
        <v>1361</v>
      </c>
      <c r="HA35" s="768" t="s">
        <v>1361</v>
      </c>
      <c r="HB35" s="746"/>
      <c r="HC35" s="768" t="s">
        <v>1361</v>
      </c>
      <c r="HD35" s="746"/>
      <c r="HE35" s="768" t="s">
        <v>1361</v>
      </c>
      <c r="HF35" s="746"/>
      <c r="HG35" s="746" t="s">
        <v>1361</v>
      </c>
      <c r="HH35" s="746" t="s">
        <v>1361</v>
      </c>
      <c r="HI35" s="746"/>
      <c r="HJ35" s="746" t="s">
        <v>1361</v>
      </c>
      <c r="HK35" s="746" t="s">
        <v>1361</v>
      </c>
      <c r="HL35" s="746"/>
      <c r="HM35" s="746" t="s">
        <v>1361</v>
      </c>
      <c r="HN35" s="746" t="s">
        <v>1361</v>
      </c>
      <c r="HO35" s="746" t="s">
        <v>1361</v>
      </c>
      <c r="HP35" s="746" t="s">
        <v>1361</v>
      </c>
      <c r="HQ35" s="746"/>
      <c r="HR35" s="768" t="s">
        <v>1361</v>
      </c>
      <c r="HS35" s="746" t="s">
        <v>1361</v>
      </c>
      <c r="HT35" s="746" t="s">
        <v>1361</v>
      </c>
      <c r="HU35" s="746"/>
      <c r="HV35" s="746" t="s">
        <v>1361</v>
      </c>
      <c r="HW35" s="746"/>
      <c r="HX35" s="746" t="s">
        <v>1361</v>
      </c>
    </row>
    <row r="36" spans="1:232" s="375" customFormat="1" ht="20" customHeight="1">
      <c r="A36" s="738" t="s">
        <v>149</v>
      </c>
      <c r="B36" s="739"/>
      <c r="C36" s="740" t="str">
        <f>IF(ISTEXT(IFERROR(VLOOKUP(A36,职业列表!I3:J10,1,FALSE),0)),"★","")</f>
        <v/>
      </c>
      <c r="D36" s="739"/>
      <c r="E36" s="739" t="s">
        <v>93</v>
      </c>
      <c r="F36" s="739"/>
      <c r="G36" s="739"/>
      <c r="H36" s="739"/>
      <c r="I36" s="739"/>
      <c r="J36" s="739" t="s">
        <v>93</v>
      </c>
      <c r="K36" s="739"/>
      <c r="L36" s="739"/>
      <c r="M36" s="739"/>
      <c r="N36" s="739"/>
      <c r="O36" s="739"/>
      <c r="P36" s="739"/>
      <c r="Q36" s="739" t="s">
        <v>93</v>
      </c>
      <c r="R36" s="739"/>
      <c r="S36" s="739"/>
      <c r="T36" s="739"/>
      <c r="U36" s="739"/>
      <c r="V36" s="739"/>
      <c r="W36" s="739" t="s">
        <v>93</v>
      </c>
      <c r="X36" s="739"/>
      <c r="Y36" s="739"/>
      <c r="Z36" s="739"/>
      <c r="AA36" s="739"/>
      <c r="AB36" s="739" t="s">
        <v>93</v>
      </c>
      <c r="AC36" s="739"/>
      <c r="AD36" s="739"/>
      <c r="AE36" s="739"/>
      <c r="AF36" s="739"/>
      <c r="AG36" s="739"/>
      <c r="AH36" s="739"/>
      <c r="AI36" s="739"/>
      <c r="AJ36" s="739"/>
      <c r="AK36" s="739"/>
      <c r="AL36" s="739"/>
      <c r="AM36" s="739"/>
      <c r="AN36" s="739" t="s">
        <v>93</v>
      </c>
      <c r="AO36" s="739"/>
      <c r="AP36" s="739"/>
      <c r="AQ36" s="739"/>
      <c r="AR36" s="739"/>
      <c r="AS36" s="739"/>
      <c r="AT36" s="739"/>
      <c r="AU36" s="739" t="s">
        <v>93</v>
      </c>
      <c r="AV36" s="739"/>
      <c r="AW36" s="739"/>
      <c r="AX36" s="739"/>
      <c r="AY36" s="739"/>
      <c r="AZ36" s="739"/>
      <c r="BA36" s="739"/>
      <c r="BB36" s="739"/>
      <c r="BC36" s="739" t="s">
        <v>93</v>
      </c>
      <c r="BD36" s="744"/>
      <c r="BE36" s="739"/>
      <c r="BF36" s="739" t="s">
        <v>93</v>
      </c>
      <c r="BG36" s="739"/>
      <c r="BH36" s="739"/>
      <c r="BI36" s="739"/>
      <c r="BJ36" s="739"/>
      <c r="BK36" s="739"/>
      <c r="BL36" s="739"/>
      <c r="BM36" s="739" t="s">
        <v>93</v>
      </c>
      <c r="BN36" s="739"/>
      <c r="BO36" s="739"/>
      <c r="BP36" s="739"/>
      <c r="BQ36" s="739"/>
      <c r="BR36" s="739"/>
      <c r="BS36" s="739"/>
      <c r="BT36" s="739" t="s">
        <v>93</v>
      </c>
      <c r="BU36" s="739" t="s">
        <v>93</v>
      </c>
      <c r="BV36" s="739"/>
      <c r="BW36" s="739"/>
      <c r="BX36" s="739"/>
      <c r="BY36" s="739"/>
      <c r="BZ36" s="739"/>
      <c r="CA36" s="739" t="s">
        <v>93</v>
      </c>
      <c r="CB36" s="739"/>
      <c r="CC36" s="739"/>
      <c r="CD36" s="739"/>
      <c r="CE36" s="739"/>
      <c r="CF36" s="739"/>
      <c r="CG36" s="739"/>
      <c r="CH36" s="739"/>
      <c r="CI36" s="739"/>
      <c r="CJ36" s="739"/>
      <c r="CK36" s="739"/>
      <c r="CL36" s="739"/>
      <c r="CM36" s="739"/>
      <c r="CN36" s="739"/>
      <c r="CO36" s="739"/>
      <c r="CP36" s="739"/>
      <c r="CQ36" s="739"/>
      <c r="CR36" s="739"/>
      <c r="CS36" s="739"/>
      <c r="CT36" s="739"/>
      <c r="CU36" s="739"/>
      <c r="CV36" s="739"/>
      <c r="CW36" s="739"/>
      <c r="CX36" s="739"/>
      <c r="CY36" s="739"/>
      <c r="CZ36" s="739"/>
      <c r="DA36" s="739"/>
      <c r="DB36" s="739"/>
      <c r="DC36" s="739"/>
      <c r="DD36" s="739"/>
      <c r="DE36" s="739" t="s">
        <v>93</v>
      </c>
      <c r="DF36" s="739"/>
      <c r="DG36" s="739"/>
      <c r="DH36" s="739"/>
      <c r="DI36" s="739"/>
      <c r="DJ36" s="739"/>
      <c r="DK36" s="739"/>
      <c r="DL36" s="739"/>
      <c r="DM36" s="739"/>
      <c r="DN36" s="739"/>
      <c r="DO36" s="739" t="s">
        <v>93</v>
      </c>
      <c r="DP36" s="739" t="s">
        <v>93</v>
      </c>
      <c r="DQ36" s="739" t="s">
        <v>93</v>
      </c>
      <c r="DR36" s="739" t="s">
        <v>93</v>
      </c>
      <c r="DS36" s="739"/>
      <c r="DT36" s="739"/>
      <c r="DU36" s="739"/>
      <c r="DV36" s="739"/>
      <c r="DW36" s="739"/>
      <c r="DX36" s="739"/>
      <c r="DY36" s="739"/>
      <c r="DZ36" s="739"/>
      <c r="EA36" s="739"/>
      <c r="EB36" s="739"/>
      <c r="EC36" s="739"/>
      <c r="ED36" s="739"/>
      <c r="EE36" s="739"/>
      <c r="EF36" s="739"/>
      <c r="EG36" s="739"/>
      <c r="EH36" s="739"/>
      <c r="EI36" s="739"/>
      <c r="EJ36" s="739" t="s">
        <v>1359</v>
      </c>
      <c r="EK36" s="739"/>
      <c r="EL36" s="739"/>
      <c r="EM36" s="739"/>
      <c r="EN36" s="739" t="s">
        <v>93</v>
      </c>
      <c r="EO36" s="739"/>
      <c r="EP36" s="739"/>
      <c r="EQ36" s="739"/>
      <c r="ER36" s="739"/>
      <c r="ES36" s="739"/>
      <c r="ET36" s="739"/>
      <c r="EU36" s="739"/>
      <c r="EV36" s="739"/>
      <c r="EW36" s="739"/>
      <c r="EX36" s="739"/>
      <c r="EY36" s="739"/>
      <c r="EZ36" s="739"/>
      <c r="FA36" s="739"/>
      <c r="FB36" s="739" t="s">
        <v>93</v>
      </c>
      <c r="FC36" s="739"/>
      <c r="FD36" s="739"/>
      <c r="FE36" s="739"/>
      <c r="FF36" s="739"/>
      <c r="FG36" s="739"/>
      <c r="FH36" s="739"/>
      <c r="FI36" s="739" t="s">
        <v>93</v>
      </c>
      <c r="FJ36" s="739"/>
      <c r="FK36" s="739"/>
      <c r="FL36" s="739"/>
      <c r="FM36" s="739"/>
      <c r="FN36" s="739"/>
      <c r="FO36" s="739" t="s">
        <v>93</v>
      </c>
      <c r="FP36" s="739"/>
      <c r="FQ36" s="739"/>
      <c r="FR36" s="739"/>
      <c r="FS36" s="739"/>
      <c r="FT36" s="739" t="s">
        <v>93</v>
      </c>
      <c r="FU36" s="739" t="s">
        <v>93</v>
      </c>
      <c r="FV36" s="739"/>
      <c r="FW36" s="739"/>
      <c r="FX36" s="739" t="s">
        <v>93</v>
      </c>
      <c r="FY36" s="739"/>
      <c r="FZ36" s="739"/>
      <c r="GA36" s="739"/>
      <c r="GB36" s="739"/>
      <c r="GC36" s="739"/>
      <c r="GD36" s="739"/>
      <c r="GE36" s="739" t="s">
        <v>93</v>
      </c>
      <c r="GF36" s="739"/>
      <c r="GG36" s="739"/>
      <c r="GH36" s="739"/>
      <c r="GI36" s="739"/>
      <c r="GJ36" s="739" t="s">
        <v>93</v>
      </c>
      <c r="GK36" s="739"/>
      <c r="GL36" s="739"/>
      <c r="GM36" s="739"/>
      <c r="GN36" s="739"/>
      <c r="GO36" s="739"/>
      <c r="GP36" s="739"/>
      <c r="GQ36" s="739"/>
      <c r="GR36" s="739"/>
      <c r="GS36" s="739"/>
      <c r="GT36" s="739"/>
      <c r="GU36" s="739"/>
      <c r="GV36" s="739"/>
      <c r="GW36" s="739"/>
      <c r="GX36" s="739"/>
      <c r="GY36" s="739"/>
      <c r="GZ36" s="739"/>
      <c r="HA36" s="739"/>
      <c r="HB36" s="739"/>
      <c r="HC36" s="739"/>
      <c r="HD36" s="739" t="s">
        <v>93</v>
      </c>
      <c r="HE36" s="739"/>
      <c r="HF36" s="739"/>
      <c r="HG36" s="739"/>
      <c r="HH36" s="739"/>
      <c r="HI36" s="739"/>
      <c r="HJ36" s="739"/>
      <c r="HK36" s="739"/>
      <c r="HL36" s="739"/>
      <c r="HM36" s="739"/>
      <c r="HN36" s="739"/>
      <c r="HO36" s="739"/>
      <c r="HP36" s="739"/>
      <c r="HQ36" s="739"/>
      <c r="HR36" s="739"/>
      <c r="HS36" s="739"/>
      <c r="HT36" s="739"/>
      <c r="HU36" s="739"/>
      <c r="HV36" s="739"/>
      <c r="HW36" s="739"/>
      <c r="HX36" s="739"/>
    </row>
    <row r="37" spans="1:232" s="727" customFormat="1" ht="20" customHeight="1">
      <c r="A37" s="756" t="s">
        <v>151</v>
      </c>
      <c r="B37" s="757"/>
      <c r="C37" s="740" t="str">
        <f>IF(ISTEXT(IFERROR(VLOOKUP(A37,职业列表!I3:J10,1,FALSE),0)),"★","")</f>
        <v/>
      </c>
      <c r="D37" s="757"/>
      <c r="E37" s="757"/>
      <c r="F37" s="757"/>
      <c r="G37" s="757"/>
      <c r="H37" s="757"/>
      <c r="I37" s="757" t="s">
        <v>93</v>
      </c>
      <c r="J37" s="757"/>
      <c r="K37" s="757" t="s">
        <v>93</v>
      </c>
      <c r="L37" s="757"/>
      <c r="M37" s="757" t="s">
        <v>93</v>
      </c>
      <c r="N37" s="757"/>
      <c r="O37" s="757" t="s">
        <v>93</v>
      </c>
      <c r="P37" s="757"/>
      <c r="Q37" s="757"/>
      <c r="R37" s="757" t="s">
        <v>93</v>
      </c>
      <c r="S37" s="757"/>
      <c r="T37" s="757" t="s">
        <v>1360</v>
      </c>
      <c r="U37" s="757" t="s">
        <v>93</v>
      </c>
      <c r="V37" s="757"/>
      <c r="W37" s="757"/>
      <c r="X37" s="757" t="s">
        <v>93</v>
      </c>
      <c r="Y37" s="757" t="s">
        <v>93</v>
      </c>
      <c r="Z37" s="757"/>
      <c r="AA37" s="757"/>
      <c r="AB37" s="757"/>
      <c r="AC37" s="757"/>
      <c r="AD37" s="757"/>
      <c r="AE37" s="757"/>
      <c r="AF37" s="757"/>
      <c r="AG37" s="757"/>
      <c r="AH37" s="757" t="s">
        <v>1359</v>
      </c>
      <c r="AI37" s="757"/>
      <c r="AJ37" s="757"/>
      <c r="AK37" s="757"/>
      <c r="AL37" s="757"/>
      <c r="AM37" s="757"/>
      <c r="AN37" s="757"/>
      <c r="AO37" s="757"/>
      <c r="AP37" s="757"/>
      <c r="AQ37" s="776"/>
      <c r="AR37" s="757" t="s">
        <v>93</v>
      </c>
      <c r="AS37" s="776"/>
      <c r="AT37" s="757" t="s">
        <v>1398</v>
      </c>
      <c r="AU37" s="757"/>
      <c r="AV37" s="757"/>
      <c r="AW37" s="757"/>
      <c r="AX37" s="757"/>
      <c r="AY37" s="757"/>
      <c r="AZ37" s="757"/>
      <c r="BA37" s="757"/>
      <c r="BB37" s="757"/>
      <c r="BC37" s="757" t="s">
        <v>93</v>
      </c>
      <c r="BD37" s="776"/>
      <c r="BE37" s="757"/>
      <c r="BF37" s="757"/>
      <c r="BG37" s="757" t="s">
        <v>93</v>
      </c>
      <c r="BH37" s="757" t="s">
        <v>1398</v>
      </c>
      <c r="BI37" s="757"/>
      <c r="BJ37" s="757"/>
      <c r="BK37" s="757"/>
      <c r="BL37" s="757" t="s">
        <v>93</v>
      </c>
      <c r="BM37" s="757"/>
      <c r="BN37" s="757"/>
      <c r="BO37" s="757"/>
      <c r="BP37" s="757"/>
      <c r="BQ37" s="757"/>
      <c r="BR37" s="757" t="s">
        <v>93</v>
      </c>
      <c r="BS37" s="757"/>
      <c r="BT37" s="757"/>
      <c r="BU37" s="757"/>
      <c r="BV37" s="757"/>
      <c r="BW37" s="757" t="s">
        <v>93</v>
      </c>
      <c r="BX37" s="757"/>
      <c r="BY37" s="757"/>
      <c r="BZ37" s="757"/>
      <c r="CA37" s="757" t="s">
        <v>93</v>
      </c>
      <c r="CB37" s="757" t="s">
        <v>93</v>
      </c>
      <c r="CC37" s="757"/>
      <c r="CD37" s="757"/>
      <c r="CE37" s="757" t="s">
        <v>93</v>
      </c>
      <c r="CF37" s="757"/>
      <c r="CG37" s="757" t="s">
        <v>93</v>
      </c>
      <c r="CH37" s="757" t="s">
        <v>1398</v>
      </c>
      <c r="CI37" s="776"/>
      <c r="CJ37" s="757" t="s">
        <v>93</v>
      </c>
      <c r="CK37" s="757"/>
      <c r="CL37" s="757"/>
      <c r="CM37" s="757"/>
      <c r="CN37" s="757"/>
      <c r="CO37" s="757"/>
      <c r="CP37" s="757" t="s">
        <v>93</v>
      </c>
      <c r="CQ37" s="757"/>
      <c r="CR37" s="757"/>
      <c r="CS37" s="757" t="s">
        <v>93</v>
      </c>
      <c r="CT37" s="757"/>
      <c r="CU37" s="757" t="s">
        <v>93</v>
      </c>
      <c r="CV37" s="757"/>
      <c r="CW37" s="757"/>
      <c r="CX37" s="757"/>
      <c r="CY37" s="757" t="s">
        <v>93</v>
      </c>
      <c r="CZ37" s="757"/>
      <c r="DA37" s="757"/>
      <c r="DB37" s="781" t="s">
        <v>1362</v>
      </c>
      <c r="DC37" s="757" t="s">
        <v>93</v>
      </c>
      <c r="DD37" s="757" t="s">
        <v>1359</v>
      </c>
      <c r="DE37" s="757"/>
      <c r="DF37" s="757"/>
      <c r="DG37" s="757"/>
      <c r="DH37" s="757"/>
      <c r="DI37" s="757"/>
      <c r="DJ37" s="757" t="s">
        <v>93</v>
      </c>
      <c r="DK37" s="757" t="s">
        <v>93</v>
      </c>
      <c r="DL37" s="757"/>
      <c r="DM37" s="757"/>
      <c r="DN37" s="757" t="s">
        <v>1399</v>
      </c>
      <c r="DO37" s="757" t="s">
        <v>93</v>
      </c>
      <c r="DP37" s="757"/>
      <c r="DQ37" s="757"/>
      <c r="DR37" s="757" t="s">
        <v>93</v>
      </c>
      <c r="DS37" s="757" t="s">
        <v>93</v>
      </c>
      <c r="DT37" s="757"/>
      <c r="DU37" s="757" t="s">
        <v>1398</v>
      </c>
      <c r="DV37" s="757"/>
      <c r="DW37" s="757" t="s">
        <v>1400</v>
      </c>
      <c r="DX37" s="757" t="s">
        <v>93</v>
      </c>
      <c r="DY37" s="757" t="s">
        <v>93</v>
      </c>
      <c r="DZ37" s="757"/>
      <c r="EA37" s="757"/>
      <c r="EB37" s="757"/>
      <c r="EC37" s="757"/>
      <c r="ED37" s="757"/>
      <c r="EE37" s="757"/>
      <c r="EF37" s="757" t="s">
        <v>1398</v>
      </c>
      <c r="EG37" s="757" t="s">
        <v>1398</v>
      </c>
      <c r="EH37" s="757" t="s">
        <v>1398</v>
      </c>
      <c r="EI37" s="757"/>
      <c r="EJ37" s="757" t="s">
        <v>93</v>
      </c>
      <c r="EK37" s="757"/>
      <c r="EL37" s="757"/>
      <c r="EM37" s="757"/>
      <c r="EN37" s="757" t="s">
        <v>93</v>
      </c>
      <c r="EO37" s="757"/>
      <c r="EP37" s="757"/>
      <c r="EQ37" s="757"/>
      <c r="ER37" s="757"/>
      <c r="ES37" s="757"/>
      <c r="ET37" s="757"/>
      <c r="EU37" s="757"/>
      <c r="EV37" s="757"/>
      <c r="EW37" s="757"/>
      <c r="EX37" s="757" t="s">
        <v>93</v>
      </c>
      <c r="EY37" s="757"/>
      <c r="EZ37" s="757"/>
      <c r="FA37" s="757"/>
      <c r="FB37" s="757"/>
      <c r="FC37" s="757"/>
      <c r="FD37" s="757"/>
      <c r="FE37" s="757" t="s">
        <v>1401</v>
      </c>
      <c r="FF37" s="757"/>
      <c r="FG37" s="757"/>
      <c r="FH37" s="757"/>
      <c r="FI37" s="757" t="s">
        <v>93</v>
      </c>
      <c r="FJ37" s="757"/>
      <c r="FK37" s="757"/>
      <c r="FL37" s="757" t="s">
        <v>1401</v>
      </c>
      <c r="FM37" s="757"/>
      <c r="FN37" s="757"/>
      <c r="FO37" s="757"/>
      <c r="FP37" s="757"/>
      <c r="FQ37" s="757" t="s">
        <v>93</v>
      </c>
      <c r="FR37" s="757" t="s">
        <v>93</v>
      </c>
      <c r="FS37" s="757" t="s">
        <v>93</v>
      </c>
      <c r="FT37" s="757"/>
      <c r="FU37" s="757"/>
      <c r="FV37" s="757" t="s">
        <v>93</v>
      </c>
      <c r="FW37" s="757"/>
      <c r="FX37" s="757" t="s">
        <v>93</v>
      </c>
      <c r="FY37" s="757"/>
      <c r="FZ37" s="757"/>
      <c r="GA37" s="757"/>
      <c r="GB37" s="757"/>
      <c r="GC37" s="757" t="s">
        <v>1362</v>
      </c>
      <c r="GD37" s="757" t="s">
        <v>1362</v>
      </c>
      <c r="GE37" s="757" t="s">
        <v>93</v>
      </c>
      <c r="GF37" s="757" t="s">
        <v>93</v>
      </c>
      <c r="GG37" s="757"/>
      <c r="GH37" s="757"/>
      <c r="GI37" s="757"/>
      <c r="GJ37" s="757"/>
      <c r="GK37" s="757"/>
      <c r="GL37" s="757"/>
      <c r="GM37" s="757"/>
      <c r="GN37" s="757"/>
      <c r="GO37" s="757"/>
      <c r="GP37" s="757"/>
      <c r="GQ37" s="757"/>
      <c r="GR37" s="757"/>
      <c r="GS37" s="757" t="s">
        <v>93</v>
      </c>
      <c r="GT37" s="757"/>
      <c r="GU37" s="757" t="s">
        <v>1362</v>
      </c>
      <c r="GV37" s="757"/>
      <c r="GW37" s="757"/>
      <c r="GX37" s="757"/>
      <c r="GY37" s="757" t="s">
        <v>93</v>
      </c>
      <c r="GZ37" s="781" t="s">
        <v>1402</v>
      </c>
      <c r="HA37" s="781" t="s">
        <v>1402</v>
      </c>
      <c r="HB37" s="781" t="s">
        <v>1402</v>
      </c>
      <c r="HC37" s="781" t="s">
        <v>1402</v>
      </c>
      <c r="HD37" s="757"/>
      <c r="HE37" s="781" t="s">
        <v>1398</v>
      </c>
      <c r="HF37" s="757" t="s">
        <v>93</v>
      </c>
      <c r="HG37" s="757"/>
      <c r="HH37" s="757"/>
      <c r="HI37" s="757"/>
      <c r="HJ37" s="757"/>
      <c r="HK37" s="757" t="s">
        <v>93</v>
      </c>
      <c r="HL37" s="757" t="s">
        <v>93</v>
      </c>
      <c r="HM37" s="757"/>
      <c r="HN37" s="757" t="s">
        <v>1402</v>
      </c>
      <c r="HO37" s="757"/>
      <c r="HP37" s="781" t="s">
        <v>1398</v>
      </c>
      <c r="HQ37" s="757" t="s">
        <v>1398</v>
      </c>
      <c r="HR37" s="757"/>
      <c r="HS37" s="781" t="s">
        <v>1402</v>
      </c>
      <c r="HT37" s="757"/>
      <c r="HU37" s="781" t="s">
        <v>1362</v>
      </c>
      <c r="HV37" s="757"/>
      <c r="HW37" s="757"/>
      <c r="HX37" s="757" t="s">
        <v>1402</v>
      </c>
    </row>
    <row r="38" spans="1:232" s="375" customFormat="1" ht="20" customHeight="1">
      <c r="A38" s="743" t="s">
        <v>153</v>
      </c>
      <c r="B38" s="739"/>
      <c r="C38" s="740" t="str">
        <f>IF(ISTEXT(IFERROR(VLOOKUP(A38,职业列表!I3:J10,1,FALSE),0)),"★","")</f>
        <v/>
      </c>
      <c r="D38" s="744"/>
      <c r="E38" s="744"/>
      <c r="F38" s="744"/>
      <c r="G38" s="744"/>
      <c r="H38" s="744"/>
      <c r="I38" s="739" t="s">
        <v>93</v>
      </c>
      <c r="J38" s="744"/>
      <c r="K38" s="739" t="s">
        <v>93</v>
      </c>
      <c r="L38" s="744"/>
      <c r="M38" s="739" t="s">
        <v>93</v>
      </c>
      <c r="N38" s="744"/>
      <c r="O38" s="739" t="s">
        <v>93</v>
      </c>
      <c r="P38" s="744"/>
      <c r="Q38" s="744"/>
      <c r="R38" s="739" t="s">
        <v>93</v>
      </c>
      <c r="S38" s="744"/>
      <c r="T38" s="739" t="s">
        <v>1360</v>
      </c>
      <c r="U38" s="739" t="s">
        <v>93</v>
      </c>
      <c r="V38" s="744"/>
      <c r="W38" s="744"/>
      <c r="X38" s="739" t="s">
        <v>93</v>
      </c>
      <c r="Y38" s="739" t="s">
        <v>93</v>
      </c>
      <c r="Z38" s="744"/>
      <c r="AA38" s="744"/>
      <c r="AB38" s="744"/>
      <c r="AC38" s="744"/>
      <c r="AD38" s="744"/>
      <c r="AE38" s="744"/>
      <c r="AF38" s="744"/>
      <c r="AG38" s="744"/>
      <c r="AH38" s="739" t="s">
        <v>1359</v>
      </c>
      <c r="AI38" s="744"/>
      <c r="AJ38" s="744"/>
      <c r="AK38" s="744"/>
      <c r="AL38" s="744"/>
      <c r="AM38" s="744"/>
      <c r="AN38" s="744"/>
      <c r="AO38" s="744"/>
      <c r="AP38" s="744"/>
      <c r="AQ38" s="744"/>
      <c r="AR38" s="739" t="s">
        <v>93</v>
      </c>
      <c r="AS38" s="744"/>
      <c r="AT38" s="744"/>
      <c r="AU38" s="744"/>
      <c r="AV38" s="744"/>
      <c r="AW38" s="744"/>
      <c r="AX38" s="744"/>
      <c r="AY38" s="744"/>
      <c r="AZ38" s="744"/>
      <c r="BA38" s="744"/>
      <c r="BB38" s="744"/>
      <c r="BC38" s="739" t="s">
        <v>93</v>
      </c>
      <c r="BD38" s="744"/>
      <c r="BE38" s="744"/>
      <c r="BF38" s="744"/>
      <c r="BG38" s="739" t="s">
        <v>93</v>
      </c>
      <c r="BH38" s="744"/>
      <c r="BI38" s="744"/>
      <c r="BJ38" s="744"/>
      <c r="BK38" s="744"/>
      <c r="BL38" s="744"/>
      <c r="BM38" s="744"/>
      <c r="BN38" s="744"/>
      <c r="BO38" s="744"/>
      <c r="BP38" s="744"/>
      <c r="BQ38" s="744"/>
      <c r="BR38" s="739"/>
      <c r="BS38" s="744"/>
      <c r="BT38" s="744"/>
      <c r="BU38" s="744"/>
      <c r="BV38" s="744"/>
      <c r="BW38" s="739" t="s">
        <v>93</v>
      </c>
      <c r="BX38" s="744"/>
      <c r="BY38" s="744"/>
      <c r="BZ38" s="744"/>
      <c r="CA38" s="739" t="s">
        <v>93</v>
      </c>
      <c r="CB38" s="739" t="s">
        <v>93</v>
      </c>
      <c r="CC38" s="744"/>
      <c r="CD38" s="744"/>
      <c r="CE38" s="739" t="s">
        <v>93</v>
      </c>
      <c r="CF38" s="744"/>
      <c r="CG38" s="739" t="s">
        <v>93</v>
      </c>
      <c r="CH38" s="744"/>
      <c r="CI38" s="744"/>
      <c r="CJ38" s="739" t="s">
        <v>93</v>
      </c>
      <c r="CK38" s="744"/>
      <c r="CL38" s="744"/>
      <c r="CM38" s="744"/>
      <c r="CN38" s="744"/>
      <c r="CO38" s="744"/>
      <c r="CP38" s="739" t="s">
        <v>93</v>
      </c>
      <c r="CQ38" s="744"/>
      <c r="CR38" s="744"/>
      <c r="CS38" s="739" t="s">
        <v>93</v>
      </c>
      <c r="CT38" s="744"/>
      <c r="CU38" s="739" t="s">
        <v>93</v>
      </c>
      <c r="CV38" s="744"/>
      <c r="CW38" s="744"/>
      <c r="CX38" s="744"/>
      <c r="CY38" s="739" t="s">
        <v>93</v>
      </c>
      <c r="CZ38" s="744"/>
      <c r="DA38" s="744"/>
      <c r="DB38" s="740"/>
      <c r="DC38" s="739" t="s">
        <v>93</v>
      </c>
      <c r="DD38" s="739" t="s">
        <v>1359</v>
      </c>
      <c r="DE38" s="744"/>
      <c r="DF38" s="744"/>
      <c r="DG38" s="744"/>
      <c r="DH38" s="744"/>
      <c r="DI38" s="744"/>
      <c r="DJ38" s="739" t="s">
        <v>93</v>
      </c>
      <c r="DK38" s="739" t="s">
        <v>93</v>
      </c>
      <c r="DL38" s="744"/>
      <c r="DM38" s="744"/>
      <c r="DN38" s="739" t="s">
        <v>1399</v>
      </c>
      <c r="DO38" s="739"/>
      <c r="DP38" s="739"/>
      <c r="DQ38" s="739"/>
      <c r="DR38" s="739"/>
      <c r="DS38" s="739" t="s">
        <v>93</v>
      </c>
      <c r="DT38" s="739"/>
      <c r="DU38" s="739"/>
      <c r="DV38" s="739"/>
      <c r="DW38" s="739"/>
      <c r="DX38" s="739" t="s">
        <v>93</v>
      </c>
      <c r="DY38" s="739" t="s">
        <v>93</v>
      </c>
      <c r="DZ38" s="739"/>
      <c r="EA38" s="739"/>
      <c r="EB38" s="739"/>
      <c r="EC38" s="739"/>
      <c r="ED38" s="739"/>
      <c r="EE38" s="739"/>
      <c r="EF38" s="739"/>
      <c r="EG38" s="739"/>
      <c r="EH38" s="739"/>
      <c r="EI38" s="739"/>
      <c r="EJ38" s="739" t="s">
        <v>93</v>
      </c>
      <c r="EK38" s="739"/>
      <c r="EL38" s="739"/>
      <c r="EM38" s="739"/>
      <c r="EN38" s="739" t="s">
        <v>93</v>
      </c>
      <c r="EO38" s="739"/>
      <c r="EP38" s="739"/>
      <c r="EQ38" s="739"/>
      <c r="ER38" s="739"/>
      <c r="ES38" s="739"/>
      <c r="ET38" s="739"/>
      <c r="EU38" s="739"/>
      <c r="EV38" s="739"/>
      <c r="EW38" s="739"/>
      <c r="EX38" s="739" t="s">
        <v>93</v>
      </c>
      <c r="EY38" s="739"/>
      <c r="EZ38" s="739"/>
      <c r="FA38" s="739"/>
      <c r="FB38" s="739"/>
      <c r="FC38" s="739"/>
      <c r="FD38" s="739"/>
      <c r="FE38" s="739" t="s">
        <v>1403</v>
      </c>
      <c r="FF38" s="739"/>
      <c r="FG38" s="739"/>
      <c r="FH38" s="739"/>
      <c r="FI38" s="739"/>
      <c r="FJ38" s="739"/>
      <c r="FK38" s="739"/>
      <c r="FL38" s="739"/>
      <c r="FM38" s="739"/>
      <c r="FN38" s="739"/>
      <c r="FO38" s="739"/>
      <c r="FP38" s="739"/>
      <c r="FQ38" s="739" t="s">
        <v>93</v>
      </c>
      <c r="FR38" s="739" t="s">
        <v>93</v>
      </c>
      <c r="FS38" s="739"/>
      <c r="FT38" s="739"/>
      <c r="FU38" s="739"/>
      <c r="FV38" s="739" t="s">
        <v>93</v>
      </c>
      <c r="FW38" s="739"/>
      <c r="FX38" s="739" t="s">
        <v>93</v>
      </c>
      <c r="FY38" s="739"/>
      <c r="FZ38" s="739"/>
      <c r="GA38" s="739"/>
      <c r="GB38" s="739"/>
      <c r="GC38" s="739"/>
      <c r="GD38" s="739"/>
      <c r="GE38" s="739" t="s">
        <v>93</v>
      </c>
      <c r="GF38" s="739" t="s">
        <v>93</v>
      </c>
      <c r="GG38" s="739"/>
      <c r="GH38" s="739"/>
      <c r="GI38" s="739"/>
      <c r="GJ38" s="739"/>
      <c r="GK38" s="739"/>
      <c r="GL38" s="739"/>
      <c r="GM38" s="739"/>
      <c r="GN38" s="739"/>
      <c r="GO38" s="739"/>
      <c r="GP38" s="739"/>
      <c r="GQ38" s="739"/>
      <c r="GR38" s="739"/>
      <c r="GS38" s="739" t="s">
        <v>93</v>
      </c>
      <c r="GT38" s="739"/>
      <c r="GU38" s="739"/>
      <c r="GV38" s="739"/>
      <c r="GW38" s="739"/>
      <c r="GX38" s="739"/>
      <c r="GY38" s="744"/>
      <c r="GZ38" s="744"/>
      <c r="HA38" s="740" t="s">
        <v>1398</v>
      </c>
      <c r="HB38" s="744"/>
      <c r="HC38" s="739"/>
      <c r="HD38" s="744"/>
      <c r="HE38" s="739"/>
      <c r="HF38" s="744"/>
      <c r="HG38" s="739"/>
      <c r="HH38" s="744"/>
      <c r="HI38" s="744"/>
      <c r="HJ38" s="739"/>
      <c r="HK38" s="744"/>
      <c r="HL38" s="739"/>
      <c r="HM38" s="739"/>
      <c r="HN38" s="744"/>
      <c r="HO38" s="744"/>
      <c r="HP38" s="739"/>
      <c r="HQ38" s="739"/>
      <c r="HR38" s="744"/>
      <c r="HS38" s="744"/>
      <c r="HT38" s="744"/>
      <c r="HU38" s="744"/>
      <c r="HV38" s="744"/>
      <c r="HW38" s="744"/>
      <c r="HX38" s="744"/>
    </row>
    <row r="39" spans="1:232" s="375" customFormat="1" ht="20" customHeight="1">
      <c r="A39" s="743" t="s">
        <v>155</v>
      </c>
      <c r="B39" s="739"/>
      <c r="C39" s="739" t="str">
        <f>IF(ISTEXT(IFERROR(VLOOKUP(A39,职业列表!I3:J10,1,FALSE),0)),"★","")</f>
        <v/>
      </c>
      <c r="D39" s="744"/>
      <c r="E39" s="744"/>
      <c r="F39" s="744"/>
      <c r="G39" s="744"/>
      <c r="H39" s="744"/>
      <c r="I39" s="739" t="s">
        <v>93</v>
      </c>
      <c r="J39" s="744"/>
      <c r="K39" s="739" t="s">
        <v>93</v>
      </c>
      <c r="L39" s="744"/>
      <c r="M39" s="739" t="s">
        <v>93</v>
      </c>
      <c r="N39" s="744"/>
      <c r="O39" s="739" t="s">
        <v>93</v>
      </c>
      <c r="P39" s="744"/>
      <c r="Q39" s="744"/>
      <c r="R39" s="739" t="s">
        <v>93</v>
      </c>
      <c r="S39" s="744"/>
      <c r="T39" s="739" t="s">
        <v>1360</v>
      </c>
      <c r="U39" s="739" t="s">
        <v>93</v>
      </c>
      <c r="V39" s="744"/>
      <c r="W39" s="744"/>
      <c r="X39" s="739" t="s">
        <v>93</v>
      </c>
      <c r="Y39" s="739" t="s">
        <v>93</v>
      </c>
      <c r="Z39" s="744"/>
      <c r="AA39" s="744"/>
      <c r="AB39" s="744"/>
      <c r="AC39" s="744"/>
      <c r="AD39" s="744"/>
      <c r="AE39" s="744"/>
      <c r="AF39" s="744"/>
      <c r="AG39" s="744"/>
      <c r="AH39" s="739" t="s">
        <v>1359</v>
      </c>
      <c r="AI39" s="744"/>
      <c r="AJ39" s="744"/>
      <c r="AK39" s="744"/>
      <c r="AL39" s="744"/>
      <c r="AM39" s="744"/>
      <c r="AN39" s="744"/>
      <c r="AO39" s="744"/>
      <c r="AP39" s="744"/>
      <c r="AQ39" s="744"/>
      <c r="AR39" s="739" t="s">
        <v>93</v>
      </c>
      <c r="AS39" s="744"/>
      <c r="AT39" s="744"/>
      <c r="AU39" s="744"/>
      <c r="AV39" s="744"/>
      <c r="AW39" s="744"/>
      <c r="AX39" s="744"/>
      <c r="AY39" s="744"/>
      <c r="AZ39" s="744"/>
      <c r="BA39" s="744"/>
      <c r="BB39" s="744"/>
      <c r="BC39" s="739" t="s">
        <v>93</v>
      </c>
      <c r="BD39" s="744"/>
      <c r="BE39" s="744"/>
      <c r="BF39" s="744"/>
      <c r="BG39" s="739" t="s">
        <v>93</v>
      </c>
      <c r="BH39" s="744"/>
      <c r="BI39" s="744"/>
      <c r="BJ39" s="744"/>
      <c r="BK39" s="744"/>
      <c r="BL39" s="744"/>
      <c r="BM39" s="744"/>
      <c r="BN39" s="744"/>
      <c r="BO39" s="744"/>
      <c r="BP39" s="744"/>
      <c r="BQ39" s="744"/>
      <c r="BR39" s="739"/>
      <c r="BS39" s="744"/>
      <c r="BT39" s="744"/>
      <c r="BU39" s="744"/>
      <c r="BV39" s="744"/>
      <c r="BW39" s="739" t="s">
        <v>93</v>
      </c>
      <c r="BX39" s="744"/>
      <c r="BY39" s="744"/>
      <c r="BZ39" s="744"/>
      <c r="CA39" s="739" t="s">
        <v>93</v>
      </c>
      <c r="CB39" s="739" t="s">
        <v>93</v>
      </c>
      <c r="CC39" s="744"/>
      <c r="CD39" s="744"/>
      <c r="CE39" s="739" t="s">
        <v>93</v>
      </c>
      <c r="CF39" s="744"/>
      <c r="CG39" s="739" t="s">
        <v>93</v>
      </c>
      <c r="CH39" s="744"/>
      <c r="CI39" s="744"/>
      <c r="CJ39" s="739" t="s">
        <v>93</v>
      </c>
      <c r="CK39" s="744"/>
      <c r="CL39" s="744"/>
      <c r="CM39" s="744"/>
      <c r="CN39" s="744"/>
      <c r="CO39" s="744"/>
      <c r="CP39" s="739" t="s">
        <v>93</v>
      </c>
      <c r="CQ39" s="744"/>
      <c r="CR39" s="744"/>
      <c r="CS39" s="739" t="s">
        <v>93</v>
      </c>
      <c r="CT39" s="744"/>
      <c r="CU39" s="739" t="s">
        <v>93</v>
      </c>
      <c r="CV39" s="744"/>
      <c r="CW39" s="744"/>
      <c r="CX39" s="744"/>
      <c r="CY39" s="739" t="s">
        <v>93</v>
      </c>
      <c r="CZ39" s="744"/>
      <c r="DA39" s="744"/>
      <c r="DB39" s="740"/>
      <c r="DC39" s="739" t="s">
        <v>93</v>
      </c>
      <c r="DD39" s="739" t="s">
        <v>1359</v>
      </c>
      <c r="DE39" s="744"/>
      <c r="DF39" s="744"/>
      <c r="DG39" s="744"/>
      <c r="DH39" s="744"/>
      <c r="DI39" s="744"/>
      <c r="DJ39" s="739" t="s">
        <v>93</v>
      </c>
      <c r="DK39" s="739" t="s">
        <v>93</v>
      </c>
      <c r="DL39" s="744"/>
      <c r="DM39" s="744"/>
      <c r="DN39" s="739"/>
      <c r="DO39" s="739"/>
      <c r="DP39" s="739"/>
      <c r="DQ39" s="739"/>
      <c r="DR39" s="739"/>
      <c r="DS39" s="739" t="s">
        <v>93</v>
      </c>
      <c r="DT39" s="739"/>
      <c r="DU39" s="739"/>
      <c r="DV39" s="739"/>
      <c r="DW39" s="739"/>
      <c r="DX39" s="739" t="s">
        <v>93</v>
      </c>
      <c r="DY39" s="739" t="s">
        <v>93</v>
      </c>
      <c r="DZ39" s="739"/>
      <c r="EA39" s="739"/>
      <c r="EB39" s="739"/>
      <c r="EC39" s="739"/>
      <c r="ED39" s="739"/>
      <c r="EE39" s="739"/>
      <c r="EF39" s="739"/>
      <c r="EG39" s="739"/>
      <c r="EH39" s="739"/>
      <c r="EI39" s="739"/>
      <c r="EJ39" s="739" t="s">
        <v>93</v>
      </c>
      <c r="EK39" s="739"/>
      <c r="EL39" s="739"/>
      <c r="EM39" s="739"/>
      <c r="EN39" s="739" t="s">
        <v>93</v>
      </c>
      <c r="EO39" s="739"/>
      <c r="EP39" s="739"/>
      <c r="EQ39" s="739"/>
      <c r="ER39" s="739"/>
      <c r="ES39" s="739"/>
      <c r="ET39" s="739"/>
      <c r="EU39" s="739"/>
      <c r="EV39" s="739"/>
      <c r="EW39" s="739"/>
      <c r="EX39" s="739" t="s">
        <v>93</v>
      </c>
      <c r="EY39" s="739"/>
      <c r="EZ39" s="739"/>
      <c r="FA39" s="739"/>
      <c r="FB39" s="739"/>
      <c r="FC39" s="739"/>
      <c r="FD39" s="739"/>
      <c r="FE39" s="739"/>
      <c r="FF39" s="739"/>
      <c r="FG39" s="739"/>
      <c r="FH39" s="739"/>
      <c r="FI39" s="739"/>
      <c r="FJ39" s="739"/>
      <c r="FK39" s="739"/>
      <c r="FL39" s="739"/>
      <c r="FM39" s="739"/>
      <c r="FN39" s="739"/>
      <c r="FO39" s="739"/>
      <c r="FP39" s="739"/>
      <c r="FQ39" s="739" t="s">
        <v>93</v>
      </c>
      <c r="FR39" s="739" t="s">
        <v>93</v>
      </c>
      <c r="FS39" s="739"/>
      <c r="FT39" s="739"/>
      <c r="FU39" s="739"/>
      <c r="FV39" s="739" t="s">
        <v>93</v>
      </c>
      <c r="FW39" s="739"/>
      <c r="FX39" s="739" t="s">
        <v>93</v>
      </c>
      <c r="FY39" s="739"/>
      <c r="FZ39" s="739"/>
      <c r="GA39" s="739"/>
      <c r="GB39" s="739"/>
      <c r="GC39" s="739"/>
      <c r="GD39" s="739"/>
      <c r="GE39" s="739" t="s">
        <v>93</v>
      </c>
      <c r="GF39" s="739" t="s">
        <v>93</v>
      </c>
      <c r="GG39" s="739"/>
      <c r="GH39" s="739"/>
      <c r="GI39" s="739"/>
      <c r="GJ39" s="739"/>
      <c r="GK39" s="739"/>
      <c r="GL39" s="739"/>
      <c r="GM39" s="739"/>
      <c r="GN39" s="739"/>
      <c r="GO39" s="739"/>
      <c r="GP39" s="739"/>
      <c r="GQ39" s="739"/>
      <c r="GR39" s="739"/>
      <c r="GS39" s="739" t="s">
        <v>93</v>
      </c>
      <c r="GT39" s="739"/>
      <c r="GU39" s="739"/>
      <c r="GV39" s="739"/>
      <c r="GW39" s="739"/>
      <c r="GX39" s="739"/>
      <c r="GY39" s="744"/>
      <c r="GZ39" s="744"/>
      <c r="HA39" s="740"/>
      <c r="HB39" s="744"/>
      <c r="HC39" s="739"/>
      <c r="HD39" s="744"/>
      <c r="HE39" s="739"/>
      <c r="HF39" s="744"/>
      <c r="HG39" s="739"/>
      <c r="HH39" s="744"/>
      <c r="HI39" s="744"/>
      <c r="HJ39" s="739"/>
      <c r="HK39" s="744"/>
      <c r="HL39" s="739"/>
      <c r="HM39" s="739"/>
      <c r="HN39" s="744"/>
      <c r="HO39" s="744"/>
      <c r="HP39" s="739"/>
      <c r="HQ39" s="739"/>
      <c r="HR39" s="744"/>
      <c r="HS39" s="744"/>
      <c r="HT39" s="744"/>
      <c r="HU39" s="744"/>
      <c r="HV39" s="744"/>
      <c r="HW39" s="744"/>
      <c r="HX39" s="744"/>
    </row>
    <row r="40" spans="1:232" s="727" customFormat="1" ht="20" customHeight="1">
      <c r="A40" s="756" t="s">
        <v>157</v>
      </c>
      <c r="B40" s="757"/>
      <c r="C40" s="739" t="str">
        <f>IF(ISTEXT(IFERROR(VLOOKUP(A40,职业列表!I3:J10,1,FALSE),0)),"★","")</f>
        <v/>
      </c>
      <c r="D40" s="757"/>
      <c r="E40" s="757"/>
      <c r="F40" s="757"/>
      <c r="G40" s="757"/>
      <c r="H40" s="757"/>
      <c r="I40" s="757"/>
      <c r="J40" s="757"/>
      <c r="K40" s="757"/>
      <c r="L40" s="757"/>
      <c r="M40" s="757"/>
      <c r="N40" s="757" t="s">
        <v>93</v>
      </c>
      <c r="O40" s="757"/>
      <c r="P40" s="757"/>
      <c r="Q40" s="757"/>
      <c r="R40" s="757" t="s">
        <v>93</v>
      </c>
      <c r="S40" s="757"/>
      <c r="T40" s="757"/>
      <c r="U40" s="757" t="s">
        <v>93</v>
      </c>
      <c r="V40" s="757"/>
      <c r="W40" s="757"/>
      <c r="X40" s="757"/>
      <c r="Y40" s="757"/>
      <c r="Z40" s="757"/>
      <c r="AA40" s="757"/>
      <c r="AB40" s="757"/>
      <c r="AC40" s="757"/>
      <c r="AD40" s="757"/>
      <c r="AE40" s="757"/>
      <c r="AF40" s="757"/>
      <c r="AG40" s="757"/>
      <c r="AH40" s="757"/>
      <c r="AI40" s="757"/>
      <c r="AJ40" s="757"/>
      <c r="AK40" s="757"/>
      <c r="AL40" s="757"/>
      <c r="AM40" s="757"/>
      <c r="AN40" s="757"/>
      <c r="AO40" s="757"/>
      <c r="AP40" s="757"/>
      <c r="AQ40" s="757"/>
      <c r="AR40" s="757"/>
      <c r="AS40" s="757"/>
      <c r="AT40" s="757"/>
      <c r="AU40" s="757"/>
      <c r="AV40" s="757"/>
      <c r="AW40" s="757"/>
      <c r="AX40" s="757"/>
      <c r="AY40" s="757" t="s">
        <v>93</v>
      </c>
      <c r="AZ40" s="757" t="s">
        <v>93</v>
      </c>
      <c r="BA40" s="757"/>
      <c r="BB40" s="757"/>
      <c r="BC40" s="757"/>
      <c r="BD40" s="757"/>
      <c r="BE40" s="757"/>
      <c r="BF40" s="757"/>
      <c r="BG40" s="757" t="s">
        <v>93</v>
      </c>
      <c r="BH40" s="757"/>
      <c r="BI40" s="757"/>
      <c r="BJ40" s="757"/>
      <c r="BK40" s="757"/>
      <c r="BL40" s="757"/>
      <c r="BM40" s="757"/>
      <c r="BN40" s="757"/>
      <c r="BO40" s="757" t="s">
        <v>93</v>
      </c>
      <c r="BP40" s="776"/>
      <c r="BQ40" s="757" t="s">
        <v>93</v>
      </c>
      <c r="BR40" s="757"/>
      <c r="BS40" s="757"/>
      <c r="BT40" s="757"/>
      <c r="BU40" s="757"/>
      <c r="BV40" s="757"/>
      <c r="BW40" s="757" t="s">
        <v>93</v>
      </c>
      <c r="BX40" s="757"/>
      <c r="BY40" s="757"/>
      <c r="BZ40" s="757"/>
      <c r="CA40" s="757"/>
      <c r="CB40" s="757"/>
      <c r="CC40" s="757"/>
      <c r="CD40" s="757"/>
      <c r="CE40" s="757"/>
      <c r="CF40" s="757"/>
      <c r="CG40" s="757"/>
      <c r="CH40" s="757"/>
      <c r="CI40" s="757"/>
      <c r="CJ40" s="757"/>
      <c r="CK40" s="757"/>
      <c r="CL40" s="757"/>
      <c r="CM40" s="757"/>
      <c r="CN40" s="757"/>
      <c r="CO40" s="757"/>
      <c r="CP40" s="757" t="s">
        <v>93</v>
      </c>
      <c r="CQ40" s="757"/>
      <c r="CR40" s="757"/>
      <c r="CS40" s="757"/>
      <c r="CT40" s="757"/>
      <c r="CU40" s="757"/>
      <c r="CV40" s="757"/>
      <c r="CW40" s="757"/>
      <c r="CX40" s="757"/>
      <c r="CY40" s="757" t="s">
        <v>93</v>
      </c>
      <c r="CZ40" s="757" t="s">
        <v>93</v>
      </c>
      <c r="DA40" s="757"/>
      <c r="DB40" s="757"/>
      <c r="DC40" s="757"/>
      <c r="DD40" s="757" t="s">
        <v>1359</v>
      </c>
      <c r="DE40" s="757"/>
      <c r="DF40" s="757"/>
      <c r="DG40" s="757"/>
      <c r="DH40" s="757"/>
      <c r="DI40" s="757"/>
      <c r="DJ40" s="757" t="s">
        <v>93</v>
      </c>
      <c r="DK40" s="757"/>
      <c r="DL40" s="757"/>
      <c r="DM40" s="757"/>
      <c r="DN40" s="757" t="s">
        <v>93</v>
      </c>
      <c r="DO40" s="757"/>
      <c r="DP40" s="757"/>
      <c r="DQ40" s="757"/>
      <c r="DR40" s="757"/>
      <c r="DS40" s="757"/>
      <c r="DT40" s="757"/>
      <c r="DU40" s="757" t="s">
        <v>93</v>
      </c>
      <c r="DV40" s="757"/>
      <c r="DW40" s="757" t="s">
        <v>93</v>
      </c>
      <c r="DX40" s="757" t="s">
        <v>93</v>
      </c>
      <c r="DY40" s="757"/>
      <c r="DZ40" s="757" t="s">
        <v>93</v>
      </c>
      <c r="EA40" s="757"/>
      <c r="EB40" s="757"/>
      <c r="EC40" s="757"/>
      <c r="ED40" s="757"/>
      <c r="EE40" s="757"/>
      <c r="EF40" s="757"/>
      <c r="EG40" s="757"/>
      <c r="EH40" s="757"/>
      <c r="EI40" s="757"/>
      <c r="EJ40" s="757"/>
      <c r="EK40" s="757"/>
      <c r="EL40" s="757"/>
      <c r="EM40" s="757"/>
      <c r="EN40" s="757"/>
      <c r="EO40" s="757"/>
      <c r="EP40" s="757"/>
      <c r="EQ40" s="757" t="s">
        <v>93</v>
      </c>
      <c r="ER40" s="757"/>
      <c r="ES40" s="757"/>
      <c r="ET40" s="757"/>
      <c r="EU40" s="757" t="s">
        <v>93</v>
      </c>
      <c r="EV40" s="757" t="s">
        <v>93</v>
      </c>
      <c r="EW40" s="757"/>
      <c r="EX40" s="757" t="s">
        <v>93</v>
      </c>
      <c r="EY40" s="757"/>
      <c r="EZ40" s="757"/>
      <c r="FA40" s="757"/>
      <c r="FB40" s="757"/>
      <c r="FC40" s="757"/>
      <c r="FD40" s="757"/>
      <c r="FE40" s="757"/>
      <c r="FF40" s="757"/>
      <c r="FG40" s="757"/>
      <c r="FH40" s="757"/>
      <c r="FI40" s="757" t="s">
        <v>93</v>
      </c>
      <c r="FJ40" s="757"/>
      <c r="FK40" s="757"/>
      <c r="FL40" s="757"/>
      <c r="FM40" s="757" t="s">
        <v>93</v>
      </c>
      <c r="FN40" s="757"/>
      <c r="FO40" s="757"/>
      <c r="FP40" s="757"/>
      <c r="FQ40" s="757"/>
      <c r="FR40" s="757"/>
      <c r="FS40" s="757"/>
      <c r="FT40" s="757"/>
      <c r="FU40" s="757"/>
      <c r="FV40" s="757"/>
      <c r="FW40" s="757"/>
      <c r="FX40" s="757"/>
      <c r="FY40" s="757"/>
      <c r="FZ40" s="757"/>
      <c r="GA40" s="757"/>
      <c r="GB40" s="757"/>
      <c r="GC40" s="757"/>
      <c r="GD40" s="757"/>
      <c r="GE40" s="757"/>
      <c r="GF40" s="757" t="s">
        <v>93</v>
      </c>
      <c r="GG40" s="757"/>
      <c r="GH40" s="757"/>
      <c r="GI40" s="757"/>
      <c r="GJ40" s="757"/>
      <c r="GK40" s="757" t="s">
        <v>93</v>
      </c>
      <c r="GL40" s="757" t="s">
        <v>93</v>
      </c>
      <c r="GM40" s="757" t="s">
        <v>93</v>
      </c>
      <c r="GN40" s="757"/>
      <c r="GO40" s="757"/>
      <c r="GP40" s="757"/>
      <c r="GQ40" s="757"/>
      <c r="GR40" s="757"/>
      <c r="GS40" s="757"/>
      <c r="GT40" s="757"/>
      <c r="GU40" s="757"/>
      <c r="GV40" s="757" t="s">
        <v>93</v>
      </c>
      <c r="GW40" s="757"/>
      <c r="GX40" s="757"/>
      <c r="GY40" s="757"/>
      <c r="GZ40" s="757"/>
      <c r="HA40" s="757"/>
      <c r="HB40" s="757"/>
      <c r="HC40" s="757" t="s">
        <v>93</v>
      </c>
      <c r="HD40" s="757"/>
      <c r="HE40" s="757"/>
      <c r="HF40" s="757"/>
      <c r="HG40" s="757"/>
      <c r="HH40" s="757"/>
      <c r="HI40" s="757"/>
      <c r="HJ40" s="757" t="s">
        <v>93</v>
      </c>
      <c r="HK40" s="757"/>
      <c r="HL40" s="757"/>
      <c r="HM40" s="757"/>
      <c r="HN40" s="757" t="s">
        <v>93</v>
      </c>
      <c r="HO40" s="757"/>
      <c r="HP40" s="757"/>
      <c r="HQ40" s="757"/>
      <c r="HR40" s="757"/>
      <c r="HS40" s="757"/>
      <c r="HT40" s="757"/>
      <c r="HU40" s="757"/>
      <c r="HV40" s="757"/>
      <c r="HW40" s="757"/>
      <c r="HX40" s="757"/>
    </row>
    <row r="41" spans="1:232" s="375" customFormat="1" ht="20" customHeight="1">
      <c r="A41" s="738" t="s">
        <v>61</v>
      </c>
      <c r="B41" s="739"/>
      <c r="C41" s="739" t="str">
        <f>IF(ISTEXT(IFERROR(VLOOKUP(A41,职业列表!I3:J10,1,FALSE),0)),"★","")</f>
        <v/>
      </c>
      <c r="D41" s="739" t="s">
        <v>93</v>
      </c>
      <c r="E41" s="739"/>
      <c r="F41" s="739"/>
      <c r="G41" s="739"/>
      <c r="H41" s="739" t="s">
        <v>93</v>
      </c>
      <c r="I41" s="739" t="s">
        <v>93</v>
      </c>
      <c r="J41" s="739"/>
      <c r="K41" s="739"/>
      <c r="L41" s="739"/>
      <c r="M41" s="739"/>
      <c r="N41" s="739" t="s">
        <v>93</v>
      </c>
      <c r="O41" s="739"/>
      <c r="P41" s="739"/>
      <c r="Q41" s="739"/>
      <c r="R41" s="739"/>
      <c r="S41" s="739"/>
      <c r="T41" s="739"/>
      <c r="U41" s="739"/>
      <c r="V41" s="739" t="s">
        <v>93</v>
      </c>
      <c r="W41" s="739"/>
      <c r="X41" s="739"/>
      <c r="Y41" s="739"/>
      <c r="Z41" s="739"/>
      <c r="AA41" s="739"/>
      <c r="AB41" s="739"/>
      <c r="AC41" s="739"/>
      <c r="AD41" s="739"/>
      <c r="AE41" s="739"/>
      <c r="AF41" s="739"/>
      <c r="AG41" s="739"/>
      <c r="AH41" s="739" t="s">
        <v>1359</v>
      </c>
      <c r="AI41" s="739"/>
      <c r="AJ41" s="739"/>
      <c r="AK41" s="739"/>
      <c r="AL41" s="739"/>
      <c r="AM41" s="739"/>
      <c r="AN41" s="739"/>
      <c r="AO41" s="739"/>
      <c r="AP41" s="739"/>
      <c r="AQ41" s="739"/>
      <c r="AR41" s="739"/>
      <c r="AS41" s="739"/>
      <c r="AT41" s="739"/>
      <c r="AU41" s="739"/>
      <c r="AV41" s="739"/>
      <c r="AW41" s="739"/>
      <c r="AX41" s="739"/>
      <c r="AY41" s="739"/>
      <c r="AZ41" s="739"/>
      <c r="BA41" s="739"/>
      <c r="BB41" s="739"/>
      <c r="BC41" s="739"/>
      <c r="BD41" s="739"/>
      <c r="BE41" s="739" t="s">
        <v>93</v>
      </c>
      <c r="BF41" s="739"/>
      <c r="BG41" s="739"/>
      <c r="BH41" s="739"/>
      <c r="BI41" s="739"/>
      <c r="BJ41" s="739" t="s">
        <v>93</v>
      </c>
      <c r="BK41" s="739"/>
      <c r="BL41" s="739"/>
      <c r="BM41" s="739"/>
      <c r="BN41" s="739"/>
      <c r="BO41" s="739"/>
      <c r="BP41" s="739"/>
      <c r="BQ41" s="739" t="s">
        <v>93</v>
      </c>
      <c r="BR41" s="739"/>
      <c r="BS41" s="739"/>
      <c r="BT41" s="739"/>
      <c r="BU41" s="739"/>
      <c r="BV41" s="739" t="s">
        <v>93</v>
      </c>
      <c r="BW41" s="739"/>
      <c r="BX41" s="739"/>
      <c r="BY41" s="739"/>
      <c r="BZ41" s="739"/>
      <c r="CA41" s="739"/>
      <c r="CB41" s="739"/>
      <c r="CC41" s="739"/>
      <c r="CD41" s="739"/>
      <c r="CE41" s="739"/>
      <c r="CF41" s="739"/>
      <c r="CG41" s="739"/>
      <c r="CH41" s="739"/>
      <c r="CI41" s="739"/>
      <c r="CJ41" s="739"/>
      <c r="CK41" s="739"/>
      <c r="CL41" s="739"/>
      <c r="CM41" s="739" t="s">
        <v>93</v>
      </c>
      <c r="CN41" s="739" t="s">
        <v>93</v>
      </c>
      <c r="CO41" s="739" t="s">
        <v>93</v>
      </c>
      <c r="CP41" s="739"/>
      <c r="CQ41" s="739"/>
      <c r="CR41" s="739"/>
      <c r="CS41" s="739"/>
      <c r="CT41" s="739"/>
      <c r="CU41" s="739"/>
      <c r="CV41" s="739"/>
      <c r="CW41" s="739"/>
      <c r="CX41" s="739"/>
      <c r="CY41" s="739"/>
      <c r="CZ41" s="739"/>
      <c r="DA41" s="739"/>
      <c r="DB41" s="739"/>
      <c r="DC41" s="739"/>
      <c r="DD41" s="739"/>
      <c r="DE41" s="739"/>
      <c r="DF41" s="739"/>
      <c r="DG41" s="739"/>
      <c r="DH41" s="739" t="s">
        <v>93</v>
      </c>
      <c r="DI41" s="739"/>
      <c r="DJ41" s="739" t="s">
        <v>93</v>
      </c>
      <c r="DK41" s="739" t="s">
        <v>93</v>
      </c>
      <c r="DL41" s="739"/>
      <c r="DM41" s="739"/>
      <c r="DN41" s="739"/>
      <c r="DO41" s="739"/>
      <c r="DP41" s="739"/>
      <c r="DQ41" s="739"/>
      <c r="DR41" s="739"/>
      <c r="DS41" s="739"/>
      <c r="DT41" s="739" t="s">
        <v>93</v>
      </c>
      <c r="DU41" s="739"/>
      <c r="DV41" s="739"/>
      <c r="DW41" s="739"/>
      <c r="DX41" s="739"/>
      <c r="DY41" s="739"/>
      <c r="DZ41" s="739"/>
      <c r="EA41" s="739"/>
      <c r="EB41" s="739"/>
      <c r="EC41" s="739"/>
      <c r="ED41" s="739" t="s">
        <v>93</v>
      </c>
      <c r="EE41" s="739" t="s">
        <v>93</v>
      </c>
      <c r="EF41" s="739"/>
      <c r="EG41" s="739"/>
      <c r="EH41" s="739"/>
      <c r="EI41" s="739"/>
      <c r="EJ41" s="739"/>
      <c r="EK41" s="739"/>
      <c r="EL41" s="739" t="s">
        <v>93</v>
      </c>
      <c r="EM41" s="739"/>
      <c r="EN41" s="739"/>
      <c r="EO41" s="739"/>
      <c r="EP41" s="739"/>
      <c r="EQ41" s="739"/>
      <c r="ER41" s="739"/>
      <c r="ES41" s="739"/>
      <c r="ET41" s="739"/>
      <c r="EU41" s="739"/>
      <c r="EV41" s="739"/>
      <c r="EW41" s="739"/>
      <c r="EX41" s="739"/>
      <c r="EY41" s="739" t="s">
        <v>93</v>
      </c>
      <c r="EZ41" s="739"/>
      <c r="FA41" s="739"/>
      <c r="FB41" s="739"/>
      <c r="FC41" s="739" t="s">
        <v>93</v>
      </c>
      <c r="FD41" s="739"/>
      <c r="FE41" s="739"/>
      <c r="FF41" s="739"/>
      <c r="FG41" s="739"/>
      <c r="FH41" s="739"/>
      <c r="FI41" s="739"/>
      <c r="FJ41" s="739"/>
      <c r="FK41" s="739"/>
      <c r="FL41" s="739"/>
      <c r="FM41" s="739"/>
      <c r="FN41" s="739"/>
      <c r="FO41" s="739"/>
      <c r="FP41" s="739"/>
      <c r="FQ41" s="739" t="s">
        <v>93</v>
      </c>
      <c r="FR41" s="739"/>
      <c r="FS41" s="739"/>
      <c r="FT41" s="739"/>
      <c r="FU41" s="739"/>
      <c r="FV41" s="739" t="s">
        <v>93</v>
      </c>
      <c r="FW41" s="739" t="s">
        <v>93</v>
      </c>
      <c r="FX41" s="739"/>
      <c r="FY41" s="739"/>
      <c r="FZ41" s="739"/>
      <c r="GA41" s="739"/>
      <c r="GB41" s="739"/>
      <c r="GC41" s="739"/>
      <c r="GD41" s="739"/>
      <c r="GE41" s="739"/>
      <c r="GF41" s="739"/>
      <c r="GG41" s="739"/>
      <c r="GH41" s="739"/>
      <c r="GI41" s="739"/>
      <c r="GJ41" s="739"/>
      <c r="GK41" s="739"/>
      <c r="GL41" s="739"/>
      <c r="GM41" s="739"/>
      <c r="GN41" s="739"/>
      <c r="GO41" s="739" t="s">
        <v>93</v>
      </c>
      <c r="GP41" s="739"/>
      <c r="GQ41" s="739"/>
      <c r="GR41" s="739"/>
      <c r="GS41" s="739"/>
      <c r="GT41" s="739"/>
      <c r="GU41" s="739"/>
      <c r="GV41" s="739"/>
      <c r="GW41" s="739" t="s">
        <v>93</v>
      </c>
      <c r="GX41" s="739"/>
      <c r="GY41" s="739"/>
      <c r="GZ41" s="739"/>
      <c r="HA41" s="740" t="s">
        <v>93</v>
      </c>
      <c r="HB41" s="739"/>
      <c r="HC41" s="739"/>
      <c r="HD41" s="739"/>
      <c r="HE41" s="739"/>
      <c r="HF41" s="739" t="s">
        <v>93</v>
      </c>
      <c r="HG41" s="739"/>
      <c r="HH41" s="739"/>
      <c r="HI41" s="739"/>
      <c r="HJ41" s="739"/>
      <c r="HK41" s="739"/>
      <c r="HL41" s="739"/>
      <c r="HM41" s="740" t="s">
        <v>93</v>
      </c>
      <c r="HN41" s="739"/>
      <c r="HO41" s="739"/>
      <c r="HP41" s="739" t="s">
        <v>93</v>
      </c>
      <c r="HQ41" s="739"/>
      <c r="HR41" s="739" t="s">
        <v>93</v>
      </c>
      <c r="HS41" s="739"/>
      <c r="HT41" s="739"/>
      <c r="HU41" s="739"/>
      <c r="HV41" s="739"/>
      <c r="HW41" s="739"/>
      <c r="HX41" s="739"/>
    </row>
    <row r="42" spans="1:232" s="728" customFormat="1" ht="20" customHeight="1">
      <c r="A42" s="758" t="s">
        <v>63</v>
      </c>
      <c r="B42" s="759"/>
      <c r="C42" s="739" t="str">
        <f>IF(ISTEXT(IFERROR(VLOOKUP(A42,职业列表!I3:J10,1,FALSE),0)),"★","")</f>
        <v/>
      </c>
      <c r="D42" s="759" t="s">
        <v>93</v>
      </c>
      <c r="E42" s="759"/>
      <c r="F42" s="759"/>
      <c r="G42" s="759"/>
      <c r="H42" s="759" t="s">
        <v>93</v>
      </c>
      <c r="I42" s="759"/>
      <c r="J42" s="759"/>
      <c r="K42" s="759" t="s">
        <v>93</v>
      </c>
      <c r="L42" s="759" t="s">
        <v>93</v>
      </c>
      <c r="M42" s="759" t="s">
        <v>93</v>
      </c>
      <c r="N42" s="759" t="s">
        <v>1359</v>
      </c>
      <c r="O42" s="759"/>
      <c r="P42" s="759"/>
      <c r="Q42" s="759"/>
      <c r="R42" s="759" t="s">
        <v>93</v>
      </c>
      <c r="S42" s="759"/>
      <c r="T42" s="759"/>
      <c r="U42" s="759" t="s">
        <v>93</v>
      </c>
      <c r="V42" s="759"/>
      <c r="W42" s="759"/>
      <c r="X42" s="759"/>
      <c r="Y42" s="759" t="s">
        <v>93</v>
      </c>
      <c r="Z42" s="759" t="s">
        <v>93</v>
      </c>
      <c r="AA42" s="759" t="s">
        <v>93</v>
      </c>
      <c r="AB42" s="759"/>
      <c r="AC42" s="759"/>
      <c r="AD42" s="759"/>
      <c r="AE42" s="759"/>
      <c r="AF42" s="759"/>
      <c r="AG42" s="759"/>
      <c r="AH42" s="759"/>
      <c r="AI42" s="759"/>
      <c r="AJ42" s="759"/>
      <c r="AK42" s="759" t="s">
        <v>93</v>
      </c>
      <c r="AL42" s="759" t="s">
        <v>93</v>
      </c>
      <c r="AM42" s="759"/>
      <c r="AN42" s="759"/>
      <c r="AO42" s="759"/>
      <c r="AP42" s="759"/>
      <c r="AQ42" s="759" t="s">
        <v>1359</v>
      </c>
      <c r="AR42" s="759"/>
      <c r="AS42" s="759"/>
      <c r="AT42" s="759"/>
      <c r="AU42" s="759"/>
      <c r="AV42" s="759"/>
      <c r="AW42" s="759"/>
      <c r="AX42" s="759"/>
      <c r="AY42" s="759"/>
      <c r="AZ42" s="759"/>
      <c r="BA42" s="759" t="s">
        <v>93</v>
      </c>
      <c r="BB42" s="759"/>
      <c r="BC42" s="759"/>
      <c r="BD42" s="759"/>
      <c r="BE42" s="759"/>
      <c r="BF42" s="759"/>
      <c r="BG42" s="759"/>
      <c r="BH42" s="759" t="s">
        <v>93</v>
      </c>
      <c r="BI42" s="759"/>
      <c r="BJ42" s="759"/>
      <c r="BK42" s="759"/>
      <c r="BL42" s="759"/>
      <c r="BM42" s="759"/>
      <c r="BN42" s="759"/>
      <c r="BO42" s="759" t="s">
        <v>93</v>
      </c>
      <c r="BP42" s="759"/>
      <c r="BQ42" s="759" t="s">
        <v>93</v>
      </c>
      <c r="BR42" s="759" t="s">
        <v>1359</v>
      </c>
      <c r="BS42" s="759"/>
      <c r="BT42" s="759"/>
      <c r="BU42" s="759"/>
      <c r="BV42" s="759" t="s">
        <v>93</v>
      </c>
      <c r="BW42" s="759" t="s">
        <v>93</v>
      </c>
      <c r="BX42" s="759"/>
      <c r="BY42" s="759"/>
      <c r="BZ42" s="759"/>
      <c r="CA42" s="759"/>
      <c r="CB42" s="759" t="s">
        <v>93</v>
      </c>
      <c r="CC42" s="759"/>
      <c r="CD42" s="759"/>
      <c r="CE42" s="759" t="s">
        <v>93</v>
      </c>
      <c r="CF42" s="759"/>
      <c r="CG42" s="759" t="s">
        <v>93</v>
      </c>
      <c r="CH42" s="759" t="s">
        <v>93</v>
      </c>
      <c r="CI42" s="759"/>
      <c r="CJ42" s="759"/>
      <c r="CK42" s="759"/>
      <c r="CL42" s="759"/>
      <c r="CM42" s="759"/>
      <c r="CN42" s="759"/>
      <c r="CO42" s="759" t="s">
        <v>93</v>
      </c>
      <c r="CP42" s="759" t="s">
        <v>93</v>
      </c>
      <c r="CQ42" s="759"/>
      <c r="CR42" s="759"/>
      <c r="CS42" s="759"/>
      <c r="CT42" s="759" t="s">
        <v>93</v>
      </c>
      <c r="CU42" s="759" t="s">
        <v>93</v>
      </c>
      <c r="CV42" s="759"/>
      <c r="CW42" s="759"/>
      <c r="CX42" s="759"/>
      <c r="CY42" s="759" t="s">
        <v>1359</v>
      </c>
      <c r="CZ42" s="759" t="s">
        <v>1360</v>
      </c>
      <c r="DA42" s="759"/>
      <c r="DB42" s="759"/>
      <c r="DC42" s="759"/>
      <c r="DD42" s="759" t="s">
        <v>93</v>
      </c>
      <c r="DE42" s="759"/>
      <c r="DF42" s="759"/>
      <c r="DG42" s="759"/>
      <c r="DH42" s="759"/>
      <c r="DI42" s="759"/>
      <c r="DJ42" s="759" t="s">
        <v>1359</v>
      </c>
      <c r="DK42" s="759"/>
      <c r="DL42" s="759"/>
      <c r="DM42" s="759"/>
      <c r="DN42" s="759"/>
      <c r="DO42" s="759"/>
      <c r="DP42" s="759"/>
      <c r="DQ42" s="759"/>
      <c r="DR42" s="759"/>
      <c r="DS42" s="759"/>
      <c r="DT42" s="759" t="s">
        <v>93</v>
      </c>
      <c r="DU42" s="759" t="s">
        <v>93</v>
      </c>
      <c r="DV42" s="759" t="s">
        <v>93</v>
      </c>
      <c r="DW42" s="759" t="s">
        <v>93</v>
      </c>
      <c r="DX42" s="759" t="s">
        <v>93</v>
      </c>
      <c r="DY42" s="759"/>
      <c r="DZ42" s="759" t="s">
        <v>93</v>
      </c>
      <c r="EA42" s="759"/>
      <c r="EB42" s="759"/>
      <c r="EC42" s="759"/>
      <c r="ED42" s="759" t="s">
        <v>93</v>
      </c>
      <c r="EE42" s="759" t="s">
        <v>93</v>
      </c>
      <c r="EF42" s="759"/>
      <c r="EG42" s="759"/>
      <c r="EH42" s="759"/>
      <c r="EI42" s="759"/>
      <c r="EJ42" s="759" t="s">
        <v>93</v>
      </c>
      <c r="EK42" s="759"/>
      <c r="EL42" s="759"/>
      <c r="EM42" s="759"/>
      <c r="EN42" s="759"/>
      <c r="EO42" s="759"/>
      <c r="EP42" s="759"/>
      <c r="EQ42" s="759"/>
      <c r="ER42" s="759"/>
      <c r="ES42" s="759"/>
      <c r="ET42" s="759"/>
      <c r="EU42" s="759"/>
      <c r="EV42" s="759"/>
      <c r="EW42" s="759" t="s">
        <v>93</v>
      </c>
      <c r="EX42" s="759"/>
      <c r="EY42" s="759"/>
      <c r="EZ42" s="759" t="s">
        <v>93</v>
      </c>
      <c r="FA42" s="759"/>
      <c r="FB42" s="759"/>
      <c r="FC42" s="759"/>
      <c r="FD42" s="759"/>
      <c r="FE42" s="759" t="s">
        <v>1359</v>
      </c>
      <c r="FF42" s="759" t="s">
        <v>93</v>
      </c>
      <c r="FG42" s="759" t="s">
        <v>93</v>
      </c>
      <c r="FH42" s="759"/>
      <c r="FI42" s="759" t="s">
        <v>93</v>
      </c>
      <c r="FJ42" s="759"/>
      <c r="FK42" s="759" t="s">
        <v>1359</v>
      </c>
      <c r="FL42" s="759" t="s">
        <v>93</v>
      </c>
      <c r="FM42" s="759"/>
      <c r="FN42" s="759"/>
      <c r="FO42" s="759"/>
      <c r="FP42" s="759"/>
      <c r="FQ42" s="759"/>
      <c r="FR42" s="759" t="s">
        <v>93</v>
      </c>
      <c r="FS42" s="759" t="s">
        <v>93</v>
      </c>
      <c r="FT42" s="759"/>
      <c r="FU42" s="759"/>
      <c r="FV42" s="759"/>
      <c r="FW42" s="759"/>
      <c r="FX42" s="759"/>
      <c r="FY42" s="759"/>
      <c r="FZ42" s="759" t="s">
        <v>1359</v>
      </c>
      <c r="GA42" s="759"/>
      <c r="GB42" s="759"/>
      <c r="GC42" s="759"/>
      <c r="GD42" s="759"/>
      <c r="GE42" s="759"/>
      <c r="GF42" s="759" t="s">
        <v>1359</v>
      </c>
      <c r="GG42" s="759"/>
      <c r="GH42" s="759"/>
      <c r="GI42" s="759"/>
      <c r="GJ42" s="759"/>
      <c r="GK42" s="759"/>
      <c r="GL42" s="759"/>
      <c r="GM42" s="759"/>
      <c r="GN42" s="759"/>
      <c r="GO42" s="759"/>
      <c r="GP42" s="759"/>
      <c r="GQ42" s="759" t="s">
        <v>93</v>
      </c>
      <c r="GR42" s="759"/>
      <c r="GS42" s="759"/>
      <c r="GT42" s="759" t="s">
        <v>93</v>
      </c>
      <c r="GU42" s="759"/>
      <c r="GV42" s="759" t="s">
        <v>93</v>
      </c>
      <c r="GW42" s="759"/>
      <c r="GX42" s="759"/>
      <c r="GY42" s="759"/>
      <c r="GZ42" s="759" t="s">
        <v>93</v>
      </c>
      <c r="HA42" s="759"/>
      <c r="HB42" s="772" t="s">
        <v>93</v>
      </c>
      <c r="HC42" s="759" t="s">
        <v>93</v>
      </c>
      <c r="HD42" s="759"/>
      <c r="HE42" s="759" t="s">
        <v>93</v>
      </c>
      <c r="HF42" s="759" t="s">
        <v>93</v>
      </c>
      <c r="HG42" s="759"/>
      <c r="HH42" s="759"/>
      <c r="HI42" s="759"/>
      <c r="HJ42" s="759"/>
      <c r="HK42" s="759"/>
      <c r="HL42" s="759"/>
      <c r="HM42" s="759" t="s">
        <v>93</v>
      </c>
      <c r="HN42" s="759" t="s">
        <v>93</v>
      </c>
      <c r="HO42" s="759"/>
      <c r="HP42" s="759" t="s">
        <v>93</v>
      </c>
      <c r="HQ42" s="759" t="s">
        <v>93</v>
      </c>
      <c r="HR42" s="759"/>
      <c r="HS42" s="772" t="s">
        <v>93</v>
      </c>
      <c r="HT42" s="772" t="s">
        <v>93</v>
      </c>
      <c r="HU42" s="759"/>
      <c r="HV42" s="759"/>
      <c r="HW42" s="759"/>
      <c r="HX42" s="759" t="s">
        <v>93</v>
      </c>
    </row>
    <row r="43" spans="1:232" s="728" customFormat="1" ht="20" customHeight="1">
      <c r="A43" s="758" t="s">
        <v>67</v>
      </c>
      <c r="B43" s="759"/>
      <c r="C43" s="739" t="str">
        <f>IF(ISTEXT(IFERROR(VLOOKUP(A43,职业列表!I3:J10,1,FALSE),0)),"★","")</f>
        <v/>
      </c>
      <c r="D43" s="759" t="s">
        <v>93</v>
      </c>
      <c r="E43" s="759"/>
      <c r="F43" s="759"/>
      <c r="G43" s="759"/>
      <c r="H43" s="759"/>
      <c r="I43" s="759" t="s">
        <v>93</v>
      </c>
      <c r="J43" s="759" t="s">
        <v>93</v>
      </c>
      <c r="K43" s="759"/>
      <c r="L43" s="759"/>
      <c r="M43" s="759"/>
      <c r="N43" s="759"/>
      <c r="O43" s="759"/>
      <c r="P43" s="759" t="s">
        <v>93</v>
      </c>
      <c r="Q43" s="759"/>
      <c r="R43" s="759"/>
      <c r="S43" s="759" t="s">
        <v>93</v>
      </c>
      <c r="T43" s="759" t="s">
        <v>1359</v>
      </c>
      <c r="U43" s="759"/>
      <c r="V43" s="759"/>
      <c r="W43" s="759"/>
      <c r="X43" s="759" t="s">
        <v>93</v>
      </c>
      <c r="Y43" s="759" t="s">
        <v>93</v>
      </c>
      <c r="Z43" s="759"/>
      <c r="AA43" s="759"/>
      <c r="AB43" s="759"/>
      <c r="AC43" s="759"/>
      <c r="AD43" s="759"/>
      <c r="AE43" s="759"/>
      <c r="AF43" s="759"/>
      <c r="AG43" s="759" t="s">
        <v>93</v>
      </c>
      <c r="AH43" s="759" t="s">
        <v>93</v>
      </c>
      <c r="AI43" s="759"/>
      <c r="AJ43" s="759" t="s">
        <v>93</v>
      </c>
      <c r="AK43" s="759"/>
      <c r="AL43" s="759"/>
      <c r="AM43" s="759" t="s">
        <v>93</v>
      </c>
      <c r="AN43" s="759"/>
      <c r="AO43" s="759"/>
      <c r="AP43" s="759"/>
      <c r="AQ43" s="759"/>
      <c r="AR43" s="759"/>
      <c r="AS43" s="759"/>
      <c r="AT43" s="759"/>
      <c r="AU43" s="759" t="s">
        <v>93</v>
      </c>
      <c r="AV43" s="759" t="s">
        <v>93</v>
      </c>
      <c r="AW43" s="759" t="s">
        <v>93</v>
      </c>
      <c r="AX43" s="759"/>
      <c r="AY43" s="759"/>
      <c r="AZ43" s="759" t="s">
        <v>93</v>
      </c>
      <c r="BA43" s="759"/>
      <c r="BB43" s="759" t="s">
        <v>93</v>
      </c>
      <c r="BC43" s="759"/>
      <c r="BD43" s="759"/>
      <c r="BE43" s="759"/>
      <c r="BF43" s="759"/>
      <c r="BG43" s="759" t="s">
        <v>93</v>
      </c>
      <c r="BH43" s="759"/>
      <c r="BI43" s="759" t="s">
        <v>93</v>
      </c>
      <c r="BJ43" s="759" t="s">
        <v>93</v>
      </c>
      <c r="BK43" s="759"/>
      <c r="BL43" s="759"/>
      <c r="BM43" s="759" t="s">
        <v>93</v>
      </c>
      <c r="BN43" s="759" t="s">
        <v>93</v>
      </c>
      <c r="BO43" s="779"/>
      <c r="BP43" s="759" t="s">
        <v>93</v>
      </c>
      <c r="BQ43" s="759" t="s">
        <v>93</v>
      </c>
      <c r="BR43" s="759"/>
      <c r="BS43" s="759"/>
      <c r="BT43" s="759"/>
      <c r="BU43" s="759"/>
      <c r="BV43" s="759"/>
      <c r="BW43" s="759"/>
      <c r="BX43" s="759"/>
      <c r="BY43" s="759"/>
      <c r="BZ43" s="759"/>
      <c r="CA43" s="759" t="s">
        <v>93</v>
      </c>
      <c r="CB43" s="759"/>
      <c r="CC43" s="759" t="s">
        <v>93</v>
      </c>
      <c r="CD43" s="759" t="s">
        <v>93</v>
      </c>
      <c r="CE43" s="759"/>
      <c r="CF43" s="759" t="s">
        <v>93</v>
      </c>
      <c r="CG43" s="759"/>
      <c r="CH43" s="759"/>
      <c r="CI43" s="759"/>
      <c r="CJ43" s="759"/>
      <c r="CK43" s="759"/>
      <c r="CL43" s="759" t="s">
        <v>93</v>
      </c>
      <c r="CM43" s="759" t="s">
        <v>93</v>
      </c>
      <c r="CN43" s="759"/>
      <c r="CO43" s="759"/>
      <c r="CP43" s="759"/>
      <c r="CQ43" s="759"/>
      <c r="CR43" s="759"/>
      <c r="CS43" s="759" t="s">
        <v>93</v>
      </c>
      <c r="CT43" s="759" t="s">
        <v>93</v>
      </c>
      <c r="CU43" s="759"/>
      <c r="CV43" s="759"/>
      <c r="CW43" s="759"/>
      <c r="CX43" s="759" t="s">
        <v>93</v>
      </c>
      <c r="CY43" s="759"/>
      <c r="CZ43" s="759"/>
      <c r="DA43" s="759" t="s">
        <v>93</v>
      </c>
      <c r="DB43" s="759"/>
      <c r="DC43" s="759" t="s">
        <v>93</v>
      </c>
      <c r="DD43" s="759" t="s">
        <v>93</v>
      </c>
      <c r="DE43" s="759"/>
      <c r="DF43" s="759" t="s">
        <v>93</v>
      </c>
      <c r="DG43" s="759"/>
      <c r="DH43" s="759" t="s">
        <v>93</v>
      </c>
      <c r="DI43" s="759" t="s">
        <v>93</v>
      </c>
      <c r="DJ43" s="759" t="s">
        <v>93</v>
      </c>
      <c r="DK43" s="759"/>
      <c r="DL43" s="759"/>
      <c r="DM43" s="759"/>
      <c r="DN43" s="759" t="s">
        <v>93</v>
      </c>
      <c r="DO43" s="759"/>
      <c r="DP43" s="759"/>
      <c r="DQ43" s="759"/>
      <c r="DR43" s="759"/>
      <c r="DS43" s="759"/>
      <c r="DT43" s="759"/>
      <c r="DU43" s="759"/>
      <c r="DV43" s="759" t="s">
        <v>93</v>
      </c>
      <c r="DW43" s="759"/>
      <c r="DX43" s="759"/>
      <c r="DY43" s="759"/>
      <c r="DZ43" s="759" t="s">
        <v>93</v>
      </c>
      <c r="EA43" s="759"/>
      <c r="EB43" s="759"/>
      <c r="EC43" s="759" t="s">
        <v>93</v>
      </c>
      <c r="ED43" s="759" t="s">
        <v>93</v>
      </c>
      <c r="EE43" s="759"/>
      <c r="EF43" s="759"/>
      <c r="EG43" s="759"/>
      <c r="EH43" s="759"/>
      <c r="EI43" s="759"/>
      <c r="EJ43" s="759"/>
      <c r="EK43" s="759"/>
      <c r="EL43" s="759"/>
      <c r="EM43" s="759"/>
      <c r="EN43" s="759"/>
      <c r="EO43" s="759" t="s">
        <v>93</v>
      </c>
      <c r="EP43" s="759"/>
      <c r="EQ43" s="759"/>
      <c r="ER43" s="759" t="s">
        <v>93</v>
      </c>
      <c r="ES43" s="759" t="s">
        <v>93</v>
      </c>
      <c r="ET43" s="759"/>
      <c r="EU43" s="759"/>
      <c r="EV43" s="759"/>
      <c r="EW43" s="759"/>
      <c r="EX43" s="759" t="s">
        <v>93</v>
      </c>
      <c r="EY43" s="759"/>
      <c r="EZ43" s="759"/>
      <c r="FA43" s="759"/>
      <c r="FB43" s="759"/>
      <c r="FC43" s="759"/>
      <c r="FD43" s="759"/>
      <c r="FE43" s="759" t="s">
        <v>93</v>
      </c>
      <c r="FF43" s="759"/>
      <c r="FG43" s="759"/>
      <c r="FH43" s="759"/>
      <c r="FI43" s="759"/>
      <c r="FJ43" s="759" t="s">
        <v>93</v>
      </c>
      <c r="FK43" s="759"/>
      <c r="FL43" s="759"/>
      <c r="FM43" s="759" t="s">
        <v>93</v>
      </c>
      <c r="FN43" s="759" t="s">
        <v>93</v>
      </c>
      <c r="FO43" s="759"/>
      <c r="FP43" s="759"/>
      <c r="FQ43" s="759"/>
      <c r="FR43" s="759" t="s">
        <v>93</v>
      </c>
      <c r="FS43" s="759"/>
      <c r="FT43" s="759" t="s">
        <v>93</v>
      </c>
      <c r="FU43" s="759"/>
      <c r="FV43" s="759"/>
      <c r="FW43" s="759"/>
      <c r="FX43" s="759" t="s">
        <v>93</v>
      </c>
      <c r="FY43" s="759" t="s">
        <v>93</v>
      </c>
      <c r="FZ43" s="759"/>
      <c r="GA43" s="759"/>
      <c r="GB43" s="759"/>
      <c r="GC43" s="759"/>
      <c r="GD43" s="759"/>
      <c r="GE43" s="759"/>
      <c r="GF43" s="759"/>
      <c r="GG43" s="759" t="s">
        <v>93</v>
      </c>
      <c r="GH43" s="759" t="s">
        <v>93</v>
      </c>
      <c r="GI43" s="759" t="s">
        <v>93</v>
      </c>
      <c r="GJ43" s="759"/>
      <c r="GK43" s="759"/>
      <c r="GL43" s="759"/>
      <c r="GM43" s="759"/>
      <c r="GN43" s="759" t="s">
        <v>93</v>
      </c>
      <c r="GO43" s="759" t="s">
        <v>93</v>
      </c>
      <c r="GP43" s="759"/>
      <c r="GQ43" s="759"/>
      <c r="GR43" s="759"/>
      <c r="GS43" s="759"/>
      <c r="GT43" s="759"/>
      <c r="GU43" s="759"/>
      <c r="GV43" s="759" t="s">
        <v>93</v>
      </c>
      <c r="GW43" s="759"/>
      <c r="GX43" s="759" t="s">
        <v>93</v>
      </c>
      <c r="GY43" s="759"/>
      <c r="GZ43" s="759"/>
      <c r="HA43" s="759"/>
      <c r="HB43" s="759"/>
      <c r="HC43" s="759"/>
      <c r="HD43" s="772" t="s">
        <v>93</v>
      </c>
      <c r="HE43" s="759"/>
      <c r="HF43" s="759" t="s">
        <v>93</v>
      </c>
      <c r="HG43" s="759"/>
      <c r="HH43" s="759"/>
      <c r="HI43" s="759"/>
      <c r="HJ43" s="759" t="s">
        <v>93</v>
      </c>
      <c r="HK43" s="759"/>
      <c r="HL43" s="759"/>
      <c r="HM43" s="759" t="s">
        <v>93</v>
      </c>
      <c r="HN43" s="772" t="s">
        <v>93</v>
      </c>
      <c r="HO43" s="759"/>
      <c r="HP43" s="759" t="s">
        <v>93</v>
      </c>
      <c r="HQ43" s="759"/>
      <c r="HR43" s="759" t="s">
        <v>93</v>
      </c>
      <c r="HS43" s="759"/>
      <c r="HT43" s="759"/>
      <c r="HU43" s="759" t="s">
        <v>93</v>
      </c>
      <c r="HV43" s="772" t="s">
        <v>93</v>
      </c>
      <c r="HW43" s="772" t="s">
        <v>93</v>
      </c>
      <c r="HX43" s="759" t="s">
        <v>93</v>
      </c>
    </row>
    <row r="44" spans="1:232" s="375" customFormat="1" ht="20" customHeight="1">
      <c r="A44" s="738" t="s">
        <v>71</v>
      </c>
      <c r="B44" s="739"/>
      <c r="C44" s="739" t="str">
        <f>IF(ISTEXT(IFERROR(VLOOKUP(A44,职业列表!I3:J10,1,FALSE),0)),"★","")</f>
        <v/>
      </c>
      <c r="D44" s="739"/>
      <c r="E44" s="739"/>
      <c r="F44" s="739"/>
      <c r="G44" s="739"/>
      <c r="H44" s="739"/>
      <c r="I44" s="739"/>
      <c r="J44" s="739"/>
      <c r="K44" s="739"/>
      <c r="L44" s="739"/>
      <c r="M44" s="739"/>
      <c r="N44" s="739"/>
      <c r="O44" s="739"/>
      <c r="P44" s="739"/>
      <c r="Q44" s="739"/>
      <c r="R44" s="739"/>
      <c r="S44" s="739"/>
      <c r="T44" s="739"/>
      <c r="U44" s="739"/>
      <c r="V44" s="739"/>
      <c r="W44" s="739"/>
      <c r="X44" s="739"/>
      <c r="Y44" s="739"/>
      <c r="Z44" s="739"/>
      <c r="AA44" s="739"/>
      <c r="AB44" s="739"/>
      <c r="AC44" s="739"/>
      <c r="AD44" s="739" t="s">
        <v>93</v>
      </c>
      <c r="AE44" s="739" t="s">
        <v>93</v>
      </c>
      <c r="AF44" s="739"/>
      <c r="AG44" s="739" t="s">
        <v>93</v>
      </c>
      <c r="AH44" s="739"/>
      <c r="AI44" s="739" t="s">
        <v>1362</v>
      </c>
      <c r="AJ44" s="739"/>
      <c r="AK44" s="739"/>
      <c r="AL44" s="739"/>
      <c r="AM44" s="739"/>
      <c r="AN44" s="739"/>
      <c r="AO44" s="739"/>
      <c r="AP44" s="739"/>
      <c r="AQ44" s="739"/>
      <c r="AR44" s="739"/>
      <c r="AS44" s="739"/>
      <c r="AT44" s="739"/>
      <c r="AU44" s="739"/>
      <c r="AV44" s="739"/>
      <c r="AW44" s="739"/>
      <c r="AX44" s="739"/>
      <c r="AY44" s="739"/>
      <c r="AZ44" s="739"/>
      <c r="BA44" s="739"/>
      <c r="BB44" s="739"/>
      <c r="BC44" s="739"/>
      <c r="BD44" s="739"/>
      <c r="BE44" s="739"/>
      <c r="BF44" s="739"/>
      <c r="BG44" s="739"/>
      <c r="BH44" s="739"/>
      <c r="BI44" s="739"/>
      <c r="BJ44" s="739"/>
      <c r="BK44" s="739"/>
      <c r="BL44" s="739"/>
      <c r="BM44" s="739" t="s">
        <v>1359</v>
      </c>
      <c r="BN44" s="739"/>
      <c r="BO44" s="739"/>
      <c r="BP44" s="739"/>
      <c r="BQ44" s="739"/>
      <c r="BR44" s="739"/>
      <c r="BS44" s="739"/>
      <c r="BT44" s="739"/>
      <c r="BU44" s="739"/>
      <c r="BV44" s="739"/>
      <c r="BW44" s="739"/>
      <c r="BX44" s="739"/>
      <c r="BY44" s="739"/>
      <c r="BZ44" s="739"/>
      <c r="CA44" s="739"/>
      <c r="CB44" s="739"/>
      <c r="CC44" s="739"/>
      <c r="CD44" s="739"/>
      <c r="CE44" s="739"/>
      <c r="CF44" s="739"/>
      <c r="CG44" s="739"/>
      <c r="CH44" s="739"/>
      <c r="CI44" s="739"/>
      <c r="CJ44" s="739"/>
      <c r="CK44" s="739"/>
      <c r="CL44" s="739"/>
      <c r="CM44" s="739"/>
      <c r="CN44" s="739"/>
      <c r="CO44" s="739"/>
      <c r="CP44" s="739"/>
      <c r="CQ44" s="739"/>
      <c r="CR44" s="739"/>
      <c r="CS44" s="739"/>
      <c r="CT44" s="739"/>
      <c r="CU44" s="739"/>
      <c r="CV44" s="739"/>
      <c r="CW44" s="739"/>
      <c r="CX44" s="739"/>
      <c r="CY44" s="739"/>
      <c r="CZ44" s="739"/>
      <c r="DA44" s="739"/>
      <c r="DB44" s="739"/>
      <c r="DC44" s="739"/>
      <c r="DD44" s="739"/>
      <c r="DE44" s="739"/>
      <c r="DF44" s="739"/>
      <c r="DG44" s="739"/>
      <c r="DH44" s="739"/>
      <c r="DI44" s="739"/>
      <c r="DJ44" s="739"/>
      <c r="DK44" s="739"/>
      <c r="DL44" s="739"/>
      <c r="DM44" s="739"/>
      <c r="DN44" s="739"/>
      <c r="DO44" s="739"/>
      <c r="DP44" s="739"/>
      <c r="DQ44" s="739"/>
      <c r="DR44" s="739"/>
      <c r="DS44" s="739"/>
      <c r="DT44" s="739"/>
      <c r="DU44" s="739"/>
      <c r="DV44" s="739"/>
      <c r="DW44" s="739"/>
      <c r="DX44" s="739"/>
      <c r="DY44" s="739"/>
      <c r="DZ44" s="739"/>
      <c r="EA44" s="739"/>
      <c r="EB44" s="739"/>
      <c r="EC44" s="739"/>
      <c r="ED44" s="739"/>
      <c r="EE44" s="739"/>
      <c r="EF44" s="739"/>
      <c r="EG44" s="739"/>
      <c r="EH44" s="739"/>
      <c r="EI44" s="739"/>
      <c r="EJ44" s="739"/>
      <c r="EK44" s="739"/>
      <c r="EL44" s="739"/>
      <c r="EM44" s="739"/>
      <c r="EN44" s="739"/>
      <c r="EO44" s="739"/>
      <c r="EP44" s="739"/>
      <c r="EQ44" s="739"/>
      <c r="ER44" s="739"/>
      <c r="ES44" s="739"/>
      <c r="ET44" s="739"/>
      <c r="EU44" s="739"/>
      <c r="EV44" s="739"/>
      <c r="EW44" s="739"/>
      <c r="EX44" s="739"/>
      <c r="EY44" s="739"/>
      <c r="EZ44" s="739"/>
      <c r="FA44" s="739"/>
      <c r="FB44" s="739"/>
      <c r="FC44" s="739"/>
      <c r="FD44" s="739"/>
      <c r="FE44" s="739"/>
      <c r="FF44" s="739"/>
      <c r="FG44" s="739"/>
      <c r="FH44" s="739"/>
      <c r="FI44" s="739"/>
      <c r="FJ44" s="739"/>
      <c r="FK44" s="739"/>
      <c r="FL44" s="739"/>
      <c r="FM44" s="739"/>
      <c r="FN44" s="739"/>
      <c r="FO44" s="739"/>
      <c r="FP44" s="739"/>
      <c r="FQ44" s="739"/>
      <c r="FR44" s="739"/>
      <c r="FS44" s="739"/>
      <c r="FT44" s="739"/>
      <c r="FU44" s="739" t="s">
        <v>93</v>
      </c>
      <c r="FV44" s="739"/>
      <c r="FW44" s="739"/>
      <c r="FX44" s="739"/>
      <c r="FY44" s="739"/>
      <c r="FZ44" s="739"/>
      <c r="GA44" s="739"/>
      <c r="GB44" s="739"/>
      <c r="GC44" s="739"/>
      <c r="GD44" s="739"/>
      <c r="GE44" s="739"/>
      <c r="GF44" s="739"/>
      <c r="GG44" s="739"/>
      <c r="GH44" s="739"/>
      <c r="GI44" s="739"/>
      <c r="GJ44" s="739"/>
      <c r="GK44" s="739"/>
      <c r="GL44" s="739"/>
      <c r="GM44" s="739"/>
      <c r="GN44" s="739"/>
      <c r="GO44" s="739"/>
      <c r="GP44" s="739"/>
      <c r="GQ44" s="739"/>
      <c r="GR44" s="739"/>
      <c r="GS44" s="739"/>
      <c r="GT44" s="739"/>
      <c r="GU44" s="739"/>
      <c r="GV44" s="739"/>
      <c r="GW44" s="739"/>
      <c r="GX44" s="739"/>
      <c r="GY44" s="739" t="s">
        <v>1359</v>
      </c>
      <c r="GZ44" s="739"/>
      <c r="HA44" s="739"/>
      <c r="HB44" s="739"/>
      <c r="HC44" s="739"/>
      <c r="HD44" s="739"/>
      <c r="HE44" s="739"/>
      <c r="HF44" s="739"/>
      <c r="HG44" s="739"/>
      <c r="HH44" s="739" t="s">
        <v>93</v>
      </c>
      <c r="HI44" s="739"/>
      <c r="HJ44" s="739"/>
      <c r="HK44" s="739"/>
      <c r="HL44" s="739"/>
      <c r="HM44" s="740" t="s">
        <v>93</v>
      </c>
      <c r="HN44" s="739"/>
      <c r="HO44" s="739"/>
      <c r="HP44" s="739"/>
      <c r="HQ44" s="739"/>
      <c r="HR44" s="739"/>
      <c r="HS44" s="739"/>
      <c r="HT44" s="739"/>
      <c r="HU44" s="739"/>
      <c r="HV44" s="739"/>
      <c r="HW44" s="739"/>
      <c r="HX44" s="739" t="s">
        <v>93</v>
      </c>
    </row>
    <row r="45" spans="1:232" s="375" customFormat="1" ht="20" customHeight="1">
      <c r="A45" s="738" t="s">
        <v>73</v>
      </c>
      <c r="B45" s="739"/>
      <c r="C45" s="739" t="str">
        <f>IF(ISTEXT(IFERROR(VLOOKUP(A45,职业列表!I3:J10,1,FALSE),0)),"★","")</f>
        <v/>
      </c>
      <c r="D45" s="739"/>
      <c r="E45" s="739"/>
      <c r="F45" s="739"/>
      <c r="G45" s="739"/>
      <c r="H45" s="739"/>
      <c r="I45" s="739"/>
      <c r="J45" s="739"/>
      <c r="K45" s="739"/>
      <c r="L45" s="739"/>
      <c r="M45" s="739" t="s">
        <v>93</v>
      </c>
      <c r="N45" s="739"/>
      <c r="O45" s="739"/>
      <c r="P45" s="739"/>
      <c r="Q45" s="739"/>
      <c r="R45" s="739"/>
      <c r="S45" s="739"/>
      <c r="T45" s="739"/>
      <c r="U45" s="739"/>
      <c r="V45" s="739"/>
      <c r="W45" s="739"/>
      <c r="X45" s="739"/>
      <c r="Y45" s="739"/>
      <c r="Z45" s="739"/>
      <c r="AA45" s="739"/>
      <c r="AB45" s="739"/>
      <c r="AC45" s="739" t="s">
        <v>93</v>
      </c>
      <c r="AD45" s="739"/>
      <c r="AE45" s="739" t="s">
        <v>1359</v>
      </c>
      <c r="AF45" s="739"/>
      <c r="AG45" s="739" t="s">
        <v>1359</v>
      </c>
      <c r="AH45" s="739"/>
      <c r="AI45" s="740" t="s">
        <v>1362</v>
      </c>
      <c r="AJ45" s="739"/>
      <c r="AK45" s="739"/>
      <c r="AL45" s="739"/>
      <c r="AM45" s="739"/>
      <c r="AN45" s="739"/>
      <c r="AO45" s="739"/>
      <c r="AP45" s="739"/>
      <c r="AQ45" s="739" t="s">
        <v>93</v>
      </c>
      <c r="AR45" s="739"/>
      <c r="AS45" s="739" t="s">
        <v>93</v>
      </c>
      <c r="AT45" s="739"/>
      <c r="AU45" s="739"/>
      <c r="AV45" s="739" t="s">
        <v>93</v>
      </c>
      <c r="AW45" s="739" t="s">
        <v>93</v>
      </c>
      <c r="AX45" s="739" t="s">
        <v>93</v>
      </c>
      <c r="AY45" s="739"/>
      <c r="AZ45" s="739"/>
      <c r="BA45" s="739" t="s">
        <v>93</v>
      </c>
      <c r="BB45" s="739"/>
      <c r="BC45" s="739"/>
      <c r="BD45" s="739" t="s">
        <v>93</v>
      </c>
      <c r="BE45" s="739"/>
      <c r="BF45" s="739" t="s">
        <v>93</v>
      </c>
      <c r="BG45" s="739"/>
      <c r="BH45" s="739"/>
      <c r="BI45" s="739"/>
      <c r="BJ45" s="739"/>
      <c r="BK45" s="739"/>
      <c r="BL45" s="739"/>
      <c r="BM45" s="739"/>
      <c r="BN45" s="739" t="s">
        <v>93</v>
      </c>
      <c r="BO45" s="739"/>
      <c r="BP45" s="739"/>
      <c r="BQ45" s="739"/>
      <c r="BR45" s="739"/>
      <c r="BS45" s="739" t="s">
        <v>93</v>
      </c>
      <c r="BT45" s="739" t="s">
        <v>93</v>
      </c>
      <c r="BU45" s="739" t="s">
        <v>93</v>
      </c>
      <c r="BV45" s="739"/>
      <c r="BW45" s="739"/>
      <c r="BX45" s="739" t="s">
        <v>93</v>
      </c>
      <c r="BY45" s="739"/>
      <c r="BZ45" s="739" t="s">
        <v>93</v>
      </c>
      <c r="CA45" s="739"/>
      <c r="CB45" s="739"/>
      <c r="CC45" s="739"/>
      <c r="CD45" s="739"/>
      <c r="CE45" s="739"/>
      <c r="CF45" s="739"/>
      <c r="CG45" s="739"/>
      <c r="CH45" s="739"/>
      <c r="CI45" s="739"/>
      <c r="CJ45" s="739"/>
      <c r="CK45" s="739" t="s">
        <v>93</v>
      </c>
      <c r="CL45" s="739" t="s">
        <v>93</v>
      </c>
      <c r="CM45" s="739"/>
      <c r="CN45" s="739"/>
      <c r="CO45" s="739"/>
      <c r="CP45" s="739"/>
      <c r="CQ45" s="739" t="s">
        <v>93</v>
      </c>
      <c r="CR45" s="739"/>
      <c r="CS45" s="739"/>
      <c r="CT45" s="739"/>
      <c r="CU45" s="739"/>
      <c r="CV45" s="739" t="s">
        <v>1359</v>
      </c>
      <c r="CW45" s="739" t="s">
        <v>93</v>
      </c>
      <c r="CX45" s="739"/>
      <c r="CY45" s="739"/>
      <c r="CZ45" s="739"/>
      <c r="DA45" s="739" t="s">
        <v>93</v>
      </c>
      <c r="DB45" s="740" t="s">
        <v>1362</v>
      </c>
      <c r="DC45" s="739"/>
      <c r="DD45" s="739"/>
      <c r="DE45" s="739" t="s">
        <v>1359</v>
      </c>
      <c r="DF45" s="739"/>
      <c r="DG45" s="739"/>
      <c r="DH45" s="739"/>
      <c r="DI45" s="739"/>
      <c r="DJ45" s="739"/>
      <c r="DK45" s="739"/>
      <c r="DL45" s="739"/>
      <c r="DM45" s="739"/>
      <c r="DN45" s="739"/>
      <c r="DO45" s="739"/>
      <c r="DP45" s="739"/>
      <c r="DQ45" s="739"/>
      <c r="DR45" s="739"/>
      <c r="DS45" s="739"/>
      <c r="DT45" s="739"/>
      <c r="DU45" s="739"/>
      <c r="DV45" s="739"/>
      <c r="DW45" s="739"/>
      <c r="DX45" s="739"/>
      <c r="DY45" s="739"/>
      <c r="DZ45" s="739"/>
      <c r="EA45" s="739"/>
      <c r="EB45" s="739"/>
      <c r="EC45" s="739"/>
      <c r="ED45" s="739"/>
      <c r="EE45" s="739"/>
      <c r="EF45" s="739"/>
      <c r="EG45" s="739"/>
      <c r="EH45" s="739"/>
      <c r="EI45" s="739" t="s">
        <v>93</v>
      </c>
      <c r="EJ45" s="739"/>
      <c r="EK45" s="739" t="s">
        <v>93</v>
      </c>
      <c r="EL45" s="739"/>
      <c r="EM45" s="739"/>
      <c r="EN45" s="739" t="s">
        <v>1359</v>
      </c>
      <c r="EO45" s="739"/>
      <c r="EP45" s="739" t="s">
        <v>93</v>
      </c>
      <c r="EQ45" s="739"/>
      <c r="ER45" s="739"/>
      <c r="ES45" s="739"/>
      <c r="ET45" s="739"/>
      <c r="EU45" s="739"/>
      <c r="EV45" s="739"/>
      <c r="EW45" s="739"/>
      <c r="EX45" s="739"/>
      <c r="EY45" s="739"/>
      <c r="EZ45" s="739" t="s">
        <v>93</v>
      </c>
      <c r="FA45" s="739"/>
      <c r="FB45" s="739" t="s">
        <v>1359</v>
      </c>
      <c r="FC45" s="739"/>
      <c r="FD45" s="739" t="s">
        <v>93</v>
      </c>
      <c r="FE45" s="739"/>
      <c r="FF45" s="739"/>
      <c r="FG45" s="739"/>
      <c r="FH45" s="739"/>
      <c r="FI45" s="739"/>
      <c r="FJ45" s="739"/>
      <c r="FK45" s="739"/>
      <c r="FL45" s="739"/>
      <c r="FM45" s="739"/>
      <c r="FN45" s="739"/>
      <c r="FO45" s="739"/>
      <c r="FP45" s="739" t="s">
        <v>93</v>
      </c>
      <c r="FQ45" s="739"/>
      <c r="FR45" s="739"/>
      <c r="FS45" s="739"/>
      <c r="FT45" s="739"/>
      <c r="FU45" s="739" t="s">
        <v>93</v>
      </c>
      <c r="FV45" s="739"/>
      <c r="FW45" s="739"/>
      <c r="FX45" s="739"/>
      <c r="FY45" s="739"/>
      <c r="FZ45" s="739"/>
      <c r="GA45" s="739" t="s">
        <v>93</v>
      </c>
      <c r="GB45" s="739" t="s">
        <v>93</v>
      </c>
      <c r="GC45" s="739" t="s">
        <v>1362</v>
      </c>
      <c r="GD45" s="739" t="s">
        <v>1362</v>
      </c>
      <c r="GE45" s="739"/>
      <c r="GF45" s="739"/>
      <c r="GG45" s="739"/>
      <c r="GH45" s="739"/>
      <c r="GI45" s="739"/>
      <c r="GJ45" s="739"/>
      <c r="GK45" s="739"/>
      <c r="GL45" s="739"/>
      <c r="GM45" s="739"/>
      <c r="GN45" s="739"/>
      <c r="GO45" s="739"/>
      <c r="GP45" s="739" t="s">
        <v>93</v>
      </c>
      <c r="GQ45" s="739"/>
      <c r="GR45" s="739" t="s">
        <v>93</v>
      </c>
      <c r="GS45" s="739"/>
      <c r="GT45" s="739"/>
      <c r="GU45" s="739" t="s">
        <v>1362</v>
      </c>
      <c r="GV45" s="739"/>
      <c r="GW45" s="739"/>
      <c r="GX45" s="739"/>
      <c r="GY45" s="739"/>
      <c r="GZ45" s="739"/>
      <c r="HA45" s="739"/>
      <c r="HB45" s="739"/>
      <c r="HC45" s="739"/>
      <c r="HD45" s="739" t="s">
        <v>93</v>
      </c>
      <c r="HE45" s="739"/>
      <c r="HF45" s="739"/>
      <c r="HG45" s="740" t="s">
        <v>93</v>
      </c>
      <c r="HH45" s="739"/>
      <c r="HI45" s="739"/>
      <c r="HJ45" s="739"/>
      <c r="HK45" s="739"/>
      <c r="HL45" s="739"/>
      <c r="HM45" s="739"/>
      <c r="HN45" s="739"/>
      <c r="HO45" s="739" t="s">
        <v>93</v>
      </c>
      <c r="HP45" s="739"/>
      <c r="HQ45" s="739"/>
      <c r="HR45" s="739"/>
      <c r="HS45" s="739"/>
      <c r="HT45" s="739" t="s">
        <v>93</v>
      </c>
      <c r="HU45" s="739"/>
      <c r="HV45" s="739"/>
      <c r="HW45" s="739" t="s">
        <v>93</v>
      </c>
      <c r="HX45" s="739"/>
    </row>
    <row r="46" spans="1:232" s="375" customFormat="1" ht="20" customHeight="1">
      <c r="A46" s="738" t="s">
        <v>75</v>
      </c>
      <c r="B46" s="739"/>
      <c r="C46" s="739" t="str">
        <f>IF(ISTEXT(IFERROR(VLOOKUP(A46,职业列表!I3:J10,1,FALSE),0)),"★","")</f>
        <v/>
      </c>
      <c r="D46" s="739"/>
      <c r="E46" s="739"/>
      <c r="F46" s="739"/>
      <c r="G46" s="739"/>
      <c r="H46" s="739"/>
      <c r="I46" s="739" t="s">
        <v>93</v>
      </c>
      <c r="J46" s="739"/>
      <c r="K46" s="739"/>
      <c r="L46" s="739"/>
      <c r="M46" s="739"/>
      <c r="N46" s="739"/>
      <c r="O46" s="739"/>
      <c r="P46" s="739"/>
      <c r="Q46" s="739"/>
      <c r="R46" s="739"/>
      <c r="S46" s="739"/>
      <c r="T46" s="739"/>
      <c r="U46" s="739"/>
      <c r="V46" s="739"/>
      <c r="W46" s="739"/>
      <c r="X46" s="739"/>
      <c r="Y46" s="739"/>
      <c r="Z46" s="739"/>
      <c r="AA46" s="739"/>
      <c r="AB46" s="739"/>
      <c r="AC46" s="739"/>
      <c r="AD46" s="739"/>
      <c r="AE46" s="739"/>
      <c r="AF46" s="739"/>
      <c r="AG46" s="739"/>
      <c r="AH46" s="739"/>
      <c r="AI46" s="739"/>
      <c r="AJ46" s="739"/>
      <c r="AK46" s="739"/>
      <c r="AL46" s="739"/>
      <c r="AM46" s="739"/>
      <c r="AN46" s="739"/>
      <c r="AO46" s="739"/>
      <c r="AP46" s="739"/>
      <c r="AQ46" s="739"/>
      <c r="AR46" s="739"/>
      <c r="AS46" s="739"/>
      <c r="AT46" s="739" t="s">
        <v>93</v>
      </c>
      <c r="AU46" s="739"/>
      <c r="AV46" s="739"/>
      <c r="AW46" s="739"/>
      <c r="AX46" s="739"/>
      <c r="AY46" s="739"/>
      <c r="AZ46" s="739"/>
      <c r="BA46" s="739"/>
      <c r="BB46" s="739"/>
      <c r="BC46" s="739"/>
      <c r="BD46" s="739"/>
      <c r="BE46" s="739"/>
      <c r="BF46" s="739"/>
      <c r="BG46" s="739"/>
      <c r="BH46" s="739" t="s">
        <v>93</v>
      </c>
      <c r="BI46" s="739"/>
      <c r="BJ46" s="739"/>
      <c r="BK46" s="739"/>
      <c r="BL46" s="739"/>
      <c r="BM46" s="739"/>
      <c r="BN46" s="739"/>
      <c r="BO46" s="739"/>
      <c r="BP46" s="739"/>
      <c r="BQ46" s="739"/>
      <c r="BR46" s="739"/>
      <c r="BS46" s="739"/>
      <c r="BT46" s="739"/>
      <c r="BU46" s="739"/>
      <c r="BV46" s="739"/>
      <c r="BW46" s="739"/>
      <c r="BX46" s="739"/>
      <c r="BY46" s="739"/>
      <c r="BZ46" s="739" t="s">
        <v>93</v>
      </c>
      <c r="CA46" s="739"/>
      <c r="CB46" s="739"/>
      <c r="CC46" s="739"/>
      <c r="CD46" s="739" t="s">
        <v>93</v>
      </c>
      <c r="CE46" s="739"/>
      <c r="CF46" s="739"/>
      <c r="CG46" s="739"/>
      <c r="CH46" s="739"/>
      <c r="CI46" s="739"/>
      <c r="CJ46" s="739"/>
      <c r="CK46" s="739"/>
      <c r="CL46" s="739"/>
      <c r="CM46" s="739"/>
      <c r="CN46" s="739"/>
      <c r="CO46" s="739"/>
      <c r="CP46" s="739"/>
      <c r="CQ46" s="739"/>
      <c r="CR46" s="739"/>
      <c r="CS46" s="739" t="s">
        <v>93</v>
      </c>
      <c r="CT46" s="739"/>
      <c r="CU46" s="739"/>
      <c r="CV46" s="739"/>
      <c r="CW46" s="739"/>
      <c r="CX46" s="739"/>
      <c r="CY46" s="739"/>
      <c r="CZ46" s="739"/>
      <c r="DA46" s="739"/>
      <c r="DB46" s="739"/>
      <c r="DC46" s="739"/>
      <c r="DD46" s="739"/>
      <c r="DE46" s="739"/>
      <c r="DF46" s="739"/>
      <c r="DG46" s="739"/>
      <c r="DH46" s="739"/>
      <c r="DI46" s="739"/>
      <c r="DJ46" s="739"/>
      <c r="DK46" s="739"/>
      <c r="DL46" s="739"/>
      <c r="DM46" s="739" t="s">
        <v>93</v>
      </c>
      <c r="DN46" s="739"/>
      <c r="DO46" s="739"/>
      <c r="DP46" s="739"/>
      <c r="DQ46" s="739"/>
      <c r="DR46" s="739"/>
      <c r="DS46" s="739"/>
      <c r="DT46" s="739"/>
      <c r="DU46" s="739"/>
      <c r="DV46" s="739"/>
      <c r="DW46" s="739"/>
      <c r="DX46" s="739"/>
      <c r="DY46" s="739"/>
      <c r="DZ46" s="739"/>
      <c r="EA46" s="739"/>
      <c r="EB46" s="739"/>
      <c r="EC46" s="739"/>
      <c r="ED46" s="739"/>
      <c r="EE46" s="739"/>
      <c r="EF46" s="739" t="s">
        <v>93</v>
      </c>
      <c r="EG46" s="739" t="s">
        <v>93</v>
      </c>
      <c r="EH46" s="739" t="s">
        <v>93</v>
      </c>
      <c r="EI46" s="739"/>
      <c r="EJ46" s="739"/>
      <c r="EK46" s="739"/>
      <c r="EL46" s="739" t="s">
        <v>93</v>
      </c>
      <c r="EM46" s="739"/>
      <c r="EN46" s="739"/>
      <c r="EO46" s="739"/>
      <c r="EP46" s="739"/>
      <c r="EQ46" s="739"/>
      <c r="ER46" s="739"/>
      <c r="ES46" s="739"/>
      <c r="ET46" s="739"/>
      <c r="EU46" s="739"/>
      <c r="EV46" s="739"/>
      <c r="EW46" s="739"/>
      <c r="EX46" s="739"/>
      <c r="EY46" s="739"/>
      <c r="EZ46" s="739" t="s">
        <v>93</v>
      </c>
      <c r="FA46" s="739" t="s">
        <v>93</v>
      </c>
      <c r="FB46" s="739"/>
      <c r="FC46" s="739"/>
      <c r="FD46" s="739"/>
      <c r="FE46" s="739"/>
      <c r="FF46" s="739"/>
      <c r="FG46" s="739"/>
      <c r="FH46" s="739"/>
      <c r="FI46" s="739"/>
      <c r="FJ46" s="739"/>
      <c r="FK46" s="739"/>
      <c r="FL46" s="739" t="s">
        <v>93</v>
      </c>
      <c r="FM46" s="739"/>
      <c r="FN46" s="739"/>
      <c r="FO46" s="739"/>
      <c r="FP46" s="739"/>
      <c r="FQ46" s="739"/>
      <c r="FR46" s="739"/>
      <c r="FS46" s="739"/>
      <c r="FT46" s="739"/>
      <c r="FU46" s="739" t="s">
        <v>93</v>
      </c>
      <c r="FV46" s="739" t="s">
        <v>93</v>
      </c>
      <c r="FW46" s="739" t="s">
        <v>93</v>
      </c>
      <c r="FX46" s="739"/>
      <c r="FY46" s="739"/>
      <c r="FZ46" s="739"/>
      <c r="GA46" s="739"/>
      <c r="GB46" s="739"/>
      <c r="GC46" s="739"/>
      <c r="GD46" s="739"/>
      <c r="GE46" s="739"/>
      <c r="GF46" s="739"/>
      <c r="GG46" s="739"/>
      <c r="GH46" s="739"/>
      <c r="GI46" s="739"/>
      <c r="GJ46" s="739"/>
      <c r="GK46" s="739"/>
      <c r="GL46" s="739"/>
      <c r="GM46" s="739"/>
      <c r="GN46" s="739"/>
      <c r="GO46" s="739"/>
      <c r="GP46" s="739"/>
      <c r="GQ46" s="739"/>
      <c r="GR46" s="739"/>
      <c r="GS46" s="739"/>
      <c r="GT46" s="739"/>
      <c r="GU46" s="739"/>
      <c r="GV46" s="739"/>
      <c r="GW46" s="739"/>
      <c r="GX46" s="739"/>
      <c r="GY46" s="739"/>
      <c r="GZ46" s="739"/>
      <c r="HA46" s="739"/>
      <c r="HB46" s="739"/>
      <c r="HC46" s="739"/>
      <c r="HD46" s="739"/>
      <c r="HE46" s="739"/>
      <c r="HF46" s="739"/>
      <c r="HG46" s="739"/>
      <c r="HH46" s="739"/>
      <c r="HI46" s="739"/>
      <c r="HJ46" s="739"/>
      <c r="HK46" s="739"/>
      <c r="HL46" s="739"/>
      <c r="HM46" s="739"/>
      <c r="HN46" s="739"/>
      <c r="HO46" s="739"/>
      <c r="HP46" s="739"/>
      <c r="HQ46" s="739" t="s">
        <v>93</v>
      </c>
      <c r="HR46" s="739"/>
      <c r="HS46" s="739"/>
      <c r="HT46" s="739"/>
      <c r="HU46" s="739"/>
      <c r="HV46" s="739"/>
      <c r="HW46" s="739"/>
      <c r="HX46" s="739"/>
    </row>
    <row r="47" spans="1:232" s="375" customFormat="1" ht="20" customHeight="1">
      <c r="A47" s="738" t="s">
        <v>77</v>
      </c>
      <c r="B47" s="739"/>
      <c r="C47" s="740" t="str">
        <f>IF(ISTEXT(IFERROR(VLOOKUP(A47,职业列表!I3:J10,1,FALSE),0)),"★","")</f>
        <v/>
      </c>
      <c r="D47" s="739"/>
      <c r="E47" s="739"/>
      <c r="F47" s="739"/>
      <c r="G47" s="739"/>
      <c r="H47" s="739"/>
      <c r="I47" s="739"/>
      <c r="J47" s="739" t="s">
        <v>93</v>
      </c>
      <c r="K47" s="739"/>
      <c r="L47" s="739"/>
      <c r="M47" s="739"/>
      <c r="N47" s="739"/>
      <c r="O47" s="739" t="s">
        <v>1359</v>
      </c>
      <c r="P47" s="739"/>
      <c r="Q47" s="739"/>
      <c r="R47" s="739" t="s">
        <v>1359</v>
      </c>
      <c r="S47" s="739"/>
      <c r="T47" s="739" t="s">
        <v>93</v>
      </c>
      <c r="U47" s="739"/>
      <c r="V47" s="739"/>
      <c r="W47" s="739"/>
      <c r="X47" s="739"/>
      <c r="Y47" s="739"/>
      <c r="Z47" s="739"/>
      <c r="AA47" s="739"/>
      <c r="AB47" s="739" t="s">
        <v>1359</v>
      </c>
      <c r="AC47" s="739" t="s">
        <v>93</v>
      </c>
      <c r="AD47" s="739"/>
      <c r="AE47" s="739"/>
      <c r="AF47" s="739"/>
      <c r="AG47" s="739"/>
      <c r="AH47" s="739"/>
      <c r="AI47" s="739"/>
      <c r="AJ47" s="739"/>
      <c r="AK47" s="739"/>
      <c r="AL47" s="739"/>
      <c r="AM47" s="739"/>
      <c r="AN47" s="739"/>
      <c r="AO47" s="739"/>
      <c r="AP47" s="739"/>
      <c r="AQ47" s="739"/>
      <c r="AR47" s="739"/>
      <c r="AS47" s="739"/>
      <c r="AT47" s="739"/>
      <c r="AU47" s="739"/>
      <c r="AV47" s="739"/>
      <c r="AW47" s="739"/>
      <c r="AX47" s="739"/>
      <c r="AY47" s="739"/>
      <c r="AZ47" s="739"/>
      <c r="BA47" s="739"/>
      <c r="BB47" s="739"/>
      <c r="BC47" s="739" t="s">
        <v>93</v>
      </c>
      <c r="BD47" s="739" t="s">
        <v>93</v>
      </c>
      <c r="BE47" s="739"/>
      <c r="BF47" s="739"/>
      <c r="BG47" s="739"/>
      <c r="BH47" s="739"/>
      <c r="BI47" s="739"/>
      <c r="BJ47" s="739"/>
      <c r="BK47" s="739"/>
      <c r="BL47" s="739"/>
      <c r="BM47" s="739"/>
      <c r="BN47" s="739"/>
      <c r="BO47" s="739"/>
      <c r="BP47" s="739"/>
      <c r="BQ47" s="739"/>
      <c r="BR47" s="739"/>
      <c r="BS47" s="744"/>
      <c r="BT47" s="739" t="s">
        <v>1359</v>
      </c>
      <c r="BU47" s="739"/>
      <c r="BV47" s="739"/>
      <c r="BW47" s="739"/>
      <c r="BX47" s="739"/>
      <c r="BY47" s="739"/>
      <c r="BZ47" s="739" t="s">
        <v>93</v>
      </c>
      <c r="CA47" s="739"/>
      <c r="CB47" s="739"/>
      <c r="CC47" s="739"/>
      <c r="CD47" s="739"/>
      <c r="CE47" s="739"/>
      <c r="CF47" s="739" t="s">
        <v>93</v>
      </c>
      <c r="CG47" s="739"/>
      <c r="CH47" s="739"/>
      <c r="CI47" s="739"/>
      <c r="CJ47" s="739"/>
      <c r="CK47" s="739"/>
      <c r="CL47" s="739"/>
      <c r="CM47" s="739"/>
      <c r="CN47" s="739"/>
      <c r="CO47" s="739"/>
      <c r="CP47" s="739"/>
      <c r="CQ47" s="739"/>
      <c r="CR47" s="739"/>
      <c r="CS47" s="739"/>
      <c r="CT47" s="739"/>
      <c r="CU47" s="739"/>
      <c r="CV47" s="739"/>
      <c r="CW47" s="739" t="s">
        <v>93</v>
      </c>
      <c r="CX47" s="739"/>
      <c r="CY47" s="739"/>
      <c r="CZ47" s="739"/>
      <c r="DA47" s="739"/>
      <c r="DB47" s="739"/>
      <c r="DC47" s="739"/>
      <c r="DD47" s="739"/>
      <c r="DE47" s="739"/>
      <c r="DF47" s="739" t="s">
        <v>93</v>
      </c>
      <c r="DG47" s="739"/>
      <c r="DH47" s="739"/>
      <c r="DI47" s="739"/>
      <c r="DJ47" s="739"/>
      <c r="DK47" s="739"/>
      <c r="DL47" s="739"/>
      <c r="DM47" s="739" t="s">
        <v>93</v>
      </c>
      <c r="DN47" s="739"/>
      <c r="DO47" s="739"/>
      <c r="DP47" s="739"/>
      <c r="DQ47" s="739"/>
      <c r="DR47" s="739"/>
      <c r="DS47" s="739"/>
      <c r="DT47" s="739"/>
      <c r="DU47" s="739"/>
      <c r="DV47" s="739"/>
      <c r="DW47" s="739"/>
      <c r="DX47" s="739"/>
      <c r="DY47" s="739"/>
      <c r="DZ47" s="739"/>
      <c r="EA47" s="739"/>
      <c r="EB47" s="739"/>
      <c r="EC47" s="739"/>
      <c r="ED47" s="739"/>
      <c r="EE47" s="739"/>
      <c r="EF47" s="739"/>
      <c r="EG47" s="739"/>
      <c r="EH47" s="739"/>
      <c r="EI47" s="739"/>
      <c r="EJ47" s="739"/>
      <c r="EK47" s="739"/>
      <c r="EL47" s="739"/>
      <c r="EM47" s="739"/>
      <c r="EN47" s="739"/>
      <c r="EO47" s="739"/>
      <c r="EP47" s="739"/>
      <c r="EQ47" s="739"/>
      <c r="ER47" s="739"/>
      <c r="ES47" s="739"/>
      <c r="ET47" s="739"/>
      <c r="EU47" s="739"/>
      <c r="EV47" s="739"/>
      <c r="EW47" s="739" t="s">
        <v>93</v>
      </c>
      <c r="EX47" s="739"/>
      <c r="EY47" s="739"/>
      <c r="EZ47" s="739"/>
      <c r="FA47" s="739"/>
      <c r="FB47" s="739"/>
      <c r="FC47" s="739"/>
      <c r="FD47" s="739"/>
      <c r="FE47" s="739"/>
      <c r="FF47" s="739"/>
      <c r="FG47" s="739"/>
      <c r="FH47" s="739" t="s">
        <v>93</v>
      </c>
      <c r="FI47" s="739"/>
      <c r="FJ47" s="739"/>
      <c r="FK47" s="739"/>
      <c r="FL47" s="739" t="s">
        <v>93</v>
      </c>
      <c r="FM47" s="739"/>
      <c r="FN47" s="739"/>
      <c r="FO47" s="739"/>
      <c r="FP47" s="739" t="s">
        <v>93</v>
      </c>
      <c r="FQ47" s="739"/>
      <c r="FR47" s="739"/>
      <c r="FS47" s="739"/>
      <c r="FT47" s="739" t="s">
        <v>93</v>
      </c>
      <c r="FU47" s="739"/>
      <c r="FV47" s="739"/>
      <c r="FW47" s="739"/>
      <c r="FX47" s="739"/>
      <c r="FY47" s="739"/>
      <c r="FZ47" s="739"/>
      <c r="GA47" s="739"/>
      <c r="GB47" s="739" t="s">
        <v>93</v>
      </c>
      <c r="GC47" s="739"/>
      <c r="GD47" s="739"/>
      <c r="GE47" s="739" t="s">
        <v>93</v>
      </c>
      <c r="GF47" s="739"/>
      <c r="GG47" s="739"/>
      <c r="GH47" s="739"/>
      <c r="GI47" s="739"/>
      <c r="GJ47" s="739"/>
      <c r="GK47" s="739"/>
      <c r="GL47" s="739"/>
      <c r="GM47" s="739"/>
      <c r="GN47" s="739"/>
      <c r="GO47" s="739"/>
      <c r="GP47" s="739"/>
      <c r="GQ47" s="739"/>
      <c r="GR47" s="739"/>
      <c r="GS47" s="739" t="s">
        <v>93</v>
      </c>
      <c r="GT47" s="739"/>
      <c r="GU47" s="739"/>
      <c r="GV47" s="739"/>
      <c r="GW47" s="739"/>
      <c r="GX47" s="739"/>
      <c r="GY47" s="739"/>
      <c r="GZ47" s="739"/>
      <c r="HA47" s="739"/>
      <c r="HB47" s="739"/>
      <c r="HC47" s="739"/>
      <c r="HD47" s="739" t="s">
        <v>93</v>
      </c>
      <c r="HE47" s="739"/>
      <c r="HF47" s="739"/>
      <c r="HG47" s="739"/>
      <c r="HH47" s="739"/>
      <c r="HI47" s="739"/>
      <c r="HJ47" s="739"/>
      <c r="HK47" s="739"/>
      <c r="HL47" s="739" t="s">
        <v>93</v>
      </c>
      <c r="HM47" s="739"/>
      <c r="HN47" s="739"/>
      <c r="HO47" s="739"/>
      <c r="HP47" s="739"/>
      <c r="HQ47" s="739"/>
      <c r="HR47" s="739"/>
      <c r="HS47" s="739"/>
      <c r="HT47" s="739"/>
      <c r="HU47" s="739"/>
      <c r="HV47" s="739"/>
      <c r="HW47" s="739"/>
      <c r="HX47" s="739"/>
    </row>
    <row r="48" spans="1:232" s="375" customFormat="1" ht="20" customHeight="1">
      <c r="A48" s="738" t="s">
        <v>79</v>
      </c>
      <c r="B48" s="739"/>
      <c r="C48" s="739" t="str">
        <f>IF(ISTEXT(IFERROR(VLOOKUP(A48,职业列表!I3:J10,1,FALSE),0)),"★","")</f>
        <v/>
      </c>
      <c r="D48" s="739"/>
      <c r="E48" s="739"/>
      <c r="F48" s="739"/>
      <c r="G48" s="739"/>
      <c r="H48" s="739"/>
      <c r="I48" s="739"/>
      <c r="J48" s="739"/>
      <c r="K48" s="739"/>
      <c r="L48" s="739" t="s">
        <v>93</v>
      </c>
      <c r="M48" s="739" t="s">
        <v>1359</v>
      </c>
      <c r="N48" s="739"/>
      <c r="O48" s="739"/>
      <c r="P48" s="739"/>
      <c r="Q48" s="739"/>
      <c r="R48" s="739"/>
      <c r="S48" s="739"/>
      <c r="T48" s="739" t="s">
        <v>93</v>
      </c>
      <c r="U48" s="739"/>
      <c r="V48" s="739"/>
      <c r="W48" s="739"/>
      <c r="X48" s="739"/>
      <c r="Y48" s="739"/>
      <c r="Z48" s="739"/>
      <c r="AA48" s="739"/>
      <c r="AB48" s="739"/>
      <c r="AC48" s="739"/>
      <c r="AD48" s="739"/>
      <c r="AE48" s="739"/>
      <c r="AF48" s="739"/>
      <c r="AG48" s="739"/>
      <c r="AH48" s="739"/>
      <c r="AI48" s="739"/>
      <c r="AJ48" s="739"/>
      <c r="AK48" s="739"/>
      <c r="AL48" s="739"/>
      <c r="AM48" s="739" t="s">
        <v>93</v>
      </c>
      <c r="AN48" s="739"/>
      <c r="AO48" s="739"/>
      <c r="AP48" s="739"/>
      <c r="AQ48" s="739"/>
      <c r="AR48" s="739"/>
      <c r="AS48" s="739"/>
      <c r="AT48" s="739"/>
      <c r="AU48" s="739" t="s">
        <v>93</v>
      </c>
      <c r="AV48" s="739" t="s">
        <v>93</v>
      </c>
      <c r="AW48" s="739" t="s">
        <v>93</v>
      </c>
      <c r="AX48" s="739" t="s">
        <v>93</v>
      </c>
      <c r="AY48" s="739"/>
      <c r="AZ48" s="739"/>
      <c r="BA48" s="739"/>
      <c r="BB48" s="739"/>
      <c r="BC48" s="739" t="s">
        <v>93</v>
      </c>
      <c r="BD48" s="744"/>
      <c r="BE48" s="739"/>
      <c r="BF48" s="739"/>
      <c r="BG48" s="739"/>
      <c r="BH48" s="739"/>
      <c r="BI48" s="739"/>
      <c r="BJ48" s="739"/>
      <c r="BK48" s="739"/>
      <c r="BL48" s="739" t="s">
        <v>93</v>
      </c>
      <c r="BM48" s="739" t="s">
        <v>93</v>
      </c>
      <c r="BN48" s="739"/>
      <c r="BO48" s="739"/>
      <c r="BP48" s="739"/>
      <c r="BQ48" s="739"/>
      <c r="BR48" s="739"/>
      <c r="BS48" s="739"/>
      <c r="BT48" s="739"/>
      <c r="BU48" s="739"/>
      <c r="BV48" s="739"/>
      <c r="BW48" s="739"/>
      <c r="BX48" s="739"/>
      <c r="BY48" s="739" t="s">
        <v>93</v>
      </c>
      <c r="BZ48" s="739"/>
      <c r="CA48" s="739" t="s">
        <v>93</v>
      </c>
      <c r="CB48" s="739"/>
      <c r="CC48" s="739"/>
      <c r="CD48" s="739"/>
      <c r="CE48" s="739"/>
      <c r="CF48" s="739" t="s">
        <v>93</v>
      </c>
      <c r="CG48" s="739"/>
      <c r="CH48" s="739"/>
      <c r="CI48" s="739"/>
      <c r="CJ48" s="739"/>
      <c r="CK48" s="739" t="s">
        <v>93</v>
      </c>
      <c r="CL48" s="739" t="s">
        <v>93</v>
      </c>
      <c r="CM48" s="739"/>
      <c r="CN48" s="739"/>
      <c r="CO48" s="739"/>
      <c r="CP48" s="739"/>
      <c r="CQ48" s="739" t="s">
        <v>93</v>
      </c>
      <c r="CR48" s="739"/>
      <c r="CS48" s="739"/>
      <c r="CT48" s="739"/>
      <c r="CU48" s="739"/>
      <c r="CV48" s="739" t="s">
        <v>93</v>
      </c>
      <c r="CW48" s="739" t="s">
        <v>93</v>
      </c>
      <c r="CX48" s="739"/>
      <c r="CY48" s="739"/>
      <c r="CZ48" s="739"/>
      <c r="DA48" s="739"/>
      <c r="DB48" s="739"/>
      <c r="DC48" s="739"/>
      <c r="DD48" s="739"/>
      <c r="DE48" s="739"/>
      <c r="DF48" s="739"/>
      <c r="DG48" s="739"/>
      <c r="DH48" s="739"/>
      <c r="DI48" s="739"/>
      <c r="DJ48" s="739"/>
      <c r="DK48" s="739"/>
      <c r="DL48" s="739"/>
      <c r="DM48" s="739"/>
      <c r="DN48" s="739"/>
      <c r="DO48" s="739"/>
      <c r="DP48" s="739"/>
      <c r="DQ48" s="739"/>
      <c r="DR48" s="739"/>
      <c r="DS48" s="739"/>
      <c r="DT48" s="739"/>
      <c r="DU48" s="739"/>
      <c r="DV48" s="739"/>
      <c r="DW48" s="739"/>
      <c r="DX48" s="739"/>
      <c r="DY48" s="739"/>
      <c r="DZ48" s="739"/>
      <c r="EA48" s="739"/>
      <c r="EB48" s="739"/>
      <c r="EC48" s="739"/>
      <c r="ED48" s="739"/>
      <c r="EE48" s="739"/>
      <c r="EF48" s="739"/>
      <c r="EG48" s="739"/>
      <c r="EH48" s="739"/>
      <c r="EI48" s="739" t="s">
        <v>93</v>
      </c>
      <c r="EJ48" s="739"/>
      <c r="EK48" s="739"/>
      <c r="EL48" s="739"/>
      <c r="EM48" s="739"/>
      <c r="EN48" s="739"/>
      <c r="EO48" s="739"/>
      <c r="EP48" s="739"/>
      <c r="EQ48" s="739"/>
      <c r="ER48" s="739"/>
      <c r="ES48" s="739" t="s">
        <v>93</v>
      </c>
      <c r="ET48" s="739"/>
      <c r="EU48" s="739"/>
      <c r="EV48" s="739"/>
      <c r="EW48" s="739" t="s">
        <v>93</v>
      </c>
      <c r="EX48" s="739"/>
      <c r="EY48" s="739"/>
      <c r="EZ48" s="739"/>
      <c r="FA48" s="739"/>
      <c r="FB48" s="739"/>
      <c r="FC48" s="739"/>
      <c r="FD48" s="739"/>
      <c r="FE48" s="739"/>
      <c r="FF48" s="739"/>
      <c r="FG48" s="739"/>
      <c r="FH48" s="739"/>
      <c r="FI48" s="739"/>
      <c r="FJ48" s="739"/>
      <c r="FK48" s="739"/>
      <c r="FL48" s="739"/>
      <c r="FM48" s="739"/>
      <c r="FN48" s="739"/>
      <c r="FO48" s="739"/>
      <c r="FP48" s="739" t="s">
        <v>93</v>
      </c>
      <c r="FQ48" s="739"/>
      <c r="FR48" s="739"/>
      <c r="FS48" s="739"/>
      <c r="FT48" s="739"/>
      <c r="FU48" s="739"/>
      <c r="FV48" s="739"/>
      <c r="FW48" s="739"/>
      <c r="FX48" s="739" t="s">
        <v>93</v>
      </c>
      <c r="FY48" s="739"/>
      <c r="FZ48" s="739"/>
      <c r="GA48" s="739" t="s">
        <v>93</v>
      </c>
      <c r="GB48" s="739" t="s">
        <v>93</v>
      </c>
      <c r="GC48" s="739"/>
      <c r="GD48" s="739"/>
      <c r="GE48" s="739" t="s">
        <v>93</v>
      </c>
      <c r="GF48" s="739"/>
      <c r="GG48" s="739"/>
      <c r="GH48" s="739"/>
      <c r="GI48" s="739"/>
      <c r="GJ48" s="739"/>
      <c r="GK48" s="739"/>
      <c r="GL48" s="739"/>
      <c r="GM48" s="739"/>
      <c r="GN48" s="739"/>
      <c r="GO48" s="739"/>
      <c r="GP48" s="739"/>
      <c r="GQ48" s="739"/>
      <c r="GR48" s="739"/>
      <c r="GS48" s="739"/>
      <c r="GT48" s="739"/>
      <c r="GU48" s="739"/>
      <c r="GV48" s="739"/>
      <c r="GW48" s="739"/>
      <c r="GX48" s="739"/>
      <c r="GY48" s="739"/>
      <c r="GZ48" s="739"/>
      <c r="HA48" s="739"/>
      <c r="HB48" s="739"/>
      <c r="HC48" s="739"/>
      <c r="HD48" s="739" t="s">
        <v>93</v>
      </c>
      <c r="HE48" s="739"/>
      <c r="HF48" s="739"/>
      <c r="HG48" s="739"/>
      <c r="HH48" s="739"/>
      <c r="HI48" s="739"/>
      <c r="HJ48" s="739"/>
      <c r="HK48" s="740" t="s">
        <v>93</v>
      </c>
      <c r="HL48" s="739" t="s">
        <v>93</v>
      </c>
      <c r="HM48" s="739"/>
      <c r="HN48" s="739"/>
      <c r="HO48" s="739"/>
      <c r="HP48" s="739"/>
      <c r="HQ48" s="739"/>
      <c r="HR48" s="739"/>
      <c r="HS48" s="739"/>
      <c r="HT48" s="739"/>
      <c r="HU48" s="739"/>
      <c r="HV48" s="739"/>
      <c r="HW48" s="739"/>
      <c r="HX48" s="740" t="s">
        <v>93</v>
      </c>
    </row>
    <row r="49" spans="1:232" s="375" customFormat="1" ht="20" customHeight="1">
      <c r="A49" s="738" t="s">
        <v>82</v>
      </c>
      <c r="B49" s="739"/>
      <c r="C49" s="739" t="str">
        <f>IF(ISTEXT(IFERROR(VLOOKUP(A49,职业列表!I3:J10,1,FALSE),0)),"★","")</f>
        <v/>
      </c>
      <c r="D49" s="739"/>
      <c r="E49" s="739"/>
      <c r="F49" s="739"/>
      <c r="G49" s="739"/>
      <c r="H49" s="739"/>
      <c r="I49" s="739"/>
      <c r="J49" s="739"/>
      <c r="K49" s="739"/>
      <c r="L49" s="739"/>
      <c r="M49" s="739"/>
      <c r="N49" s="739"/>
      <c r="O49" s="739"/>
      <c r="P49" s="739"/>
      <c r="Q49" s="739"/>
      <c r="R49" s="739" t="s">
        <v>1359</v>
      </c>
      <c r="S49" s="739"/>
      <c r="T49" s="739"/>
      <c r="U49" s="739"/>
      <c r="V49" s="739"/>
      <c r="W49" s="739"/>
      <c r="X49" s="739"/>
      <c r="Y49" s="739"/>
      <c r="Z49" s="739"/>
      <c r="AA49" s="739"/>
      <c r="AB49" s="739"/>
      <c r="AC49" s="739"/>
      <c r="AD49" s="739"/>
      <c r="AE49" s="739"/>
      <c r="AF49" s="739"/>
      <c r="AG49" s="739"/>
      <c r="AH49" s="739"/>
      <c r="AI49" s="739"/>
      <c r="AJ49" s="739"/>
      <c r="AK49" s="739"/>
      <c r="AL49" s="739"/>
      <c r="AM49" s="739"/>
      <c r="AN49" s="739"/>
      <c r="AO49" s="739" t="s">
        <v>93</v>
      </c>
      <c r="AP49" s="739" t="s">
        <v>93</v>
      </c>
      <c r="AQ49" s="739"/>
      <c r="AR49" s="739"/>
      <c r="AS49" s="739"/>
      <c r="AT49" s="739"/>
      <c r="AU49" s="739"/>
      <c r="AV49" s="739"/>
      <c r="AW49" s="739"/>
      <c r="AX49" s="739"/>
      <c r="AY49" s="739"/>
      <c r="AZ49" s="739"/>
      <c r="BA49" s="739"/>
      <c r="BB49" s="739"/>
      <c r="BC49" s="739"/>
      <c r="BD49" s="739"/>
      <c r="BE49" s="739"/>
      <c r="BF49" s="739"/>
      <c r="BG49" s="739"/>
      <c r="BH49" s="739"/>
      <c r="BI49" s="739"/>
      <c r="BJ49" s="739"/>
      <c r="BK49" s="739"/>
      <c r="BL49" s="739"/>
      <c r="BM49" s="739"/>
      <c r="BN49" s="739"/>
      <c r="BO49" s="739"/>
      <c r="BP49" s="739"/>
      <c r="BQ49" s="739"/>
      <c r="BR49" s="739"/>
      <c r="BS49" s="739"/>
      <c r="BT49" s="739"/>
      <c r="BU49" s="739"/>
      <c r="BV49" s="739"/>
      <c r="BW49" s="739"/>
      <c r="BX49" s="739"/>
      <c r="BY49" s="739"/>
      <c r="BZ49" s="739"/>
      <c r="CA49" s="739"/>
      <c r="CB49" s="739" t="s">
        <v>93</v>
      </c>
      <c r="CC49" s="739"/>
      <c r="CD49" s="739"/>
      <c r="CE49" s="739" t="s">
        <v>93</v>
      </c>
      <c r="CF49" s="739"/>
      <c r="CG49" s="739" t="s">
        <v>93</v>
      </c>
      <c r="CH49" s="739"/>
      <c r="CI49" s="739"/>
      <c r="CJ49" s="739"/>
      <c r="CK49" s="739"/>
      <c r="CL49" s="739"/>
      <c r="CM49" s="739"/>
      <c r="CN49" s="739"/>
      <c r="CO49" s="739"/>
      <c r="CP49" s="739"/>
      <c r="CQ49" s="739"/>
      <c r="CR49" s="739"/>
      <c r="CS49" s="739"/>
      <c r="CT49" s="739"/>
      <c r="CU49" s="739"/>
      <c r="CV49" s="739"/>
      <c r="CW49" s="739"/>
      <c r="CX49" s="739"/>
      <c r="CY49" s="739"/>
      <c r="CZ49" s="739"/>
      <c r="DA49" s="739"/>
      <c r="DB49" s="739"/>
      <c r="DC49" s="739"/>
      <c r="DD49" s="739"/>
      <c r="DE49" s="739"/>
      <c r="DF49" s="739" t="s">
        <v>93</v>
      </c>
      <c r="DG49" s="739" t="s">
        <v>93</v>
      </c>
      <c r="DH49" s="739"/>
      <c r="DI49" s="739"/>
      <c r="DJ49" s="739"/>
      <c r="DK49" s="739"/>
      <c r="DL49" s="739"/>
      <c r="DM49" s="739"/>
      <c r="DN49" s="739"/>
      <c r="DO49" s="739"/>
      <c r="DP49" s="739"/>
      <c r="DQ49" s="739"/>
      <c r="DR49" s="739"/>
      <c r="DS49" s="739"/>
      <c r="DT49" s="739"/>
      <c r="DU49" s="739" t="s">
        <v>93</v>
      </c>
      <c r="DV49" s="739"/>
      <c r="DW49" s="739" t="s">
        <v>93</v>
      </c>
      <c r="DX49" s="739"/>
      <c r="DY49" s="739"/>
      <c r="DZ49" s="739"/>
      <c r="EA49" s="739"/>
      <c r="EB49" s="739"/>
      <c r="EC49" s="739"/>
      <c r="ED49" s="739"/>
      <c r="EE49" s="739"/>
      <c r="EF49" s="739"/>
      <c r="EG49" s="739"/>
      <c r="EH49" s="739"/>
      <c r="EI49" s="739"/>
      <c r="EJ49" s="739"/>
      <c r="EK49" s="739"/>
      <c r="EL49" s="739"/>
      <c r="EM49" s="739"/>
      <c r="EN49" s="739"/>
      <c r="EO49" s="739"/>
      <c r="EP49" s="739"/>
      <c r="EQ49" s="739"/>
      <c r="ER49" s="739"/>
      <c r="ES49" s="739"/>
      <c r="ET49" s="739"/>
      <c r="EU49" s="739"/>
      <c r="EV49" s="739"/>
      <c r="EW49" s="739"/>
      <c r="EX49" s="739"/>
      <c r="EY49" s="739"/>
      <c r="EZ49" s="739"/>
      <c r="FA49" s="739"/>
      <c r="FB49" s="739"/>
      <c r="FC49" s="739"/>
      <c r="FD49" s="739"/>
      <c r="FE49" s="739"/>
      <c r="FF49" s="739" t="s">
        <v>93</v>
      </c>
      <c r="FG49" s="739" t="s">
        <v>93</v>
      </c>
      <c r="FH49" s="739" t="s">
        <v>93</v>
      </c>
      <c r="FI49" s="739"/>
      <c r="FJ49" s="739" t="s">
        <v>93</v>
      </c>
      <c r="FK49" s="739" t="s">
        <v>93</v>
      </c>
      <c r="FL49" s="739" t="s">
        <v>93</v>
      </c>
      <c r="FM49" s="739"/>
      <c r="FN49" s="739"/>
      <c r="FO49" s="739"/>
      <c r="FP49" s="739"/>
      <c r="FQ49" s="739"/>
      <c r="FR49" s="739"/>
      <c r="FS49" s="739"/>
      <c r="FT49" s="739"/>
      <c r="FU49" s="739"/>
      <c r="FV49" s="739"/>
      <c r="FW49" s="739"/>
      <c r="FX49" s="739"/>
      <c r="FY49" s="739"/>
      <c r="FZ49" s="739"/>
      <c r="GA49" s="739"/>
      <c r="GB49" s="739"/>
      <c r="GC49" s="739"/>
      <c r="GD49" s="739"/>
      <c r="GE49" s="739"/>
      <c r="GF49" s="739"/>
      <c r="GG49" s="739"/>
      <c r="GH49" s="739"/>
      <c r="GI49" s="739"/>
      <c r="GJ49" s="739"/>
      <c r="GK49" s="739"/>
      <c r="GL49" s="739"/>
      <c r="GM49" s="739"/>
      <c r="GN49" s="739"/>
      <c r="GO49" s="739"/>
      <c r="GP49" s="739" t="s">
        <v>93</v>
      </c>
      <c r="GQ49" s="739" t="s">
        <v>93</v>
      </c>
      <c r="GR49" s="739"/>
      <c r="GS49" s="739"/>
      <c r="GT49" s="739"/>
      <c r="GU49" s="739"/>
      <c r="GV49" s="739"/>
      <c r="GW49" s="739"/>
      <c r="GX49" s="739"/>
      <c r="GY49" s="739"/>
      <c r="GZ49" s="739"/>
      <c r="HA49" s="739"/>
      <c r="HB49" s="739"/>
      <c r="HC49" s="739"/>
      <c r="HD49" s="739"/>
      <c r="HE49" s="739"/>
      <c r="HF49" s="739"/>
      <c r="HG49" s="739"/>
      <c r="HH49" s="739"/>
      <c r="HI49" s="739"/>
      <c r="HJ49" s="739"/>
      <c r="HK49" s="739"/>
      <c r="HL49" s="739"/>
      <c r="HM49" s="739"/>
      <c r="HN49" s="739"/>
      <c r="HO49" s="739"/>
      <c r="HP49" s="739"/>
      <c r="HQ49" s="739"/>
      <c r="HR49" s="739"/>
      <c r="HS49" s="739"/>
      <c r="HT49" s="739"/>
      <c r="HU49" s="739"/>
      <c r="HV49" s="739"/>
      <c r="HW49" s="739"/>
      <c r="HX49" s="739"/>
    </row>
    <row r="50" spans="1:232" s="375" customFormat="1" ht="20" customHeight="1">
      <c r="A50" s="738" t="s">
        <v>87</v>
      </c>
      <c r="B50" s="739"/>
      <c r="C50" s="739" t="str">
        <f>IF(ISTEXT(IFERROR(VLOOKUP(A50,职业列表!I3:J10,1,FALSE),0)),"★","")</f>
        <v/>
      </c>
      <c r="D50" s="739"/>
      <c r="E50" s="739"/>
      <c r="F50" s="739"/>
      <c r="G50" s="739"/>
      <c r="H50" s="739"/>
      <c r="I50" s="739"/>
      <c r="J50" s="739"/>
      <c r="K50" s="739"/>
      <c r="L50" s="739"/>
      <c r="M50" s="739"/>
      <c r="N50" s="739"/>
      <c r="O50" s="739"/>
      <c r="P50" s="739"/>
      <c r="Q50" s="739"/>
      <c r="R50" s="739"/>
      <c r="S50" s="739"/>
      <c r="T50" s="739"/>
      <c r="U50" s="739"/>
      <c r="V50" s="739"/>
      <c r="W50" s="739"/>
      <c r="X50" s="739"/>
      <c r="Y50" s="739"/>
      <c r="Z50" s="739"/>
      <c r="AA50" s="739"/>
      <c r="AB50" s="739"/>
      <c r="AC50" s="739"/>
      <c r="AD50" s="739"/>
      <c r="AE50" s="739" t="s">
        <v>93</v>
      </c>
      <c r="AF50" s="739"/>
      <c r="AG50" s="739"/>
      <c r="AH50" s="739"/>
      <c r="AI50" s="739"/>
      <c r="AJ50" s="739"/>
      <c r="AK50" s="739"/>
      <c r="AL50" s="739"/>
      <c r="AM50" s="739"/>
      <c r="AN50" s="739"/>
      <c r="AO50" s="739"/>
      <c r="AP50" s="739"/>
      <c r="AQ50" s="739"/>
      <c r="AR50" s="739"/>
      <c r="AS50" s="739"/>
      <c r="AT50" s="739"/>
      <c r="AU50" s="739"/>
      <c r="AV50" s="739"/>
      <c r="AW50" s="739"/>
      <c r="AX50" s="739"/>
      <c r="AY50" s="739"/>
      <c r="AZ50" s="739"/>
      <c r="BA50" s="739" t="s">
        <v>93</v>
      </c>
      <c r="BB50" s="739"/>
      <c r="BC50" s="739"/>
      <c r="BD50" s="739" t="s">
        <v>93</v>
      </c>
      <c r="BE50" s="739"/>
      <c r="BF50" s="739" t="s">
        <v>93</v>
      </c>
      <c r="BG50" s="739"/>
      <c r="BH50" s="739"/>
      <c r="BI50" s="739"/>
      <c r="BJ50" s="739"/>
      <c r="BK50" s="739"/>
      <c r="BL50" s="739"/>
      <c r="BM50" s="739"/>
      <c r="BN50" s="739"/>
      <c r="BO50" s="739"/>
      <c r="BP50" s="739"/>
      <c r="BQ50" s="739"/>
      <c r="BR50" s="739"/>
      <c r="BS50" s="739" t="s">
        <v>93</v>
      </c>
      <c r="BT50" s="739"/>
      <c r="BU50" s="739" t="s">
        <v>93</v>
      </c>
      <c r="BV50" s="739"/>
      <c r="BW50" s="739"/>
      <c r="BX50" s="739" t="s">
        <v>93</v>
      </c>
      <c r="BY50" s="739"/>
      <c r="BZ50" s="739"/>
      <c r="CA50" s="739"/>
      <c r="CB50" s="739"/>
      <c r="CC50" s="739"/>
      <c r="CD50" s="739"/>
      <c r="CE50" s="739"/>
      <c r="CF50" s="739"/>
      <c r="CG50" s="739"/>
      <c r="CH50" s="739"/>
      <c r="CI50" s="739"/>
      <c r="CJ50" s="739"/>
      <c r="CK50" s="739" t="s">
        <v>93</v>
      </c>
      <c r="CL50" s="739"/>
      <c r="CM50" s="739"/>
      <c r="CN50" s="739"/>
      <c r="CO50" s="739"/>
      <c r="CP50" s="739"/>
      <c r="CQ50" s="739"/>
      <c r="CR50" s="739"/>
      <c r="CS50" s="739"/>
      <c r="CT50" s="739"/>
      <c r="CU50" s="739"/>
      <c r="CV50" s="739"/>
      <c r="CW50" s="739"/>
      <c r="CX50" s="739"/>
      <c r="CY50" s="739"/>
      <c r="CZ50" s="739"/>
      <c r="DA50" s="739"/>
      <c r="DB50" s="739"/>
      <c r="DC50" s="739"/>
      <c r="DD50" s="739"/>
      <c r="DE50" s="739"/>
      <c r="DF50" s="739"/>
      <c r="DG50" s="739"/>
      <c r="DH50" s="739" t="s">
        <v>93</v>
      </c>
      <c r="DI50" s="739"/>
      <c r="DJ50" s="739"/>
      <c r="DK50" s="739"/>
      <c r="DL50" s="739"/>
      <c r="DM50" s="739"/>
      <c r="DN50" s="739"/>
      <c r="DO50" s="739"/>
      <c r="DP50" s="739"/>
      <c r="DQ50" s="739"/>
      <c r="DR50" s="739"/>
      <c r="DS50" s="739"/>
      <c r="DT50" s="739"/>
      <c r="DU50" s="739"/>
      <c r="DV50" s="739"/>
      <c r="DW50" s="739"/>
      <c r="DX50" s="739"/>
      <c r="DY50" s="739"/>
      <c r="DZ50" s="739"/>
      <c r="EA50" s="739"/>
      <c r="EB50" s="739"/>
      <c r="EC50" s="739"/>
      <c r="ED50" s="739"/>
      <c r="EE50" s="739"/>
      <c r="EF50" s="739"/>
      <c r="EG50" s="739"/>
      <c r="EH50" s="739"/>
      <c r="EI50" s="739"/>
      <c r="EJ50" s="739"/>
      <c r="EK50" s="739"/>
      <c r="EL50" s="739"/>
      <c r="EM50" s="739"/>
      <c r="EN50" s="739" t="s">
        <v>93</v>
      </c>
      <c r="EO50" s="739"/>
      <c r="EP50" s="739"/>
      <c r="EQ50" s="739"/>
      <c r="ER50" s="739"/>
      <c r="ES50" s="739"/>
      <c r="ET50" s="739"/>
      <c r="EU50" s="739"/>
      <c r="EV50" s="739"/>
      <c r="EW50" s="739"/>
      <c r="EX50" s="739"/>
      <c r="EY50" s="739"/>
      <c r="EZ50" s="739"/>
      <c r="FA50" s="739"/>
      <c r="FB50" s="739"/>
      <c r="FC50" s="739"/>
      <c r="FD50" s="739"/>
      <c r="FE50" s="739"/>
      <c r="FF50" s="739"/>
      <c r="FG50" s="739"/>
      <c r="FH50" s="739"/>
      <c r="FI50" s="739"/>
      <c r="FJ50" s="739"/>
      <c r="FK50" s="739"/>
      <c r="FL50" s="739"/>
      <c r="FM50" s="739"/>
      <c r="FN50" s="739"/>
      <c r="FO50" s="739"/>
      <c r="FP50" s="739" t="s">
        <v>93</v>
      </c>
      <c r="FQ50" s="739"/>
      <c r="FR50" s="739"/>
      <c r="FS50" s="739"/>
      <c r="FT50" s="739"/>
      <c r="FU50" s="739"/>
      <c r="FV50" s="739"/>
      <c r="FW50" s="739"/>
      <c r="FX50" s="739"/>
      <c r="FY50" s="739"/>
      <c r="FZ50" s="739"/>
      <c r="GA50" s="739"/>
      <c r="GB50" s="739"/>
      <c r="GC50" s="739"/>
      <c r="GD50" s="739"/>
      <c r="GE50" s="739"/>
      <c r="GF50" s="739"/>
      <c r="GG50" s="739"/>
      <c r="GH50" s="739"/>
      <c r="GI50" s="739"/>
      <c r="GJ50" s="739"/>
      <c r="GK50" s="739"/>
      <c r="GL50" s="739"/>
      <c r="GM50" s="739"/>
      <c r="GN50" s="739"/>
      <c r="GO50" s="739"/>
      <c r="GP50" s="739"/>
      <c r="GQ50" s="739"/>
      <c r="GR50" s="739" t="s">
        <v>93</v>
      </c>
      <c r="GS50" s="739"/>
      <c r="GT50" s="739"/>
      <c r="GU50" s="739"/>
      <c r="GV50" s="739"/>
      <c r="GW50" s="739"/>
      <c r="GX50" s="739"/>
      <c r="GY50" s="739"/>
      <c r="GZ50" s="739"/>
      <c r="HA50" s="739"/>
      <c r="HB50" s="739"/>
      <c r="HC50" s="739"/>
      <c r="HD50" s="739"/>
      <c r="HE50" s="739"/>
      <c r="HF50" s="739"/>
      <c r="HG50" s="739"/>
      <c r="HH50" s="739"/>
      <c r="HI50" s="739"/>
      <c r="HJ50" s="739"/>
      <c r="HK50" s="739"/>
      <c r="HL50" s="739"/>
      <c r="HM50" s="739"/>
      <c r="HN50" s="739"/>
      <c r="HO50" s="740" t="s">
        <v>93</v>
      </c>
      <c r="HP50" s="739"/>
      <c r="HQ50" s="739"/>
      <c r="HR50" s="739"/>
      <c r="HS50" s="739"/>
      <c r="HT50" s="739"/>
      <c r="HU50" s="739"/>
      <c r="HV50" s="739"/>
      <c r="HW50" s="739"/>
      <c r="HX50" s="739"/>
    </row>
    <row r="51" spans="1:232" s="723" customFormat="1" ht="20" customHeight="1">
      <c r="A51" s="745" t="s">
        <v>95</v>
      </c>
      <c r="B51" s="746"/>
      <c r="C51" s="739" t="str">
        <f>IF(ISTEXT(IFERROR(VLOOKUP(A51,职业列表!I3:J10,1,FALSE),0)),"★","")</f>
        <v/>
      </c>
      <c r="D51" s="746" t="s">
        <v>93</v>
      </c>
      <c r="E51" s="746"/>
      <c r="F51" s="746" t="s">
        <v>1361</v>
      </c>
      <c r="G51" s="746" t="s">
        <v>1361</v>
      </c>
      <c r="H51" s="746" t="s">
        <v>1361</v>
      </c>
      <c r="I51" s="746"/>
      <c r="J51" s="746"/>
      <c r="K51" s="746" t="s">
        <v>1361</v>
      </c>
      <c r="L51" s="746" t="s">
        <v>1361</v>
      </c>
      <c r="M51" s="746"/>
      <c r="N51" s="746" t="s">
        <v>93</v>
      </c>
      <c r="O51" s="746" t="s">
        <v>1361</v>
      </c>
      <c r="P51" s="746" t="s">
        <v>1361</v>
      </c>
      <c r="Q51" s="746" t="s">
        <v>1361</v>
      </c>
      <c r="R51" s="746"/>
      <c r="S51" s="746" t="s">
        <v>1361</v>
      </c>
      <c r="T51" s="746"/>
      <c r="U51" s="746" t="s">
        <v>1361</v>
      </c>
      <c r="V51" s="746" t="s">
        <v>1361</v>
      </c>
      <c r="W51" s="746"/>
      <c r="X51" s="746"/>
      <c r="Y51" s="746" t="s">
        <v>1361</v>
      </c>
      <c r="Z51" s="746"/>
      <c r="AA51" s="768" t="s">
        <v>1361</v>
      </c>
      <c r="AB51" s="746"/>
      <c r="AC51" s="746"/>
      <c r="AD51" s="746"/>
      <c r="AE51" s="746"/>
      <c r="AF51" s="746" t="s">
        <v>1361</v>
      </c>
      <c r="AG51" s="746"/>
      <c r="AH51" s="746" t="s">
        <v>1361</v>
      </c>
      <c r="AI51" s="746" t="s">
        <v>1361</v>
      </c>
      <c r="AJ51" s="746" t="s">
        <v>1361</v>
      </c>
      <c r="AK51" s="746" t="s">
        <v>1361</v>
      </c>
      <c r="AL51" s="746"/>
      <c r="AM51" s="746" t="s">
        <v>1361</v>
      </c>
      <c r="AN51" s="746" t="s">
        <v>1361</v>
      </c>
      <c r="AO51" s="746" t="s">
        <v>1361</v>
      </c>
      <c r="AP51" s="746" t="s">
        <v>1361</v>
      </c>
      <c r="AQ51" s="773"/>
      <c r="AR51" s="746" t="s">
        <v>1361</v>
      </c>
      <c r="AS51" s="746"/>
      <c r="AT51" s="746"/>
      <c r="AU51" s="746" t="s">
        <v>1361</v>
      </c>
      <c r="AV51" s="746" t="s">
        <v>1361</v>
      </c>
      <c r="AW51" s="746" t="s">
        <v>1361</v>
      </c>
      <c r="AX51" s="746"/>
      <c r="AY51" s="746" t="s">
        <v>1361</v>
      </c>
      <c r="AZ51" s="746" t="s">
        <v>93</v>
      </c>
      <c r="BA51" s="746"/>
      <c r="BB51" s="746" t="s">
        <v>1361</v>
      </c>
      <c r="BC51" s="746"/>
      <c r="BD51" s="746" t="s">
        <v>1361</v>
      </c>
      <c r="BE51" s="746" t="s">
        <v>93</v>
      </c>
      <c r="BF51" s="746"/>
      <c r="BG51" s="746" t="s">
        <v>1361</v>
      </c>
      <c r="BH51" s="746" t="s">
        <v>93</v>
      </c>
      <c r="BI51" s="746" t="s">
        <v>1361</v>
      </c>
      <c r="BJ51" s="746" t="s">
        <v>1361</v>
      </c>
      <c r="BK51" s="746" t="s">
        <v>1361</v>
      </c>
      <c r="BL51" s="746" t="s">
        <v>1361</v>
      </c>
      <c r="BM51" s="746"/>
      <c r="BN51" s="746" t="s">
        <v>1361</v>
      </c>
      <c r="BO51" s="746" t="s">
        <v>1361</v>
      </c>
      <c r="BP51" s="746" t="s">
        <v>1361</v>
      </c>
      <c r="BQ51" s="746" t="s">
        <v>93</v>
      </c>
      <c r="BR51" s="746"/>
      <c r="BS51" s="746"/>
      <c r="BT51" s="746"/>
      <c r="BU51" s="773"/>
      <c r="BV51" s="746" t="s">
        <v>1361</v>
      </c>
      <c r="BW51" s="746"/>
      <c r="BX51" s="746"/>
      <c r="BY51" s="746" t="s">
        <v>1361</v>
      </c>
      <c r="BZ51" s="746" t="s">
        <v>1361</v>
      </c>
      <c r="CA51" s="746"/>
      <c r="CB51" s="746"/>
      <c r="CC51" s="746" t="s">
        <v>1361</v>
      </c>
      <c r="CD51" s="746" t="s">
        <v>1361</v>
      </c>
      <c r="CE51" s="746" t="s">
        <v>1361</v>
      </c>
      <c r="CF51" s="746"/>
      <c r="CG51" s="746"/>
      <c r="CH51" s="746" t="s">
        <v>1361</v>
      </c>
      <c r="CI51" s="746" t="s">
        <v>1361</v>
      </c>
      <c r="CJ51" s="746" t="s">
        <v>1361</v>
      </c>
      <c r="CK51" s="746"/>
      <c r="CL51" s="746"/>
      <c r="CM51" s="746" t="s">
        <v>1361</v>
      </c>
      <c r="CN51" s="746" t="s">
        <v>1361</v>
      </c>
      <c r="CO51" s="746" t="s">
        <v>1361</v>
      </c>
      <c r="CP51" s="746"/>
      <c r="CQ51" s="746"/>
      <c r="CR51" s="746" t="s">
        <v>1361</v>
      </c>
      <c r="CS51" s="746" t="s">
        <v>93</v>
      </c>
      <c r="CT51" s="746" t="s">
        <v>93</v>
      </c>
      <c r="CU51" s="746" t="s">
        <v>1361</v>
      </c>
      <c r="CV51" s="746"/>
      <c r="CW51" s="746" t="s">
        <v>1361</v>
      </c>
      <c r="CX51" s="746" t="s">
        <v>1361</v>
      </c>
      <c r="CY51" s="746" t="s">
        <v>1361</v>
      </c>
      <c r="CZ51" s="746" t="s">
        <v>1361</v>
      </c>
      <c r="DA51" s="746" t="s">
        <v>1361</v>
      </c>
      <c r="DB51" s="746"/>
      <c r="DC51" s="746" t="s">
        <v>1361</v>
      </c>
      <c r="DD51" s="746"/>
      <c r="DE51" s="746"/>
      <c r="DF51" s="746"/>
      <c r="DG51" s="746" t="s">
        <v>1361</v>
      </c>
      <c r="DH51" s="746" t="s">
        <v>1361</v>
      </c>
      <c r="DI51" s="746" t="s">
        <v>1361</v>
      </c>
      <c r="DJ51" s="746" t="s">
        <v>1361</v>
      </c>
      <c r="DK51" s="746" t="s">
        <v>1361</v>
      </c>
      <c r="DL51" s="746" t="s">
        <v>1361</v>
      </c>
      <c r="DM51" s="746"/>
      <c r="DN51" s="746" t="s">
        <v>93</v>
      </c>
      <c r="DO51" s="746" t="s">
        <v>1361</v>
      </c>
      <c r="DP51" s="746" t="s">
        <v>1361</v>
      </c>
      <c r="DQ51" s="746" t="s">
        <v>1361</v>
      </c>
      <c r="DR51" s="746" t="s">
        <v>1361</v>
      </c>
      <c r="DS51" s="746" t="s">
        <v>1361</v>
      </c>
      <c r="DT51" s="746" t="s">
        <v>1361</v>
      </c>
      <c r="DU51" s="746" t="s">
        <v>1361</v>
      </c>
      <c r="DV51" s="746" t="s">
        <v>1361</v>
      </c>
      <c r="DW51" s="746" t="s">
        <v>1361</v>
      </c>
      <c r="DX51" s="746" t="s">
        <v>1361</v>
      </c>
      <c r="DY51" s="746" t="s">
        <v>1361</v>
      </c>
      <c r="DZ51" s="746" t="s">
        <v>1361</v>
      </c>
      <c r="EA51" s="746" t="s">
        <v>1361</v>
      </c>
      <c r="EB51" s="746" t="s">
        <v>1361</v>
      </c>
      <c r="EC51" s="746" t="s">
        <v>1361</v>
      </c>
      <c r="ED51" s="746" t="s">
        <v>93</v>
      </c>
      <c r="EE51" s="746" t="s">
        <v>1361</v>
      </c>
      <c r="EF51" s="746"/>
      <c r="EG51" s="746"/>
      <c r="EH51" s="746"/>
      <c r="EI51" s="746" t="s">
        <v>1361</v>
      </c>
      <c r="EJ51" s="746" t="s">
        <v>1361</v>
      </c>
      <c r="EK51" s="746" t="s">
        <v>1361</v>
      </c>
      <c r="EL51" s="746"/>
      <c r="EM51" s="746" t="s">
        <v>1361</v>
      </c>
      <c r="EN51" s="746"/>
      <c r="EO51" s="746" t="s">
        <v>1361</v>
      </c>
      <c r="EP51" s="746"/>
      <c r="EQ51" s="746" t="s">
        <v>93</v>
      </c>
      <c r="ER51" s="746" t="s">
        <v>1361</v>
      </c>
      <c r="ES51" s="746" t="s">
        <v>1361</v>
      </c>
      <c r="ET51" s="746" t="s">
        <v>1361</v>
      </c>
      <c r="EU51" s="746" t="s">
        <v>1361</v>
      </c>
      <c r="EV51" s="746" t="s">
        <v>1361</v>
      </c>
      <c r="EW51" s="746"/>
      <c r="EX51" s="746" t="s">
        <v>1361</v>
      </c>
      <c r="EY51" s="746" t="s">
        <v>1361</v>
      </c>
      <c r="EZ51" s="746"/>
      <c r="FA51" s="746" t="s">
        <v>1361</v>
      </c>
      <c r="FB51" s="746" t="s">
        <v>1361</v>
      </c>
      <c r="FC51" s="746" t="s">
        <v>1359</v>
      </c>
      <c r="FD51" s="746"/>
      <c r="FE51" s="746" t="s">
        <v>1361</v>
      </c>
      <c r="FF51" s="746" t="s">
        <v>1361</v>
      </c>
      <c r="FG51" s="746" t="s">
        <v>1361</v>
      </c>
      <c r="FH51" s="746"/>
      <c r="FI51" s="746"/>
      <c r="FJ51" s="746" t="s">
        <v>1359</v>
      </c>
      <c r="FK51" s="746"/>
      <c r="FL51" s="746"/>
      <c r="FM51" s="746" t="s">
        <v>1361</v>
      </c>
      <c r="FN51" s="746"/>
      <c r="FO51" s="746"/>
      <c r="FP51" s="746"/>
      <c r="FQ51" s="746" t="s">
        <v>1361</v>
      </c>
      <c r="FR51" s="746" t="s">
        <v>1361</v>
      </c>
      <c r="FS51" s="746" t="s">
        <v>93</v>
      </c>
      <c r="FT51" s="746"/>
      <c r="FU51" s="746"/>
      <c r="FV51" s="746" t="s">
        <v>1361</v>
      </c>
      <c r="FW51" s="746"/>
      <c r="FX51" s="746"/>
      <c r="FY51" s="746" t="s">
        <v>1361</v>
      </c>
      <c r="FZ51" s="746"/>
      <c r="GA51" s="746"/>
      <c r="GB51" s="746" t="s">
        <v>1361</v>
      </c>
      <c r="GC51" s="746"/>
      <c r="GD51" s="746"/>
      <c r="GE51" s="746"/>
      <c r="GF51" s="746" t="s">
        <v>1361</v>
      </c>
      <c r="GG51" s="746" t="s">
        <v>1361</v>
      </c>
      <c r="GH51" s="746" t="s">
        <v>1361</v>
      </c>
      <c r="GI51" s="746" t="s">
        <v>1361</v>
      </c>
      <c r="GJ51" s="746"/>
      <c r="GK51" s="746" t="s">
        <v>93</v>
      </c>
      <c r="GL51" s="746" t="s">
        <v>93</v>
      </c>
      <c r="GM51" s="746" t="s">
        <v>93</v>
      </c>
      <c r="GN51" s="746" t="s">
        <v>1361</v>
      </c>
      <c r="GO51" s="746" t="s">
        <v>1361</v>
      </c>
      <c r="GP51" s="746" t="s">
        <v>1361</v>
      </c>
      <c r="GQ51" s="746" t="s">
        <v>1361</v>
      </c>
      <c r="GR51" s="746"/>
      <c r="GS51" s="746"/>
      <c r="GT51" s="746" t="s">
        <v>1361</v>
      </c>
      <c r="GU51" s="746"/>
      <c r="GV51" s="746"/>
      <c r="GW51" s="746" t="s">
        <v>1361</v>
      </c>
      <c r="GX51" s="746" t="s">
        <v>1361</v>
      </c>
      <c r="GY51" s="746" t="s">
        <v>1361</v>
      </c>
      <c r="GZ51" s="746" t="s">
        <v>1361</v>
      </c>
      <c r="HA51" s="746" t="s">
        <v>1361</v>
      </c>
      <c r="HB51" s="746"/>
      <c r="HC51" s="746" t="s">
        <v>1361</v>
      </c>
      <c r="HD51" s="746"/>
      <c r="HE51" s="746" t="s">
        <v>1361</v>
      </c>
      <c r="HF51" s="746"/>
      <c r="HG51" s="746" t="s">
        <v>1361</v>
      </c>
      <c r="HH51" s="746" t="s">
        <v>1361</v>
      </c>
      <c r="HI51" s="746"/>
      <c r="HJ51" s="768" t="s">
        <v>1361</v>
      </c>
      <c r="HK51" s="746" t="s">
        <v>1361</v>
      </c>
      <c r="HL51" s="746"/>
      <c r="HM51" s="746" t="s">
        <v>1361</v>
      </c>
      <c r="HN51" s="746" t="s">
        <v>1361</v>
      </c>
      <c r="HO51" s="746" t="s">
        <v>1361</v>
      </c>
      <c r="HP51" s="746" t="s">
        <v>1361</v>
      </c>
      <c r="HQ51" s="746"/>
      <c r="HR51" s="768" t="s">
        <v>1361</v>
      </c>
      <c r="HS51" s="746" t="s">
        <v>1361</v>
      </c>
      <c r="HT51" s="746" t="s">
        <v>1361</v>
      </c>
      <c r="HU51" s="746" t="s">
        <v>1362</v>
      </c>
      <c r="HV51" s="746" t="s">
        <v>1361</v>
      </c>
      <c r="HW51" s="746"/>
      <c r="HX51" s="746" t="s">
        <v>1361</v>
      </c>
    </row>
    <row r="52" spans="1:232" s="375" customFormat="1" ht="20" customHeight="1">
      <c r="A52" s="760" t="s">
        <v>97</v>
      </c>
      <c r="B52" s="739"/>
      <c r="C52" s="739" t="str">
        <f>IF(ISTEXT(IFERROR(VLOOKUP(A52,职业列表!I3:J10,1,FALSE),0)),"★","")</f>
        <v/>
      </c>
      <c r="D52" s="739"/>
      <c r="E52" s="739"/>
      <c r="F52" s="739"/>
      <c r="G52" s="739"/>
      <c r="H52" s="739"/>
      <c r="I52" s="739"/>
      <c r="J52" s="739"/>
      <c r="K52" s="739"/>
      <c r="L52" s="739"/>
      <c r="M52" s="739"/>
      <c r="N52" s="739"/>
      <c r="O52" s="739"/>
      <c r="P52" s="739"/>
      <c r="Q52" s="739"/>
      <c r="R52" s="739"/>
      <c r="S52" s="739"/>
      <c r="T52" s="739"/>
      <c r="U52" s="739"/>
      <c r="V52" s="739"/>
      <c r="W52" s="739"/>
      <c r="X52" s="739"/>
      <c r="Y52" s="739"/>
      <c r="Z52" s="739"/>
      <c r="AA52" s="739"/>
      <c r="AB52" s="739"/>
      <c r="AC52" s="739"/>
      <c r="AD52" s="739"/>
      <c r="AE52" s="739"/>
      <c r="AF52" s="739"/>
      <c r="AG52" s="739"/>
      <c r="AH52" s="739"/>
      <c r="AI52" s="739"/>
      <c r="AJ52" s="739"/>
      <c r="AK52" s="739"/>
      <c r="AL52" s="739"/>
      <c r="AM52" s="739" t="s">
        <v>1359</v>
      </c>
      <c r="AN52" s="739"/>
      <c r="AO52" s="739"/>
      <c r="AP52" s="739"/>
      <c r="AQ52" s="739"/>
      <c r="AR52" s="739"/>
      <c r="AS52" s="739" t="s">
        <v>1404</v>
      </c>
      <c r="AT52" s="739"/>
      <c r="AU52" s="739"/>
      <c r="AV52" s="739"/>
      <c r="AW52" s="739"/>
      <c r="AX52" s="739"/>
      <c r="AY52" s="739"/>
      <c r="AZ52" s="739"/>
      <c r="BA52" s="739"/>
      <c r="BB52" s="739"/>
      <c r="BC52" s="739"/>
      <c r="BD52" s="739"/>
      <c r="BE52" s="739"/>
      <c r="BF52" s="739"/>
      <c r="BG52" s="739"/>
      <c r="BH52" s="739"/>
      <c r="BI52" s="739"/>
      <c r="BJ52" s="739"/>
      <c r="BK52" s="739"/>
      <c r="BL52" s="739"/>
      <c r="BM52" s="739"/>
      <c r="BN52" s="739"/>
      <c r="BO52" s="739"/>
      <c r="BP52" s="739"/>
      <c r="BQ52" s="739"/>
      <c r="BR52" s="739"/>
      <c r="BS52" s="739"/>
      <c r="BT52" s="739"/>
      <c r="BU52" s="739"/>
      <c r="BV52" s="739"/>
      <c r="BW52" s="739"/>
      <c r="BX52" s="739"/>
      <c r="BY52" s="739"/>
      <c r="BZ52" s="739"/>
      <c r="CA52" s="739"/>
      <c r="CB52" s="739"/>
      <c r="CC52" s="739"/>
      <c r="CD52" s="739"/>
      <c r="CE52" s="739"/>
      <c r="CF52" s="739"/>
      <c r="CG52" s="739"/>
      <c r="CH52" s="739"/>
      <c r="CI52" s="739"/>
      <c r="CJ52" s="739"/>
      <c r="CK52" s="740" t="s">
        <v>1405</v>
      </c>
      <c r="CL52" s="740" t="s">
        <v>1405</v>
      </c>
      <c r="CM52" s="739"/>
      <c r="CN52" s="739"/>
      <c r="CO52" s="739"/>
      <c r="CP52" s="739"/>
      <c r="CQ52" s="739"/>
      <c r="CR52" s="739"/>
      <c r="CS52" s="739"/>
      <c r="CT52" s="739"/>
      <c r="CU52" s="739"/>
      <c r="CV52" s="739" t="s">
        <v>1404</v>
      </c>
      <c r="CW52" s="739" t="s">
        <v>1404</v>
      </c>
      <c r="CX52" s="739"/>
      <c r="CY52" s="739"/>
      <c r="CZ52" s="739"/>
      <c r="DA52" s="739"/>
      <c r="DB52" s="739"/>
      <c r="DC52" s="739"/>
      <c r="DD52" s="739"/>
      <c r="DE52" s="739" t="s">
        <v>1362</v>
      </c>
      <c r="DF52" s="739"/>
      <c r="DG52" s="739"/>
      <c r="DH52" s="739"/>
      <c r="DI52" s="739"/>
      <c r="DJ52" s="739"/>
      <c r="DK52" s="739"/>
      <c r="DL52" s="739"/>
      <c r="DM52" s="739"/>
      <c r="DN52" s="739"/>
      <c r="DO52" s="739"/>
      <c r="DP52" s="739"/>
      <c r="DQ52" s="739"/>
      <c r="DR52" s="739"/>
      <c r="DS52" s="739"/>
      <c r="DT52" s="739"/>
      <c r="DU52" s="739"/>
      <c r="DV52" s="739"/>
      <c r="DW52" s="739"/>
      <c r="DX52" s="739"/>
      <c r="DY52" s="739"/>
      <c r="DZ52" s="739"/>
      <c r="EA52" s="739"/>
      <c r="EB52" s="739"/>
      <c r="EC52" s="739"/>
      <c r="ED52" s="739"/>
      <c r="EE52" s="739"/>
      <c r="EF52" s="739"/>
      <c r="EG52" s="739"/>
      <c r="EH52" s="739"/>
      <c r="EI52" s="739"/>
      <c r="EJ52" s="739"/>
      <c r="EK52" s="739"/>
      <c r="EL52" s="739"/>
      <c r="EM52" s="739"/>
      <c r="EN52" s="739"/>
      <c r="EO52" s="739"/>
      <c r="EP52" s="739" t="s">
        <v>1404</v>
      </c>
      <c r="EQ52" s="739"/>
      <c r="ER52" s="739"/>
      <c r="ES52" s="739"/>
      <c r="ET52" s="739"/>
      <c r="EU52" s="739"/>
      <c r="EV52" s="739"/>
      <c r="EW52" s="739"/>
      <c r="EX52" s="739"/>
      <c r="EY52" s="739"/>
      <c r="EZ52" s="739"/>
      <c r="FA52" s="739"/>
      <c r="FB52" s="739" t="s">
        <v>93</v>
      </c>
      <c r="FC52" s="739"/>
      <c r="FD52" s="739"/>
      <c r="FE52" s="739"/>
      <c r="FF52" s="739"/>
      <c r="FG52" s="739"/>
      <c r="FH52" s="739"/>
      <c r="FI52" s="739"/>
      <c r="FJ52" s="739"/>
      <c r="FK52" s="739"/>
      <c r="FL52" s="739"/>
      <c r="FM52" s="739"/>
      <c r="FN52" s="739"/>
      <c r="FO52" s="739"/>
      <c r="FP52" s="739" t="s">
        <v>1404</v>
      </c>
      <c r="FQ52" s="739"/>
      <c r="FR52" s="739"/>
      <c r="FS52" s="739"/>
      <c r="FT52" s="739"/>
      <c r="FU52" s="739"/>
      <c r="FV52" s="739"/>
      <c r="FW52" s="739"/>
      <c r="FX52" s="739"/>
      <c r="FY52" s="739"/>
      <c r="FZ52" s="739"/>
      <c r="GA52" s="739" t="s">
        <v>1404</v>
      </c>
      <c r="GB52" s="739" t="s">
        <v>1404</v>
      </c>
      <c r="GC52" s="739"/>
      <c r="GD52" s="739"/>
      <c r="GE52" s="739"/>
      <c r="GF52" s="739"/>
      <c r="GG52" s="739"/>
      <c r="GH52" s="739"/>
      <c r="GI52" s="739"/>
      <c r="GJ52" s="739"/>
      <c r="GK52" s="739"/>
      <c r="GL52" s="739"/>
      <c r="GM52" s="739"/>
      <c r="GN52" s="739"/>
      <c r="GO52" s="739"/>
      <c r="GP52" s="739"/>
      <c r="GQ52" s="739"/>
      <c r="GR52" s="739"/>
      <c r="GS52" s="739"/>
      <c r="GT52" s="739"/>
      <c r="GU52" s="739"/>
      <c r="GV52" s="739"/>
      <c r="GW52" s="739"/>
      <c r="GX52" s="739"/>
      <c r="GY52" s="739"/>
      <c r="GZ52" s="739"/>
      <c r="HA52" s="739"/>
      <c r="HB52" s="739"/>
      <c r="HC52" s="739"/>
      <c r="HD52" s="739"/>
      <c r="HE52" s="739"/>
      <c r="HF52" s="739"/>
      <c r="HG52" s="739"/>
      <c r="HH52" s="739"/>
      <c r="HI52" s="739"/>
      <c r="HJ52" s="739"/>
      <c r="HK52" s="739"/>
      <c r="HL52" s="740" t="s">
        <v>1406</v>
      </c>
      <c r="HM52" s="739"/>
      <c r="HN52" s="739"/>
      <c r="HO52" s="740" t="s">
        <v>1362</v>
      </c>
      <c r="HP52" s="739"/>
      <c r="HQ52" s="739"/>
      <c r="HR52" s="739"/>
      <c r="HS52" s="739"/>
      <c r="HT52" s="739"/>
      <c r="HU52" s="739"/>
      <c r="HV52" s="739"/>
      <c r="HW52" s="739"/>
      <c r="HX52" s="739"/>
    </row>
    <row r="53" spans="1:232" s="375" customFormat="1" ht="20" customHeight="1">
      <c r="A53" s="761" t="s">
        <v>104</v>
      </c>
      <c r="B53" s="739"/>
      <c r="C53" s="739" t="str">
        <f>IF(ISTEXT(IFERROR(VLOOKUP(A53,职业列表!I3:J10,1,FALSE),0)),"★","")</f>
        <v/>
      </c>
      <c r="D53" s="739"/>
      <c r="E53" s="739"/>
      <c r="F53" s="739"/>
      <c r="G53" s="739"/>
      <c r="H53" s="739"/>
      <c r="I53" s="739" t="s">
        <v>93</v>
      </c>
      <c r="J53" s="739"/>
      <c r="K53" s="739"/>
      <c r="L53" s="739"/>
      <c r="M53" s="739"/>
      <c r="N53" s="739"/>
      <c r="O53" s="739"/>
      <c r="P53" s="739"/>
      <c r="Q53" s="739"/>
      <c r="R53" s="739"/>
      <c r="S53" s="739"/>
      <c r="T53" s="739"/>
      <c r="U53" s="739"/>
      <c r="V53" s="739"/>
      <c r="W53" s="739"/>
      <c r="X53" s="739"/>
      <c r="Y53" s="739"/>
      <c r="Z53" s="739"/>
      <c r="AA53" s="739"/>
      <c r="AB53" s="739"/>
      <c r="AC53" s="739"/>
      <c r="AD53" s="739"/>
      <c r="AE53" s="739"/>
      <c r="AF53" s="739"/>
      <c r="AG53" s="739"/>
      <c r="AH53" s="739"/>
      <c r="AI53" s="739"/>
      <c r="AJ53" s="739"/>
      <c r="AK53" s="739"/>
      <c r="AL53" s="739"/>
      <c r="AM53" s="739"/>
      <c r="AN53" s="739"/>
      <c r="AO53" s="739"/>
      <c r="AP53" s="739"/>
      <c r="AQ53" s="739"/>
      <c r="AR53" s="739"/>
      <c r="AS53" s="739"/>
      <c r="AT53" s="739"/>
      <c r="AU53" s="739"/>
      <c r="AV53" s="739"/>
      <c r="AW53" s="739"/>
      <c r="AX53" s="739"/>
      <c r="AY53" s="739"/>
      <c r="AZ53" s="739"/>
      <c r="BA53" s="739"/>
      <c r="BB53" s="739"/>
      <c r="BC53" s="739"/>
      <c r="BD53" s="739"/>
      <c r="BE53" s="739"/>
      <c r="BF53" s="739"/>
      <c r="BG53" s="739"/>
      <c r="BH53" s="739"/>
      <c r="BI53" s="739"/>
      <c r="BJ53" s="739"/>
      <c r="BK53" s="739"/>
      <c r="BL53" s="739"/>
      <c r="BM53" s="739"/>
      <c r="BN53" s="739"/>
      <c r="BO53" s="739"/>
      <c r="BP53" s="739"/>
      <c r="BQ53" s="739"/>
      <c r="BR53" s="739"/>
      <c r="BS53" s="739"/>
      <c r="BT53" s="739"/>
      <c r="BU53" s="739"/>
      <c r="BV53" s="739"/>
      <c r="BW53" s="739"/>
      <c r="BX53" s="739"/>
      <c r="BY53" s="739"/>
      <c r="BZ53" s="739"/>
      <c r="CA53" s="739"/>
      <c r="CB53" s="739"/>
      <c r="CC53" s="739"/>
      <c r="CD53" s="739"/>
      <c r="CE53" s="739"/>
      <c r="CF53" s="739"/>
      <c r="CG53" s="739"/>
      <c r="CH53" s="739"/>
      <c r="CI53" s="739"/>
      <c r="CJ53" s="739"/>
      <c r="CK53" s="739"/>
      <c r="CL53" s="739"/>
      <c r="CM53" s="739"/>
      <c r="CN53" s="739"/>
      <c r="CO53" s="739"/>
      <c r="CP53" s="739"/>
      <c r="CQ53" s="739"/>
      <c r="CR53" s="739"/>
      <c r="CS53" s="739" t="s">
        <v>93</v>
      </c>
      <c r="CT53" s="739" t="s">
        <v>93</v>
      </c>
      <c r="CU53" s="739"/>
      <c r="CV53" s="739"/>
      <c r="CW53" s="739"/>
      <c r="CX53" s="739"/>
      <c r="CY53" s="739"/>
      <c r="CZ53" s="739"/>
      <c r="DA53" s="739"/>
      <c r="DB53" s="739"/>
      <c r="DC53" s="739"/>
      <c r="DD53" s="739"/>
      <c r="DE53" s="739"/>
      <c r="DF53" s="739"/>
      <c r="DG53" s="739"/>
      <c r="DH53" s="739"/>
      <c r="DI53" s="739"/>
      <c r="DJ53" s="739"/>
      <c r="DK53" s="739"/>
      <c r="DL53" s="739"/>
      <c r="DM53" s="739"/>
      <c r="DN53" s="739"/>
      <c r="DO53" s="739"/>
      <c r="DP53" s="739"/>
      <c r="DQ53" s="739"/>
      <c r="DR53" s="739"/>
      <c r="DS53" s="739"/>
      <c r="DT53" s="739"/>
      <c r="DU53" s="739"/>
      <c r="DV53" s="739"/>
      <c r="DW53" s="739"/>
      <c r="DX53" s="739"/>
      <c r="DY53" s="739"/>
      <c r="DZ53" s="739"/>
      <c r="EA53" s="739"/>
      <c r="EB53" s="739"/>
      <c r="EC53" s="739"/>
      <c r="ED53" s="739"/>
      <c r="EE53" s="739"/>
      <c r="EF53" s="739"/>
      <c r="EG53" s="739"/>
      <c r="EH53" s="739"/>
      <c r="EI53" s="739"/>
      <c r="EJ53" s="739"/>
      <c r="EK53" s="739"/>
      <c r="EL53" s="739"/>
      <c r="EM53" s="739"/>
      <c r="EN53" s="739"/>
      <c r="EO53" s="739"/>
      <c r="EP53" s="739"/>
      <c r="EQ53" s="739"/>
      <c r="ER53" s="739"/>
      <c r="ES53" s="739"/>
      <c r="ET53" s="739"/>
      <c r="EU53" s="739"/>
      <c r="EV53" s="739"/>
      <c r="EW53" s="739"/>
      <c r="EX53" s="739"/>
      <c r="EY53" s="739"/>
      <c r="EZ53" s="739"/>
      <c r="FA53" s="739"/>
      <c r="FB53" s="739"/>
      <c r="FC53" s="739"/>
      <c r="FD53" s="739"/>
      <c r="FE53" s="739"/>
      <c r="FF53" s="739"/>
      <c r="FG53" s="739"/>
      <c r="FH53" s="739"/>
      <c r="FI53" s="739"/>
      <c r="FJ53" s="739"/>
      <c r="FK53" s="739"/>
      <c r="FL53" s="739" t="s">
        <v>1359</v>
      </c>
      <c r="FM53" s="739"/>
      <c r="FN53" s="739"/>
      <c r="FO53" s="739"/>
      <c r="FP53" s="739"/>
      <c r="FQ53" s="739" t="s">
        <v>93</v>
      </c>
      <c r="FR53" s="739"/>
      <c r="FS53" s="739"/>
      <c r="FT53" s="739" t="s">
        <v>93</v>
      </c>
      <c r="FU53" s="739"/>
      <c r="FV53" s="739"/>
      <c r="FW53" s="739"/>
      <c r="FX53" s="739"/>
      <c r="FY53" s="739"/>
      <c r="FZ53" s="739"/>
      <c r="GA53" s="739"/>
      <c r="GB53" s="739"/>
      <c r="GC53" s="739"/>
      <c r="GD53" s="739"/>
      <c r="GE53" s="739"/>
      <c r="GF53" s="739"/>
      <c r="GG53" s="739"/>
      <c r="GH53" s="739"/>
      <c r="GI53" s="739"/>
      <c r="GJ53" s="739"/>
      <c r="GK53" s="739"/>
      <c r="GL53" s="739"/>
      <c r="GM53" s="739"/>
      <c r="GN53" s="739"/>
      <c r="GO53" s="739"/>
      <c r="GP53" s="739"/>
      <c r="GQ53" s="739"/>
      <c r="GR53" s="739"/>
      <c r="GS53" s="739"/>
      <c r="GT53" s="739"/>
      <c r="GU53" s="739"/>
      <c r="GV53" s="739"/>
      <c r="GW53" s="739"/>
      <c r="GX53" s="739"/>
      <c r="GY53" s="739"/>
      <c r="GZ53" s="739"/>
      <c r="HA53" s="739"/>
      <c r="HB53" s="739"/>
      <c r="HC53" s="739"/>
      <c r="HD53" s="739"/>
      <c r="HE53" s="739"/>
      <c r="HF53" s="739"/>
      <c r="HG53" s="739"/>
      <c r="HH53" s="739"/>
      <c r="HI53" s="739"/>
      <c r="HJ53" s="739"/>
      <c r="HK53" s="739"/>
      <c r="HL53" s="739"/>
      <c r="HM53" s="739"/>
      <c r="HN53" s="739"/>
      <c r="HO53" s="739"/>
      <c r="HP53" s="739"/>
      <c r="HQ53" s="739"/>
      <c r="HR53" s="739"/>
      <c r="HS53" s="739"/>
      <c r="HT53" s="739"/>
      <c r="HU53" s="739"/>
      <c r="HV53" s="739"/>
      <c r="HW53" s="739"/>
      <c r="HX53" s="739"/>
    </row>
    <row r="54" spans="1:232" s="729" customFormat="1" ht="20" customHeight="1">
      <c r="A54" s="762" t="s">
        <v>106</v>
      </c>
      <c r="B54" s="763"/>
      <c r="C54" s="739" t="str">
        <f>IF(ISTEXT(IFERROR(VLOOKUP(A54,职业列表!I3:J10,1,FALSE),0)),"★","")</f>
        <v/>
      </c>
      <c r="D54" s="763"/>
      <c r="E54" s="763"/>
      <c r="F54" s="763" t="s">
        <v>93</v>
      </c>
      <c r="G54" s="763" t="s">
        <v>93</v>
      </c>
      <c r="H54" s="763" t="s">
        <v>93</v>
      </c>
      <c r="I54" s="763" t="s">
        <v>93</v>
      </c>
      <c r="J54" s="763" t="s">
        <v>93</v>
      </c>
      <c r="K54" s="763"/>
      <c r="L54" s="763"/>
      <c r="M54" s="763"/>
      <c r="N54" s="763" t="s">
        <v>93</v>
      </c>
      <c r="O54" s="763" t="s">
        <v>93</v>
      </c>
      <c r="P54" s="763" t="s">
        <v>93</v>
      </c>
      <c r="Q54" s="763"/>
      <c r="R54" s="763" t="s">
        <v>93</v>
      </c>
      <c r="S54" s="763" t="s">
        <v>93</v>
      </c>
      <c r="T54" s="763"/>
      <c r="U54" s="763"/>
      <c r="V54" s="763" t="s">
        <v>93</v>
      </c>
      <c r="W54" s="763" t="s">
        <v>93</v>
      </c>
      <c r="X54" s="763" t="s">
        <v>93</v>
      </c>
      <c r="Y54" s="763" t="s">
        <v>93</v>
      </c>
      <c r="Z54" s="763"/>
      <c r="AA54" s="763"/>
      <c r="AB54" s="763"/>
      <c r="AC54" s="763"/>
      <c r="AD54" s="763" t="s">
        <v>93</v>
      </c>
      <c r="AE54" s="763"/>
      <c r="AF54" s="763" t="s">
        <v>93</v>
      </c>
      <c r="AG54" s="763"/>
      <c r="AH54" s="763" t="s">
        <v>93</v>
      </c>
      <c r="AI54" s="763" t="s">
        <v>93</v>
      </c>
      <c r="AJ54" s="763"/>
      <c r="AK54" s="763"/>
      <c r="AL54" s="763"/>
      <c r="AM54" s="763" t="s">
        <v>93</v>
      </c>
      <c r="AN54" s="763"/>
      <c r="AO54" s="763" t="s">
        <v>93</v>
      </c>
      <c r="AP54" s="763" t="s">
        <v>93</v>
      </c>
      <c r="AQ54" s="763" t="s">
        <v>93</v>
      </c>
      <c r="AR54" s="763"/>
      <c r="AS54" s="763"/>
      <c r="AT54" s="763" t="s">
        <v>93</v>
      </c>
      <c r="AU54" s="763"/>
      <c r="AV54" s="763"/>
      <c r="AW54" s="763" t="s">
        <v>93</v>
      </c>
      <c r="AX54" s="763"/>
      <c r="AY54" s="763" t="s">
        <v>93</v>
      </c>
      <c r="AZ54" s="763" t="s">
        <v>93</v>
      </c>
      <c r="BA54" s="763"/>
      <c r="BB54" s="763" t="s">
        <v>93</v>
      </c>
      <c r="BC54" s="763"/>
      <c r="BD54" s="763"/>
      <c r="BE54" s="763"/>
      <c r="BF54" s="763"/>
      <c r="BG54" s="763" t="s">
        <v>93</v>
      </c>
      <c r="BH54" s="763"/>
      <c r="BI54" s="763" t="s">
        <v>93</v>
      </c>
      <c r="BJ54" s="763" t="s">
        <v>93</v>
      </c>
      <c r="BK54" s="763" t="s">
        <v>93</v>
      </c>
      <c r="BL54" s="763"/>
      <c r="BM54" s="763"/>
      <c r="BN54" s="763" t="s">
        <v>93</v>
      </c>
      <c r="BO54" s="763" t="s">
        <v>93</v>
      </c>
      <c r="BP54" s="763" t="s">
        <v>93</v>
      </c>
      <c r="BQ54" s="763" t="s">
        <v>93</v>
      </c>
      <c r="BR54" s="763"/>
      <c r="BS54" s="763"/>
      <c r="BT54" s="763"/>
      <c r="BU54" s="763"/>
      <c r="BV54" s="763" t="s">
        <v>93</v>
      </c>
      <c r="BW54" s="763"/>
      <c r="BX54" s="763"/>
      <c r="BY54" s="763" t="s">
        <v>93</v>
      </c>
      <c r="BZ54" s="763"/>
      <c r="CA54" s="763"/>
      <c r="CB54" s="763"/>
      <c r="CC54" s="763" t="s">
        <v>93</v>
      </c>
      <c r="CD54" s="763" t="s">
        <v>93</v>
      </c>
      <c r="CE54" s="763"/>
      <c r="CF54" s="763"/>
      <c r="CG54" s="763" t="s">
        <v>93</v>
      </c>
      <c r="CH54" s="763" t="s">
        <v>93</v>
      </c>
      <c r="CI54" s="763" t="s">
        <v>93</v>
      </c>
      <c r="CJ54" s="763" t="s">
        <v>93</v>
      </c>
      <c r="CK54" s="763"/>
      <c r="CL54" s="763"/>
      <c r="CM54" s="763" t="s">
        <v>93</v>
      </c>
      <c r="CN54" s="763" t="s">
        <v>93</v>
      </c>
      <c r="CO54" s="763" t="s">
        <v>93</v>
      </c>
      <c r="CP54" s="763" t="s">
        <v>93</v>
      </c>
      <c r="CQ54" s="763"/>
      <c r="CR54" s="763" t="s">
        <v>93</v>
      </c>
      <c r="CS54" s="763" t="s">
        <v>93</v>
      </c>
      <c r="CT54" s="763" t="s">
        <v>93</v>
      </c>
      <c r="CU54" s="763"/>
      <c r="CV54" s="763"/>
      <c r="CW54" s="763"/>
      <c r="CX54" s="763" t="s">
        <v>93</v>
      </c>
      <c r="CY54" s="763"/>
      <c r="CZ54" s="763" t="s">
        <v>93</v>
      </c>
      <c r="DA54" s="763" t="s">
        <v>93</v>
      </c>
      <c r="DB54" s="763"/>
      <c r="DC54" s="763" t="s">
        <v>93</v>
      </c>
      <c r="DD54" s="763"/>
      <c r="DE54" s="763"/>
      <c r="DF54" s="763"/>
      <c r="DG54" s="763" t="s">
        <v>93</v>
      </c>
      <c r="DH54" s="763" t="s">
        <v>93</v>
      </c>
      <c r="DI54" s="763" t="s">
        <v>93</v>
      </c>
      <c r="DJ54" s="763"/>
      <c r="DK54" s="763" t="s">
        <v>93</v>
      </c>
      <c r="DL54" s="763" t="s">
        <v>93</v>
      </c>
      <c r="DM54" s="763"/>
      <c r="DN54" s="763" t="s">
        <v>93</v>
      </c>
      <c r="DO54" s="763"/>
      <c r="DP54" s="763"/>
      <c r="DQ54" s="763" t="s">
        <v>93</v>
      </c>
      <c r="DR54" s="763"/>
      <c r="DS54" s="763" t="s">
        <v>93</v>
      </c>
      <c r="DT54" s="763" t="s">
        <v>93</v>
      </c>
      <c r="DU54" s="763" t="s">
        <v>93</v>
      </c>
      <c r="DV54" s="763" t="s">
        <v>93</v>
      </c>
      <c r="DW54" s="763" t="s">
        <v>93</v>
      </c>
      <c r="DX54" s="763" t="s">
        <v>93</v>
      </c>
      <c r="DY54" s="763" t="s">
        <v>93</v>
      </c>
      <c r="DZ54" s="763" t="s">
        <v>93</v>
      </c>
      <c r="EA54" s="763" t="s">
        <v>93</v>
      </c>
      <c r="EB54" s="763" t="s">
        <v>93</v>
      </c>
      <c r="EC54" s="763" t="s">
        <v>93</v>
      </c>
      <c r="ED54" s="763"/>
      <c r="EE54" s="763" t="s">
        <v>93</v>
      </c>
      <c r="EF54" s="763" t="s">
        <v>93</v>
      </c>
      <c r="EG54" s="763" t="s">
        <v>93</v>
      </c>
      <c r="EH54" s="763" t="s">
        <v>93</v>
      </c>
      <c r="EI54" s="763" t="s">
        <v>93</v>
      </c>
      <c r="EJ54" s="763"/>
      <c r="EK54" s="763"/>
      <c r="EL54" s="763"/>
      <c r="EM54" s="763" t="s">
        <v>93</v>
      </c>
      <c r="EN54" s="763"/>
      <c r="EO54" s="763" t="s">
        <v>93</v>
      </c>
      <c r="EP54" s="763" t="s">
        <v>93</v>
      </c>
      <c r="EQ54" s="763" t="s">
        <v>93</v>
      </c>
      <c r="ER54" s="763" t="s">
        <v>93</v>
      </c>
      <c r="ES54" s="763" t="s">
        <v>93</v>
      </c>
      <c r="ET54" s="763" t="s">
        <v>93</v>
      </c>
      <c r="EU54" s="763" t="s">
        <v>93</v>
      </c>
      <c r="EV54" s="763" t="s">
        <v>93</v>
      </c>
      <c r="EW54" s="763"/>
      <c r="EX54" s="763" t="s">
        <v>93</v>
      </c>
      <c r="EY54" s="763" t="s">
        <v>93</v>
      </c>
      <c r="EZ54" s="763"/>
      <c r="FA54" s="763" t="s">
        <v>93</v>
      </c>
      <c r="FB54" s="763"/>
      <c r="FC54" s="763" t="s">
        <v>1359</v>
      </c>
      <c r="FD54" s="763"/>
      <c r="FE54" s="763" t="s">
        <v>93</v>
      </c>
      <c r="FF54" s="763" t="s">
        <v>93</v>
      </c>
      <c r="FG54" s="763"/>
      <c r="FH54" s="763" t="s">
        <v>93</v>
      </c>
      <c r="FI54" s="763"/>
      <c r="FJ54" s="763" t="s">
        <v>93</v>
      </c>
      <c r="FK54" s="763"/>
      <c r="FL54" s="763"/>
      <c r="FM54" s="763" t="s">
        <v>93</v>
      </c>
      <c r="FN54" s="763" t="s">
        <v>93</v>
      </c>
      <c r="FO54" s="763" t="s">
        <v>93</v>
      </c>
      <c r="FP54" s="763"/>
      <c r="FQ54" s="763" t="s">
        <v>93</v>
      </c>
      <c r="FR54" s="763"/>
      <c r="FS54" s="763"/>
      <c r="FT54" s="763" t="s">
        <v>93</v>
      </c>
      <c r="FU54" s="763"/>
      <c r="FV54" s="763"/>
      <c r="FW54" s="763"/>
      <c r="FX54" s="763"/>
      <c r="FY54" s="763" t="s">
        <v>93</v>
      </c>
      <c r="FZ54" s="763" t="s">
        <v>93</v>
      </c>
      <c r="GA54" s="763"/>
      <c r="GB54" s="763"/>
      <c r="GC54" s="763"/>
      <c r="GD54" s="763"/>
      <c r="GE54" s="763"/>
      <c r="GF54" s="763" t="s">
        <v>93</v>
      </c>
      <c r="GG54" s="763" t="s">
        <v>93</v>
      </c>
      <c r="GH54" s="763" t="s">
        <v>93</v>
      </c>
      <c r="GI54" s="763" t="s">
        <v>93</v>
      </c>
      <c r="GJ54" s="763"/>
      <c r="GK54" s="763" t="s">
        <v>93</v>
      </c>
      <c r="GL54" s="763" t="s">
        <v>93</v>
      </c>
      <c r="GM54" s="763" t="s">
        <v>93</v>
      </c>
      <c r="GN54" s="763" t="s">
        <v>93</v>
      </c>
      <c r="GO54" s="763"/>
      <c r="GP54" s="763"/>
      <c r="GQ54" s="763" t="s">
        <v>93</v>
      </c>
      <c r="GR54" s="763"/>
      <c r="GS54" s="763"/>
      <c r="GT54" s="763"/>
      <c r="GU54" s="763"/>
      <c r="GV54" s="763"/>
      <c r="GW54" s="763" t="s">
        <v>93</v>
      </c>
      <c r="GX54" s="763"/>
      <c r="GY54" s="763" t="s">
        <v>93</v>
      </c>
      <c r="GZ54" s="763" t="s">
        <v>93</v>
      </c>
      <c r="HA54" s="763"/>
      <c r="HB54" s="763"/>
      <c r="HC54" s="763" t="s">
        <v>93</v>
      </c>
      <c r="HD54" s="783" t="s">
        <v>93</v>
      </c>
      <c r="HE54" s="784" t="s">
        <v>93</v>
      </c>
      <c r="HF54" s="763" t="s">
        <v>93</v>
      </c>
      <c r="HG54" s="763"/>
      <c r="HH54" s="763"/>
      <c r="HI54" s="763"/>
      <c r="HJ54" s="763" t="s">
        <v>93</v>
      </c>
      <c r="HK54" s="784" t="s">
        <v>93</v>
      </c>
      <c r="HL54" s="763"/>
      <c r="HM54" s="763"/>
      <c r="HN54" s="784" t="s">
        <v>93</v>
      </c>
      <c r="HO54" s="763"/>
      <c r="HP54" s="784" t="s">
        <v>93</v>
      </c>
      <c r="HQ54" s="763" t="s">
        <v>93</v>
      </c>
      <c r="HR54" s="763" t="s">
        <v>93</v>
      </c>
      <c r="HS54" s="763" t="s">
        <v>93</v>
      </c>
      <c r="HT54" s="763"/>
      <c r="HU54" s="763"/>
      <c r="HV54" s="763" t="s">
        <v>93</v>
      </c>
      <c r="HW54" s="763"/>
      <c r="HX54" s="763" t="s">
        <v>93</v>
      </c>
    </row>
    <row r="55" spans="1:232" s="375" customFormat="1" ht="20" customHeight="1">
      <c r="A55" s="761" t="s">
        <v>110</v>
      </c>
      <c r="B55" s="739"/>
      <c r="C55" s="740" t="str">
        <f>IF(ISTEXT(IFERROR(VLOOKUP(A55,职业列表!I3:J10,1,FALSE),0)),"★","")</f>
        <v/>
      </c>
      <c r="D55" s="739"/>
      <c r="E55" s="739"/>
      <c r="F55" s="739"/>
      <c r="G55" s="739"/>
      <c r="H55" s="739"/>
      <c r="I55" s="739"/>
      <c r="J55" s="739"/>
      <c r="K55" s="739"/>
      <c r="L55" s="739"/>
      <c r="M55" s="739"/>
      <c r="N55" s="739"/>
      <c r="O55" s="739"/>
      <c r="P55" s="739"/>
      <c r="Q55" s="739" t="s">
        <v>93</v>
      </c>
      <c r="R55" s="739"/>
      <c r="S55" s="739"/>
      <c r="T55" s="739"/>
      <c r="U55" s="739"/>
      <c r="V55" s="739"/>
      <c r="W55" s="739"/>
      <c r="X55" s="739"/>
      <c r="Y55" s="739"/>
      <c r="Z55" s="739"/>
      <c r="AA55" s="739"/>
      <c r="AB55" s="739" t="s">
        <v>93</v>
      </c>
      <c r="AC55" s="739"/>
      <c r="AD55" s="739"/>
      <c r="AE55" s="739"/>
      <c r="AF55" s="739"/>
      <c r="AG55" s="739"/>
      <c r="AH55" s="739"/>
      <c r="AI55" s="739"/>
      <c r="AJ55" s="739"/>
      <c r="AK55" s="739"/>
      <c r="AL55" s="739"/>
      <c r="AM55" s="739"/>
      <c r="AN55" s="739"/>
      <c r="AO55" s="739"/>
      <c r="AP55" s="739"/>
      <c r="AQ55" s="744"/>
      <c r="AR55" s="739" t="s">
        <v>93</v>
      </c>
      <c r="AS55" s="739"/>
      <c r="AT55" s="739"/>
      <c r="AU55" s="739"/>
      <c r="AV55" s="739"/>
      <c r="AW55" s="739"/>
      <c r="AX55" s="739"/>
      <c r="AY55" s="739"/>
      <c r="AZ55" s="739"/>
      <c r="BA55" s="739"/>
      <c r="BB55" s="739"/>
      <c r="BC55" s="739"/>
      <c r="BD55" s="739"/>
      <c r="BE55" s="739"/>
      <c r="BF55" s="739"/>
      <c r="BG55" s="739"/>
      <c r="BH55" s="739"/>
      <c r="BI55" s="739"/>
      <c r="BJ55" s="739"/>
      <c r="BK55" s="739"/>
      <c r="BL55" s="739" t="s">
        <v>93</v>
      </c>
      <c r="BM55" s="739"/>
      <c r="BN55" s="739"/>
      <c r="BO55" s="739"/>
      <c r="BP55" s="739"/>
      <c r="BQ55" s="739"/>
      <c r="BR55" s="739"/>
      <c r="BS55" s="739"/>
      <c r="BT55" s="739"/>
      <c r="BU55" s="739"/>
      <c r="BV55" s="739"/>
      <c r="BW55" s="739"/>
      <c r="BX55" s="739"/>
      <c r="BY55" s="739"/>
      <c r="BZ55" s="739"/>
      <c r="CA55" s="739"/>
      <c r="CB55" s="739"/>
      <c r="CC55" s="739"/>
      <c r="CD55" s="739"/>
      <c r="CE55" s="739"/>
      <c r="CF55" s="739"/>
      <c r="CG55" s="739"/>
      <c r="CH55" s="739"/>
      <c r="CI55" s="739"/>
      <c r="CJ55" s="739"/>
      <c r="CK55" s="739"/>
      <c r="CL55" s="739"/>
      <c r="CM55" s="739"/>
      <c r="CN55" s="739" t="s">
        <v>1359</v>
      </c>
      <c r="CO55" s="739"/>
      <c r="CP55" s="739"/>
      <c r="CQ55" s="739"/>
      <c r="CR55" s="739"/>
      <c r="CS55" s="739"/>
      <c r="CT55" s="739"/>
      <c r="CU55" s="739"/>
      <c r="CV55" s="739"/>
      <c r="CW55" s="739"/>
      <c r="CX55" s="739"/>
      <c r="CY55" s="739"/>
      <c r="CZ55" s="739"/>
      <c r="DA55" s="739"/>
      <c r="DB55" s="739"/>
      <c r="DC55" s="739"/>
      <c r="DD55" s="739"/>
      <c r="DE55" s="739" t="s">
        <v>1362</v>
      </c>
      <c r="DF55" s="739"/>
      <c r="DG55" s="739"/>
      <c r="DH55" s="739"/>
      <c r="DI55" s="739"/>
      <c r="DJ55" s="739"/>
      <c r="DK55" s="739"/>
      <c r="DL55" s="739"/>
      <c r="DM55" s="739"/>
      <c r="DN55" s="739"/>
      <c r="DO55" s="739"/>
      <c r="DP55" s="739" t="s">
        <v>93</v>
      </c>
      <c r="DQ55" s="739"/>
      <c r="DR55" s="739"/>
      <c r="DS55" s="739"/>
      <c r="DT55" s="739"/>
      <c r="DU55" s="739"/>
      <c r="DV55" s="739"/>
      <c r="DW55" s="739"/>
      <c r="DX55" s="739"/>
      <c r="DY55" s="739"/>
      <c r="DZ55" s="739"/>
      <c r="EA55" s="739"/>
      <c r="EB55" s="739"/>
      <c r="EC55" s="739"/>
      <c r="ED55" s="739"/>
      <c r="EE55" s="739"/>
      <c r="EF55" s="739"/>
      <c r="EG55" s="739"/>
      <c r="EH55" s="739"/>
      <c r="EI55" s="739"/>
      <c r="EJ55" s="739"/>
      <c r="EK55" s="739"/>
      <c r="EL55" s="739"/>
      <c r="EM55" s="739"/>
      <c r="EN55" s="739"/>
      <c r="EO55" s="739"/>
      <c r="EP55" s="739"/>
      <c r="EQ55" s="739"/>
      <c r="ER55" s="739"/>
      <c r="ES55" s="739"/>
      <c r="ET55" s="739"/>
      <c r="EU55" s="739"/>
      <c r="EV55" s="739"/>
      <c r="EW55" s="739"/>
      <c r="EX55" s="739"/>
      <c r="EY55" s="739"/>
      <c r="EZ55" s="739"/>
      <c r="FA55" s="739"/>
      <c r="FB55" s="739"/>
      <c r="FC55" s="739" t="s">
        <v>93</v>
      </c>
      <c r="FD55" s="739"/>
      <c r="FE55" s="739"/>
      <c r="FF55" s="739"/>
      <c r="FG55" s="739"/>
      <c r="FH55" s="739"/>
      <c r="FI55" s="739"/>
      <c r="FJ55" s="739"/>
      <c r="FK55" s="739"/>
      <c r="FL55" s="739"/>
      <c r="FM55" s="739"/>
      <c r="FN55" s="739"/>
      <c r="FO55" s="739"/>
      <c r="FP55" s="739"/>
      <c r="FQ55" s="739"/>
      <c r="FR55" s="739" t="s">
        <v>93</v>
      </c>
      <c r="FS55" s="739"/>
      <c r="FT55" s="739"/>
      <c r="FU55" s="739"/>
      <c r="FV55" s="739"/>
      <c r="FW55" s="739"/>
      <c r="FX55" s="739"/>
      <c r="FY55" s="739"/>
      <c r="FZ55" s="739"/>
      <c r="GA55" s="739"/>
      <c r="GB55" s="739"/>
      <c r="GC55" s="739"/>
      <c r="GD55" s="739"/>
      <c r="GE55" s="739"/>
      <c r="GF55" s="739"/>
      <c r="GG55" s="739"/>
      <c r="GH55" s="739"/>
      <c r="GI55" s="739"/>
      <c r="GJ55" s="739"/>
      <c r="GK55" s="739"/>
      <c r="GL55" s="739"/>
      <c r="GM55" s="739"/>
      <c r="GN55" s="739"/>
      <c r="GO55" s="739"/>
      <c r="GP55" s="739"/>
      <c r="GQ55" s="739"/>
      <c r="GR55" s="739"/>
      <c r="GS55" s="739"/>
      <c r="GT55" s="739"/>
      <c r="GU55" s="739"/>
      <c r="GV55" s="739"/>
      <c r="GW55" s="739" t="s">
        <v>1359</v>
      </c>
      <c r="GX55" s="739"/>
      <c r="GY55" s="739" t="s">
        <v>93</v>
      </c>
      <c r="GZ55" s="739"/>
      <c r="HA55" s="739" t="s">
        <v>93</v>
      </c>
      <c r="HB55" s="739"/>
      <c r="HC55" s="739"/>
      <c r="HD55" s="739"/>
      <c r="HE55" s="739"/>
      <c r="HF55" s="739"/>
      <c r="HG55" s="739"/>
      <c r="HH55" s="739"/>
      <c r="HI55" s="739"/>
      <c r="HJ55" s="739"/>
      <c r="HK55" s="739" t="s">
        <v>93</v>
      </c>
      <c r="HL55" s="739" t="s">
        <v>93</v>
      </c>
      <c r="HM55" s="739"/>
      <c r="HN55" s="739"/>
      <c r="HO55" s="739"/>
      <c r="HP55" s="739"/>
      <c r="HQ55" s="739"/>
      <c r="HR55" s="739"/>
      <c r="HS55" s="739"/>
      <c r="HT55" s="739"/>
      <c r="HU55" s="739"/>
      <c r="HV55" s="739"/>
      <c r="HW55" s="739"/>
      <c r="HX55" s="739"/>
    </row>
    <row r="56" spans="1:232" s="730" customFormat="1" ht="20" customHeight="1">
      <c r="A56" s="764" t="s">
        <v>112</v>
      </c>
      <c r="B56" s="765"/>
      <c r="C56" s="739" t="str">
        <f>IF(ISTEXT(IFERROR(VLOOKUP(A56,职业列表!I3:J10,1,FALSE),0)),"★","")</f>
        <v/>
      </c>
      <c r="D56" s="765"/>
      <c r="E56" s="765"/>
      <c r="F56" s="765"/>
      <c r="G56" s="765"/>
      <c r="H56" s="765"/>
      <c r="I56" s="765" t="s">
        <v>1407</v>
      </c>
      <c r="J56" s="765" t="s">
        <v>1408</v>
      </c>
      <c r="K56" s="765"/>
      <c r="L56" s="765"/>
      <c r="M56" s="769" t="s">
        <v>1359</v>
      </c>
      <c r="N56" s="765" t="s">
        <v>1409</v>
      </c>
      <c r="O56" s="765"/>
      <c r="P56" s="765"/>
      <c r="Q56" s="765"/>
      <c r="R56" s="765"/>
      <c r="S56" s="765"/>
      <c r="T56" s="765" t="s">
        <v>1407</v>
      </c>
      <c r="U56" s="765"/>
      <c r="V56" s="765"/>
      <c r="W56" s="765"/>
      <c r="X56" s="765"/>
      <c r="Y56" s="765"/>
      <c r="Z56" s="765" t="s">
        <v>1409</v>
      </c>
      <c r="AA56" s="765"/>
      <c r="AB56" s="765"/>
      <c r="AC56" s="765"/>
      <c r="AD56" s="765"/>
      <c r="AE56" s="765"/>
      <c r="AF56" s="765"/>
      <c r="AG56" s="765"/>
      <c r="AH56" s="765"/>
      <c r="AI56" s="765"/>
      <c r="AJ56" s="765"/>
      <c r="AK56" s="765"/>
      <c r="AL56" s="765"/>
      <c r="AM56" s="765"/>
      <c r="AN56" s="765"/>
      <c r="AO56" s="765"/>
      <c r="AP56" s="765"/>
      <c r="AQ56" s="765"/>
      <c r="AR56" s="765"/>
      <c r="AS56" s="765" t="s">
        <v>1407</v>
      </c>
      <c r="AT56" s="765" t="s">
        <v>1407</v>
      </c>
      <c r="AU56" s="765"/>
      <c r="AV56" s="765"/>
      <c r="AW56" s="765"/>
      <c r="AX56" s="765"/>
      <c r="AY56" s="765"/>
      <c r="AZ56" s="765"/>
      <c r="BA56" s="765" t="s">
        <v>1410</v>
      </c>
      <c r="BB56" s="765"/>
      <c r="BC56" s="765"/>
      <c r="BD56" s="765"/>
      <c r="BE56" s="765"/>
      <c r="BF56" s="765"/>
      <c r="BG56" s="765"/>
      <c r="BH56" s="765" t="s">
        <v>1407</v>
      </c>
      <c r="BI56" s="765"/>
      <c r="BJ56" s="765"/>
      <c r="BK56" s="765"/>
      <c r="BL56" s="765"/>
      <c r="BM56" s="765"/>
      <c r="BN56" s="765"/>
      <c r="BO56" s="765"/>
      <c r="BP56" s="765"/>
      <c r="BQ56" s="765"/>
      <c r="BR56" s="765" t="s">
        <v>1411</v>
      </c>
      <c r="BS56" s="780"/>
      <c r="BT56" s="765" t="s">
        <v>1412</v>
      </c>
      <c r="BU56" s="765" t="s">
        <v>1413</v>
      </c>
      <c r="BV56" s="765"/>
      <c r="BW56" s="765"/>
      <c r="BX56" s="765"/>
      <c r="BY56" s="765"/>
      <c r="BZ56" s="765"/>
      <c r="CA56" s="765"/>
      <c r="CB56" s="765"/>
      <c r="CC56" s="765"/>
      <c r="CD56" s="765" t="s">
        <v>1407</v>
      </c>
      <c r="CE56" s="769" t="s">
        <v>1414</v>
      </c>
      <c r="CF56" s="765"/>
      <c r="CG56" s="765"/>
      <c r="CH56" s="765" t="s">
        <v>1411</v>
      </c>
      <c r="CI56" s="765" t="s">
        <v>1411</v>
      </c>
      <c r="CJ56" s="765" t="s">
        <v>1411</v>
      </c>
      <c r="CK56" s="765" t="s">
        <v>1415</v>
      </c>
      <c r="CL56" s="765"/>
      <c r="CM56" s="765"/>
      <c r="CN56" s="765"/>
      <c r="CO56" s="765"/>
      <c r="CP56" s="765"/>
      <c r="CQ56" s="765" t="s">
        <v>1413</v>
      </c>
      <c r="CR56" s="765"/>
      <c r="CS56" s="765" t="s">
        <v>1407</v>
      </c>
      <c r="CT56" s="765"/>
      <c r="CU56" s="765"/>
      <c r="CV56" s="765"/>
      <c r="CW56" s="765"/>
      <c r="CX56" s="765"/>
      <c r="CY56" s="765" t="s">
        <v>93</v>
      </c>
      <c r="CZ56" s="765"/>
      <c r="DA56" s="765"/>
      <c r="DB56" s="765"/>
      <c r="DC56" s="765"/>
      <c r="DD56" s="765"/>
      <c r="DE56" s="765"/>
      <c r="DF56" s="765"/>
      <c r="DG56" s="765" t="s">
        <v>1407</v>
      </c>
      <c r="DH56" s="765"/>
      <c r="DI56" s="765"/>
      <c r="DJ56" s="765"/>
      <c r="DK56" s="765"/>
      <c r="DL56" s="765"/>
      <c r="DM56" s="765" t="s">
        <v>1416</v>
      </c>
      <c r="DN56" s="765"/>
      <c r="DO56" s="765"/>
      <c r="DP56" s="765"/>
      <c r="DQ56" s="765"/>
      <c r="DR56" s="765"/>
      <c r="DS56" s="765"/>
      <c r="DT56" s="765"/>
      <c r="DU56" s="765"/>
      <c r="DV56" s="765"/>
      <c r="DW56" s="765"/>
      <c r="DX56" s="765"/>
      <c r="DY56" s="765"/>
      <c r="DZ56" s="765"/>
      <c r="EA56" s="765"/>
      <c r="EB56" s="765"/>
      <c r="EC56" s="765"/>
      <c r="ED56" s="765"/>
      <c r="EE56" s="765"/>
      <c r="EF56" s="765" t="s">
        <v>1407</v>
      </c>
      <c r="EG56" s="765" t="s">
        <v>1407</v>
      </c>
      <c r="EH56" s="765" t="s">
        <v>1407</v>
      </c>
      <c r="EI56" s="765"/>
      <c r="EJ56" s="765"/>
      <c r="EK56" s="765"/>
      <c r="EL56" s="765" t="s">
        <v>1411</v>
      </c>
      <c r="EM56" s="765"/>
      <c r="EN56" s="765"/>
      <c r="EO56" s="765"/>
      <c r="EP56" s="765"/>
      <c r="EQ56" s="765"/>
      <c r="ER56" s="765"/>
      <c r="ES56" s="765"/>
      <c r="ET56" s="765"/>
      <c r="EU56" s="765"/>
      <c r="EV56" s="765"/>
      <c r="EW56" s="765"/>
      <c r="EX56" s="765"/>
      <c r="EY56" s="765"/>
      <c r="EZ56" s="765" t="s">
        <v>1407</v>
      </c>
      <c r="FA56" s="765" t="s">
        <v>1416</v>
      </c>
      <c r="FB56" s="765"/>
      <c r="FC56" s="765"/>
      <c r="FD56" s="765"/>
      <c r="FE56" s="765"/>
      <c r="FF56" s="765"/>
      <c r="FG56" s="765" t="s">
        <v>1415</v>
      </c>
      <c r="FH56" s="765"/>
      <c r="FI56" s="765" t="s">
        <v>1359</v>
      </c>
      <c r="FJ56" s="765"/>
      <c r="FK56" s="765" t="s">
        <v>1415</v>
      </c>
      <c r="FL56" s="765" t="s">
        <v>1411</v>
      </c>
      <c r="FM56" s="765"/>
      <c r="FN56" s="765"/>
      <c r="FO56" s="765"/>
      <c r="FP56" s="765" t="s">
        <v>1415</v>
      </c>
      <c r="FQ56" s="765"/>
      <c r="FR56" s="765"/>
      <c r="FS56" s="765"/>
      <c r="FT56" s="765" t="s">
        <v>1408</v>
      </c>
      <c r="FU56" s="765" t="s">
        <v>1411</v>
      </c>
      <c r="FV56" s="765" t="s">
        <v>1416</v>
      </c>
      <c r="FW56" s="765" t="s">
        <v>1411</v>
      </c>
      <c r="FX56" s="765"/>
      <c r="FY56" s="765"/>
      <c r="FZ56" s="765"/>
      <c r="GA56" s="765"/>
      <c r="GB56" s="765"/>
      <c r="GC56" s="765"/>
      <c r="GD56" s="765"/>
      <c r="GE56" s="765"/>
      <c r="GF56" s="765"/>
      <c r="GG56" s="765"/>
      <c r="GH56" s="765"/>
      <c r="GI56" s="765"/>
      <c r="GJ56" s="765"/>
      <c r="GK56" s="765"/>
      <c r="GL56" s="765"/>
      <c r="GM56" s="765"/>
      <c r="GN56" s="765"/>
      <c r="GO56" s="765"/>
      <c r="GP56" s="765" t="s">
        <v>1417</v>
      </c>
      <c r="GQ56" s="765"/>
      <c r="GR56" s="765"/>
      <c r="GS56" s="765" t="s">
        <v>1407</v>
      </c>
      <c r="GT56" s="765"/>
      <c r="GU56" s="765"/>
      <c r="GV56" s="765"/>
      <c r="GW56" s="765"/>
      <c r="GX56" s="765"/>
      <c r="GY56" s="765"/>
      <c r="GZ56" s="765"/>
      <c r="HA56" s="765"/>
      <c r="HB56" s="765"/>
      <c r="HC56" s="765"/>
      <c r="HD56" s="765"/>
      <c r="HE56" s="765"/>
      <c r="HF56" s="769" t="s">
        <v>1411</v>
      </c>
      <c r="HG56" s="765"/>
      <c r="HH56" s="765"/>
      <c r="HI56" s="765"/>
      <c r="HJ56" s="765"/>
      <c r="HK56" s="765"/>
      <c r="HL56" s="765" t="s">
        <v>1407</v>
      </c>
      <c r="HM56" s="765"/>
      <c r="HN56" s="765"/>
      <c r="HO56" s="765"/>
      <c r="HP56" s="765"/>
      <c r="HQ56" s="769" t="s">
        <v>1407</v>
      </c>
      <c r="HR56" s="765"/>
      <c r="HS56" s="765"/>
      <c r="HT56" s="765"/>
      <c r="HU56" s="765"/>
      <c r="HV56" s="765"/>
      <c r="HW56" s="765"/>
      <c r="HX56" s="765"/>
    </row>
    <row r="57" spans="1:232" s="375" customFormat="1" ht="20" customHeight="1">
      <c r="A57" s="743" t="s">
        <v>115</v>
      </c>
      <c r="B57" s="739"/>
      <c r="C57" s="739" t="str">
        <f>IF(ISTEXT(IFERROR(VLOOKUP(A57,职业列表!I3:J10,1,FALSE),0)),"★","")</f>
        <v/>
      </c>
      <c r="D57" s="744"/>
      <c r="E57" s="744"/>
      <c r="F57" s="744"/>
      <c r="G57" s="744"/>
      <c r="H57" s="744"/>
      <c r="I57" s="744" t="s">
        <v>1411</v>
      </c>
      <c r="J57" s="744"/>
      <c r="K57" s="744"/>
      <c r="L57" s="744"/>
      <c r="M57" s="744"/>
      <c r="N57" s="744"/>
      <c r="O57" s="744"/>
      <c r="P57" s="744"/>
      <c r="Q57" s="744"/>
      <c r="R57" s="744"/>
      <c r="S57" s="744"/>
      <c r="T57" s="744" t="s">
        <v>1418</v>
      </c>
      <c r="U57" s="744"/>
      <c r="V57" s="744"/>
      <c r="W57" s="744"/>
      <c r="X57" s="744"/>
      <c r="Y57" s="744"/>
      <c r="Z57" s="744"/>
      <c r="AA57" s="744"/>
      <c r="AB57" s="744"/>
      <c r="AC57" s="744"/>
      <c r="AD57" s="744"/>
      <c r="AE57" s="744"/>
      <c r="AF57" s="744"/>
      <c r="AG57" s="744"/>
      <c r="AH57" s="744"/>
      <c r="AI57" s="744"/>
      <c r="AJ57" s="744"/>
      <c r="AK57" s="744"/>
      <c r="AL57" s="744"/>
      <c r="AM57" s="744"/>
      <c r="AN57" s="744"/>
      <c r="AO57" s="744"/>
      <c r="AP57" s="744"/>
      <c r="AQ57" s="744"/>
      <c r="AR57" s="744"/>
      <c r="AS57" s="744"/>
      <c r="AT57" s="744" t="s">
        <v>1416</v>
      </c>
      <c r="AU57" s="744"/>
      <c r="AV57" s="744"/>
      <c r="AW57" s="744"/>
      <c r="AX57" s="744"/>
      <c r="AY57" s="744"/>
      <c r="AZ57" s="744"/>
      <c r="BA57" s="744" t="s">
        <v>1417</v>
      </c>
      <c r="BB57" s="744"/>
      <c r="BC57" s="744"/>
      <c r="BD57" s="744"/>
      <c r="BE57" s="744"/>
      <c r="BF57" s="744"/>
      <c r="BG57" s="744"/>
      <c r="BH57" s="744" t="s">
        <v>1419</v>
      </c>
      <c r="BI57" s="744"/>
      <c r="BJ57" s="744"/>
      <c r="BK57" s="744"/>
      <c r="BL57" s="744"/>
      <c r="BM57" s="744"/>
      <c r="BN57" s="744"/>
      <c r="BO57" s="744"/>
      <c r="BP57" s="744"/>
      <c r="BQ57" s="744"/>
      <c r="BR57" s="739" t="s">
        <v>93</v>
      </c>
      <c r="BS57" s="744"/>
      <c r="BT57" s="770" t="s">
        <v>1420</v>
      </c>
      <c r="BU57" s="744"/>
      <c r="BV57" s="744"/>
      <c r="BW57" s="744"/>
      <c r="BX57" s="744"/>
      <c r="BY57" s="744"/>
      <c r="BZ57" s="744"/>
      <c r="CA57" s="744"/>
      <c r="CB57" s="744"/>
      <c r="CC57" s="744"/>
      <c r="CD57" s="744" t="s">
        <v>1411</v>
      </c>
      <c r="CE57" s="744"/>
      <c r="CF57" s="744"/>
      <c r="CG57" s="744"/>
      <c r="CH57" s="744" t="s">
        <v>1421</v>
      </c>
      <c r="CI57" s="744"/>
      <c r="CJ57" s="744"/>
      <c r="CK57" s="744"/>
      <c r="CL57" s="744"/>
      <c r="CM57" s="744"/>
      <c r="CN57" s="744"/>
      <c r="CO57" s="744"/>
      <c r="CP57" s="744"/>
      <c r="CQ57" s="744"/>
      <c r="CR57" s="744"/>
      <c r="CS57" s="744" t="s">
        <v>1411</v>
      </c>
      <c r="CT57" s="744"/>
      <c r="CU57" s="744"/>
      <c r="CV57" s="744"/>
      <c r="CW57" s="744"/>
      <c r="CX57" s="744"/>
      <c r="CY57" s="739" t="s">
        <v>93</v>
      </c>
      <c r="CZ57" s="744"/>
      <c r="DA57" s="744"/>
      <c r="DB57" s="744"/>
      <c r="DC57" s="744"/>
      <c r="DD57" s="744"/>
      <c r="DE57" s="744"/>
      <c r="DF57" s="744"/>
      <c r="DG57" s="744" t="s">
        <v>1411</v>
      </c>
      <c r="DH57" s="744"/>
      <c r="DI57" s="744"/>
      <c r="DJ57" s="744"/>
      <c r="DK57" s="744"/>
      <c r="DL57" s="744"/>
      <c r="DM57" s="744" t="s">
        <v>1408</v>
      </c>
      <c r="DN57" s="739"/>
      <c r="DO57" s="739"/>
      <c r="DP57" s="739"/>
      <c r="DQ57" s="739"/>
      <c r="DR57" s="739"/>
      <c r="DS57" s="739"/>
      <c r="DT57" s="739"/>
      <c r="DU57" s="739"/>
      <c r="DV57" s="739"/>
      <c r="DW57" s="739"/>
      <c r="DX57" s="739"/>
      <c r="DY57" s="739"/>
      <c r="DZ57" s="739"/>
      <c r="EA57" s="739"/>
      <c r="EB57" s="739"/>
      <c r="EC57" s="739"/>
      <c r="ED57" s="739"/>
      <c r="EE57" s="739"/>
      <c r="EF57" s="739" t="s">
        <v>1416</v>
      </c>
      <c r="EG57" s="739" t="s">
        <v>1416</v>
      </c>
      <c r="EH57" s="739" t="s">
        <v>1416</v>
      </c>
      <c r="EI57" s="739"/>
      <c r="EJ57" s="739"/>
      <c r="EK57" s="739"/>
      <c r="EL57" s="739" t="s">
        <v>1419</v>
      </c>
      <c r="EM57" s="739"/>
      <c r="EN57" s="739"/>
      <c r="EO57" s="739"/>
      <c r="EP57" s="739"/>
      <c r="EQ57" s="739"/>
      <c r="ER57" s="739"/>
      <c r="ES57" s="739"/>
      <c r="ET57" s="739"/>
      <c r="EU57" s="739"/>
      <c r="EV57" s="739"/>
      <c r="EW57" s="739"/>
      <c r="EX57" s="739"/>
      <c r="EY57" s="739"/>
      <c r="EZ57" s="739" t="s">
        <v>1411</v>
      </c>
      <c r="FA57" s="739"/>
      <c r="FB57" s="739"/>
      <c r="FC57" s="739"/>
      <c r="FD57" s="739"/>
      <c r="FE57" s="739"/>
      <c r="FF57" s="739"/>
      <c r="FG57" s="739" t="s">
        <v>1413</v>
      </c>
      <c r="FH57" s="739"/>
      <c r="FI57" s="739"/>
      <c r="FJ57" s="739"/>
      <c r="FK57" s="739"/>
      <c r="FL57" s="739"/>
      <c r="FM57" s="739"/>
      <c r="FN57" s="739"/>
      <c r="FO57" s="739"/>
      <c r="FP57" s="739"/>
      <c r="FQ57" s="739"/>
      <c r="FR57" s="739"/>
      <c r="FS57" s="739"/>
      <c r="FT57" s="739"/>
      <c r="FU57" s="739"/>
      <c r="FV57" s="739"/>
      <c r="FW57" s="739" t="s">
        <v>1419</v>
      </c>
      <c r="FX57" s="739"/>
      <c r="FY57" s="739"/>
      <c r="FZ57" s="739"/>
      <c r="GA57" s="739"/>
      <c r="GB57" s="739"/>
      <c r="GC57" s="739"/>
      <c r="GD57" s="739"/>
      <c r="GE57" s="739"/>
      <c r="GF57" s="739"/>
      <c r="GG57" s="739"/>
      <c r="GH57" s="739"/>
      <c r="GI57" s="739"/>
      <c r="GJ57" s="739"/>
      <c r="GK57" s="739"/>
      <c r="GL57" s="739"/>
      <c r="GM57" s="739"/>
      <c r="GN57" s="739"/>
      <c r="GO57" s="739"/>
      <c r="GP57" s="739" t="s">
        <v>1411</v>
      </c>
      <c r="GQ57" s="739"/>
      <c r="GR57" s="739"/>
      <c r="GS57" s="739" t="s">
        <v>1411</v>
      </c>
      <c r="GT57" s="739"/>
      <c r="GU57" s="739"/>
      <c r="GV57" s="739"/>
      <c r="GW57" s="739"/>
      <c r="GX57" s="739"/>
      <c r="GY57" s="744"/>
      <c r="GZ57" s="744"/>
      <c r="HA57" s="744"/>
      <c r="HB57" s="744"/>
      <c r="HC57" s="744"/>
      <c r="HD57" s="744"/>
      <c r="HE57" s="744"/>
      <c r="HF57" s="744"/>
      <c r="HG57" s="744"/>
      <c r="HH57" s="744"/>
      <c r="HI57" s="744"/>
      <c r="HJ57" s="744"/>
      <c r="HK57" s="744"/>
      <c r="HL57" s="744"/>
      <c r="HM57" s="744"/>
      <c r="HN57" s="744"/>
      <c r="HO57" s="744"/>
      <c r="HP57" s="744"/>
      <c r="HQ57" s="770" t="s">
        <v>1416</v>
      </c>
      <c r="HR57" s="744"/>
      <c r="HS57" s="744"/>
      <c r="HT57" s="744"/>
      <c r="HU57" s="744"/>
      <c r="HV57" s="744"/>
      <c r="HW57" s="744"/>
      <c r="HX57" s="744"/>
    </row>
    <row r="58" spans="1:232" s="375" customFormat="1" ht="20" customHeight="1">
      <c r="A58" s="743" t="s">
        <v>117</v>
      </c>
      <c r="B58" s="739"/>
      <c r="C58" s="739" t="str">
        <f>IF(ISTEXT(IFERROR(VLOOKUP(A58,职业列表!I3:J10,1,FALSE),0)),"★","")</f>
        <v/>
      </c>
      <c r="D58" s="744"/>
      <c r="E58" s="744"/>
      <c r="F58" s="744"/>
      <c r="G58" s="744"/>
      <c r="H58" s="744"/>
      <c r="I58" s="744"/>
      <c r="J58" s="744"/>
      <c r="K58" s="744"/>
      <c r="L58" s="744"/>
      <c r="M58" s="744"/>
      <c r="N58" s="744"/>
      <c r="O58" s="744"/>
      <c r="P58" s="744"/>
      <c r="Q58" s="744"/>
      <c r="R58" s="744"/>
      <c r="S58" s="744"/>
      <c r="T58" s="744"/>
      <c r="U58" s="744"/>
      <c r="V58" s="744"/>
      <c r="W58" s="744"/>
      <c r="X58" s="744"/>
      <c r="Y58" s="744"/>
      <c r="Z58" s="744"/>
      <c r="AA58" s="744"/>
      <c r="AB58" s="744"/>
      <c r="AC58" s="744"/>
      <c r="AD58" s="744"/>
      <c r="AE58" s="744"/>
      <c r="AF58" s="744"/>
      <c r="AG58" s="744"/>
      <c r="AH58" s="744"/>
      <c r="AI58" s="744"/>
      <c r="AJ58" s="744"/>
      <c r="AK58" s="744"/>
      <c r="AL58" s="744"/>
      <c r="AM58" s="744"/>
      <c r="AN58" s="744"/>
      <c r="AO58" s="744"/>
      <c r="AP58" s="744"/>
      <c r="AQ58" s="744"/>
      <c r="AR58" s="744"/>
      <c r="AS58" s="744"/>
      <c r="AT58" s="744"/>
      <c r="AU58" s="744"/>
      <c r="AV58" s="744"/>
      <c r="AW58" s="744"/>
      <c r="AX58" s="744"/>
      <c r="AY58" s="744"/>
      <c r="AZ58" s="744"/>
      <c r="BA58" s="744"/>
      <c r="BB58" s="744"/>
      <c r="BC58" s="744"/>
      <c r="BD58" s="744"/>
      <c r="BE58" s="744"/>
      <c r="BF58" s="744"/>
      <c r="BG58" s="744"/>
      <c r="BH58" s="744" t="s">
        <v>1416</v>
      </c>
      <c r="BI58" s="744"/>
      <c r="BJ58" s="744"/>
      <c r="BK58" s="744"/>
      <c r="BL58" s="744"/>
      <c r="BM58" s="744"/>
      <c r="BN58" s="744"/>
      <c r="BO58" s="744"/>
      <c r="BP58" s="744"/>
      <c r="BQ58" s="744"/>
      <c r="BR58" s="739" t="s">
        <v>93</v>
      </c>
      <c r="BS58" s="744"/>
      <c r="BT58" s="744"/>
      <c r="BU58" s="744"/>
      <c r="BV58" s="744"/>
      <c r="BW58" s="744"/>
      <c r="BX58" s="744"/>
      <c r="BY58" s="744"/>
      <c r="BZ58" s="744"/>
      <c r="CA58" s="744"/>
      <c r="CB58" s="744"/>
      <c r="CC58" s="744"/>
      <c r="CD58" s="744"/>
      <c r="CE58" s="744"/>
      <c r="CF58" s="744"/>
      <c r="CG58" s="744"/>
      <c r="CH58" s="744"/>
      <c r="CI58" s="744"/>
      <c r="CJ58" s="744"/>
      <c r="CK58" s="744"/>
      <c r="CL58" s="744"/>
      <c r="CM58" s="744"/>
      <c r="CN58" s="744"/>
      <c r="CO58" s="744"/>
      <c r="CP58" s="744"/>
      <c r="CQ58" s="744"/>
      <c r="CR58" s="744"/>
      <c r="CS58" s="744"/>
      <c r="CT58" s="744"/>
      <c r="CU58" s="744"/>
      <c r="CV58" s="744"/>
      <c r="CW58" s="744"/>
      <c r="CX58" s="744"/>
      <c r="CY58" s="739" t="s">
        <v>93</v>
      </c>
      <c r="CZ58" s="744"/>
      <c r="DA58" s="744"/>
      <c r="DB58" s="744"/>
      <c r="DC58" s="744"/>
      <c r="DD58" s="744"/>
      <c r="DE58" s="744"/>
      <c r="DF58" s="744"/>
      <c r="DG58" s="744"/>
      <c r="DH58" s="744"/>
      <c r="DI58" s="744"/>
      <c r="DJ58" s="744"/>
      <c r="DK58" s="744"/>
      <c r="DL58" s="744"/>
      <c r="DM58" s="744"/>
      <c r="DN58" s="739"/>
      <c r="DO58" s="739"/>
      <c r="DP58" s="739"/>
      <c r="DQ58" s="739"/>
      <c r="DR58" s="739"/>
      <c r="DS58" s="739"/>
      <c r="DT58" s="739"/>
      <c r="DU58" s="739"/>
      <c r="DV58" s="739"/>
      <c r="DW58" s="739"/>
      <c r="DX58" s="739"/>
      <c r="DY58" s="739"/>
      <c r="DZ58" s="739"/>
      <c r="EA58" s="739"/>
      <c r="EB58" s="739"/>
      <c r="EC58" s="739"/>
      <c r="ED58" s="739"/>
      <c r="EE58" s="739"/>
      <c r="EF58" s="739"/>
      <c r="EG58" s="739"/>
      <c r="EH58" s="739"/>
      <c r="EI58" s="739"/>
      <c r="EJ58" s="739"/>
      <c r="EK58" s="739"/>
      <c r="EL58" s="739" t="s">
        <v>1416</v>
      </c>
      <c r="EM58" s="739"/>
      <c r="EN58" s="739"/>
      <c r="EO58" s="739"/>
      <c r="EP58" s="739"/>
      <c r="EQ58" s="739"/>
      <c r="ER58" s="739"/>
      <c r="ES58" s="739"/>
      <c r="ET58" s="739"/>
      <c r="EU58" s="739"/>
      <c r="EV58" s="739"/>
      <c r="EW58" s="739"/>
      <c r="EX58" s="739"/>
      <c r="EY58" s="739"/>
      <c r="EZ58" s="739" t="s">
        <v>1416</v>
      </c>
      <c r="FA58" s="739"/>
      <c r="FB58" s="739"/>
      <c r="FC58" s="739"/>
      <c r="FD58" s="739"/>
      <c r="FE58" s="739"/>
      <c r="FF58" s="739"/>
      <c r="FG58" s="739"/>
      <c r="FH58" s="739"/>
      <c r="FI58" s="739"/>
      <c r="FJ58" s="739"/>
      <c r="FK58" s="739"/>
      <c r="FL58" s="739"/>
      <c r="FM58" s="739"/>
      <c r="FN58" s="739"/>
      <c r="FO58" s="739"/>
      <c r="FP58" s="739"/>
      <c r="FQ58" s="739"/>
      <c r="FR58" s="739"/>
      <c r="FS58" s="739"/>
      <c r="FT58" s="739"/>
      <c r="FU58" s="739"/>
      <c r="FV58" s="739"/>
      <c r="FW58" s="739" t="s">
        <v>1416</v>
      </c>
      <c r="FX58" s="739"/>
      <c r="FY58" s="739"/>
      <c r="FZ58" s="739"/>
      <c r="GA58" s="739"/>
      <c r="GB58" s="739"/>
      <c r="GC58" s="739"/>
      <c r="GD58" s="739"/>
      <c r="GE58" s="739"/>
      <c r="GF58" s="739"/>
      <c r="GG58" s="739"/>
      <c r="GH58" s="739"/>
      <c r="GI58" s="739"/>
      <c r="GJ58" s="739"/>
      <c r="GK58" s="739"/>
      <c r="GL58" s="739"/>
      <c r="GM58" s="739"/>
      <c r="GN58" s="739"/>
      <c r="GO58" s="739"/>
      <c r="GP58" s="739" t="s">
        <v>1407</v>
      </c>
      <c r="GQ58" s="739"/>
      <c r="GR58" s="739"/>
      <c r="GS58" s="739"/>
      <c r="GT58" s="739"/>
      <c r="GU58" s="739"/>
      <c r="GV58" s="739"/>
      <c r="GW58" s="739"/>
      <c r="GX58" s="739"/>
      <c r="GY58" s="744"/>
      <c r="GZ58" s="744"/>
      <c r="HA58" s="744"/>
      <c r="HB58" s="744"/>
      <c r="HC58" s="744"/>
      <c r="HD58" s="744"/>
      <c r="HE58" s="744"/>
      <c r="HF58" s="744"/>
      <c r="HG58" s="744"/>
      <c r="HH58" s="744"/>
      <c r="HI58" s="744"/>
      <c r="HJ58" s="744"/>
      <c r="HK58" s="744"/>
      <c r="HL58" s="744"/>
      <c r="HM58" s="744"/>
      <c r="HN58" s="744"/>
      <c r="HO58" s="744"/>
      <c r="HP58" s="744"/>
      <c r="HQ58" s="744"/>
      <c r="HR58" s="744"/>
      <c r="HS58" s="744"/>
      <c r="HT58" s="744"/>
      <c r="HU58" s="744"/>
      <c r="HV58" s="744"/>
      <c r="HW58" s="744"/>
      <c r="HX58" s="744"/>
    </row>
    <row r="59" spans="1:232" s="375" customFormat="1" ht="20" customHeight="1">
      <c r="A59" s="761" t="s">
        <v>120</v>
      </c>
      <c r="B59" s="739"/>
      <c r="C59" s="739" t="str">
        <f>IF(ISTEXT(IFERROR(VLOOKUP(A59,职业列表!I3:J10,1,FALSE),0)),"★","")</f>
        <v/>
      </c>
      <c r="D59" s="739"/>
      <c r="E59" s="739"/>
      <c r="F59" s="739"/>
      <c r="G59" s="739"/>
      <c r="H59" s="739"/>
      <c r="I59" s="739"/>
      <c r="J59" s="739"/>
      <c r="K59" s="739"/>
      <c r="L59" s="739"/>
      <c r="M59" s="739"/>
      <c r="N59" s="739"/>
      <c r="O59" s="739"/>
      <c r="P59" s="739"/>
      <c r="Q59" s="739"/>
      <c r="R59" s="739"/>
      <c r="S59" s="739"/>
      <c r="T59" s="739"/>
      <c r="U59" s="739"/>
      <c r="V59" s="739"/>
      <c r="W59" s="739"/>
      <c r="X59" s="739"/>
      <c r="Y59" s="739"/>
      <c r="Z59" s="739"/>
      <c r="AA59" s="739"/>
      <c r="AB59" s="739"/>
      <c r="AC59" s="739"/>
      <c r="AD59" s="739"/>
      <c r="AE59" s="739"/>
      <c r="AF59" s="739"/>
      <c r="AG59" s="739" t="s">
        <v>93</v>
      </c>
      <c r="AH59" s="739" t="s">
        <v>93</v>
      </c>
      <c r="AI59" s="739"/>
      <c r="AJ59" s="739"/>
      <c r="AK59" s="739"/>
      <c r="AL59" s="739" t="s">
        <v>93</v>
      </c>
      <c r="AM59" s="739" t="s">
        <v>93</v>
      </c>
      <c r="AN59" s="739" t="s">
        <v>93</v>
      </c>
      <c r="AO59" s="739"/>
      <c r="AP59" s="739"/>
      <c r="AQ59" s="739"/>
      <c r="AR59" s="739"/>
      <c r="AS59" s="739"/>
      <c r="AT59" s="739"/>
      <c r="AU59" s="739"/>
      <c r="AV59" s="739"/>
      <c r="AW59" s="739"/>
      <c r="AX59" s="739"/>
      <c r="AY59" s="739"/>
      <c r="AZ59" s="739"/>
      <c r="BA59" s="739"/>
      <c r="BB59" s="739"/>
      <c r="BC59" s="739"/>
      <c r="BD59" s="739"/>
      <c r="BE59" s="739"/>
      <c r="BF59" s="739"/>
      <c r="BG59" s="739"/>
      <c r="BH59" s="739"/>
      <c r="BI59" s="739" t="s">
        <v>93</v>
      </c>
      <c r="BJ59" s="739"/>
      <c r="BK59" s="739"/>
      <c r="BL59" s="739"/>
      <c r="BM59" s="740" t="s">
        <v>1359</v>
      </c>
      <c r="BN59" s="739"/>
      <c r="BO59" s="739"/>
      <c r="BP59" s="739"/>
      <c r="BQ59" s="739"/>
      <c r="BR59" s="739"/>
      <c r="BS59" s="739"/>
      <c r="BT59" s="739"/>
      <c r="BU59" s="739"/>
      <c r="BV59" s="739"/>
      <c r="BW59" s="739"/>
      <c r="BX59" s="739"/>
      <c r="BY59" s="739"/>
      <c r="BZ59" s="739"/>
      <c r="CA59" s="739"/>
      <c r="CB59" s="739"/>
      <c r="CC59" s="739"/>
      <c r="CD59" s="739"/>
      <c r="CE59" s="739"/>
      <c r="CF59" s="739"/>
      <c r="CG59" s="739"/>
      <c r="CH59" s="739"/>
      <c r="CI59" s="739"/>
      <c r="CJ59" s="739"/>
      <c r="CK59" s="739"/>
      <c r="CL59" s="739"/>
      <c r="CM59" s="739"/>
      <c r="CN59" s="739"/>
      <c r="CO59" s="739"/>
      <c r="CP59" s="739"/>
      <c r="CQ59" s="739"/>
      <c r="CR59" s="739" t="s">
        <v>93</v>
      </c>
      <c r="CS59" s="739"/>
      <c r="CT59" s="739"/>
      <c r="CU59" s="739"/>
      <c r="CV59" s="739"/>
      <c r="CW59" s="739"/>
      <c r="CX59" s="739" t="s">
        <v>1359</v>
      </c>
      <c r="CY59" s="739"/>
      <c r="CZ59" s="739"/>
      <c r="DA59" s="739"/>
      <c r="DB59" s="739"/>
      <c r="DC59" s="739" t="s">
        <v>93</v>
      </c>
      <c r="DD59" s="739"/>
      <c r="DE59" s="739"/>
      <c r="DF59" s="739"/>
      <c r="DG59" s="739"/>
      <c r="DH59" s="739"/>
      <c r="DI59" s="739"/>
      <c r="DJ59" s="739"/>
      <c r="DK59" s="739"/>
      <c r="DL59" s="739"/>
      <c r="DM59" s="739"/>
      <c r="DN59" s="739"/>
      <c r="DO59" s="739"/>
      <c r="DP59" s="739"/>
      <c r="DQ59" s="739"/>
      <c r="DR59" s="739"/>
      <c r="DS59" s="739"/>
      <c r="DT59" s="739"/>
      <c r="DU59" s="739"/>
      <c r="DV59" s="739"/>
      <c r="DW59" s="739"/>
      <c r="DX59" s="739"/>
      <c r="DY59" s="739"/>
      <c r="DZ59" s="739"/>
      <c r="EA59" s="739" t="s">
        <v>93</v>
      </c>
      <c r="EB59" s="739"/>
      <c r="EC59" s="739" t="s">
        <v>93</v>
      </c>
      <c r="ED59" s="739"/>
      <c r="EE59" s="739"/>
      <c r="EF59" s="739"/>
      <c r="EG59" s="739"/>
      <c r="EH59" s="739"/>
      <c r="EI59" s="739"/>
      <c r="EJ59" s="739"/>
      <c r="EK59" s="739"/>
      <c r="EL59" s="739"/>
      <c r="EM59" s="739"/>
      <c r="EN59" s="739"/>
      <c r="EO59" s="739"/>
      <c r="EP59" s="739"/>
      <c r="EQ59" s="739"/>
      <c r="ER59" s="739" t="s">
        <v>1359</v>
      </c>
      <c r="ES59" s="739"/>
      <c r="ET59" s="739"/>
      <c r="EU59" s="739"/>
      <c r="EV59" s="739"/>
      <c r="EW59" s="739"/>
      <c r="EX59" s="739"/>
      <c r="EY59" s="739"/>
      <c r="EZ59" s="739"/>
      <c r="FA59" s="739"/>
      <c r="FB59" s="739"/>
      <c r="FC59" s="739"/>
      <c r="FD59" s="739"/>
      <c r="FE59" s="739"/>
      <c r="FF59" s="739"/>
      <c r="FG59" s="739"/>
      <c r="FH59" s="739"/>
      <c r="FI59" s="739"/>
      <c r="FJ59" s="740"/>
      <c r="FK59" s="739"/>
      <c r="FL59" s="739"/>
      <c r="FM59" s="739"/>
      <c r="FN59" s="739" t="s">
        <v>93</v>
      </c>
      <c r="FO59" s="739"/>
      <c r="FP59" s="739"/>
      <c r="FQ59" s="739"/>
      <c r="FR59" s="739"/>
      <c r="FS59" s="739"/>
      <c r="FT59" s="739"/>
      <c r="FU59" s="739"/>
      <c r="FV59" s="739"/>
      <c r="FW59" s="739"/>
      <c r="FX59" s="739"/>
      <c r="FY59" s="739"/>
      <c r="FZ59" s="739"/>
      <c r="GA59" s="739"/>
      <c r="GB59" s="739"/>
      <c r="GC59" s="739"/>
      <c r="GD59" s="739"/>
      <c r="GE59" s="739"/>
      <c r="GF59" s="739"/>
      <c r="GG59" s="739"/>
      <c r="GH59" s="739"/>
      <c r="GI59" s="739"/>
      <c r="GJ59" s="739"/>
      <c r="GK59" s="739"/>
      <c r="GL59" s="739"/>
      <c r="GM59" s="739"/>
      <c r="GN59" s="739"/>
      <c r="GO59" s="739"/>
      <c r="GP59" s="739"/>
      <c r="GQ59" s="739"/>
      <c r="GR59" s="739"/>
      <c r="GS59" s="739"/>
      <c r="GT59" s="739"/>
      <c r="GU59" s="739"/>
      <c r="GV59" s="739"/>
      <c r="GW59" s="739"/>
      <c r="GX59" s="739"/>
      <c r="GY59" s="739"/>
      <c r="GZ59" s="739"/>
      <c r="HA59" s="739"/>
      <c r="HB59" s="739"/>
      <c r="HC59" s="739"/>
      <c r="HD59" s="739"/>
      <c r="HE59" s="739"/>
      <c r="HF59" s="739"/>
      <c r="HG59" s="739"/>
      <c r="HH59" s="739"/>
      <c r="HI59" s="739"/>
      <c r="HJ59" s="739"/>
      <c r="HK59" s="739"/>
      <c r="HL59" s="739"/>
      <c r="HM59" s="739"/>
      <c r="HN59" s="739"/>
      <c r="HO59" s="739"/>
      <c r="HP59" s="739"/>
      <c r="HQ59" s="739"/>
      <c r="HR59" s="739"/>
      <c r="HS59" s="739"/>
      <c r="HT59" s="739"/>
      <c r="HU59" s="739"/>
      <c r="HV59" s="739"/>
      <c r="HW59" s="739"/>
      <c r="HX59" s="739"/>
    </row>
    <row r="60" spans="1:232" s="728" customFormat="1" ht="20" customHeight="1">
      <c r="A60" s="766" t="s">
        <v>122</v>
      </c>
      <c r="B60" s="759"/>
      <c r="C60" s="739" t="str">
        <f>IF(ISTEXT(IFERROR(VLOOKUP(A60,职业列表!I3:J10,1,FALSE),0)),"★","")</f>
        <v/>
      </c>
      <c r="D60" s="759" t="s">
        <v>93</v>
      </c>
      <c r="E60" s="759" t="s">
        <v>93</v>
      </c>
      <c r="F60" s="759"/>
      <c r="G60" s="759"/>
      <c r="H60" s="759"/>
      <c r="I60" s="759"/>
      <c r="J60" s="759"/>
      <c r="K60" s="759" t="s">
        <v>93</v>
      </c>
      <c r="L60" s="759"/>
      <c r="M60" s="759" t="s">
        <v>93</v>
      </c>
      <c r="N60" s="759"/>
      <c r="O60" s="759" t="s">
        <v>93</v>
      </c>
      <c r="P60" s="759"/>
      <c r="Q60" s="759"/>
      <c r="R60" s="759"/>
      <c r="S60" s="759" t="s">
        <v>93</v>
      </c>
      <c r="T60" s="759" t="s">
        <v>1359</v>
      </c>
      <c r="U60" s="759"/>
      <c r="V60" s="759"/>
      <c r="W60" s="759" t="s">
        <v>93</v>
      </c>
      <c r="X60" s="759" t="s">
        <v>93</v>
      </c>
      <c r="Y60" s="759"/>
      <c r="Z60" s="759" t="s">
        <v>93</v>
      </c>
      <c r="AA60" s="759" t="s">
        <v>93</v>
      </c>
      <c r="AB60" s="759"/>
      <c r="AC60" s="772" t="s">
        <v>93</v>
      </c>
      <c r="AD60" s="759"/>
      <c r="AE60" s="759"/>
      <c r="AF60" s="759" t="s">
        <v>93</v>
      </c>
      <c r="AG60" s="759" t="s">
        <v>93</v>
      </c>
      <c r="AH60" s="759"/>
      <c r="AI60" s="759" t="s">
        <v>93</v>
      </c>
      <c r="AJ60" s="759"/>
      <c r="AK60" s="759" t="s">
        <v>93</v>
      </c>
      <c r="AL60" s="759" t="s">
        <v>93</v>
      </c>
      <c r="AM60" s="759" t="s">
        <v>93</v>
      </c>
      <c r="AN60" s="759"/>
      <c r="AO60" s="759" t="s">
        <v>93</v>
      </c>
      <c r="AP60" s="759"/>
      <c r="AQ60" s="759" t="s">
        <v>93</v>
      </c>
      <c r="AR60" s="759"/>
      <c r="AS60" s="759" t="s">
        <v>93</v>
      </c>
      <c r="AT60" s="759"/>
      <c r="AU60" s="759"/>
      <c r="AV60" s="759" t="s">
        <v>93</v>
      </c>
      <c r="AW60" s="759"/>
      <c r="AX60" s="759" t="s">
        <v>93</v>
      </c>
      <c r="AY60" s="759" t="s">
        <v>93</v>
      </c>
      <c r="AZ60" s="759"/>
      <c r="BA60" s="759"/>
      <c r="BB60" s="759"/>
      <c r="BC60" s="759"/>
      <c r="BD60" s="759"/>
      <c r="BE60" s="759" t="s">
        <v>93</v>
      </c>
      <c r="BF60" s="759"/>
      <c r="BG60" s="759"/>
      <c r="BH60" s="759" t="s">
        <v>93</v>
      </c>
      <c r="BI60" s="759" t="s">
        <v>93</v>
      </c>
      <c r="BJ60" s="759" t="s">
        <v>93</v>
      </c>
      <c r="BK60" s="759"/>
      <c r="BL60" s="759"/>
      <c r="BM60" s="759"/>
      <c r="BN60" s="759"/>
      <c r="BO60" s="779"/>
      <c r="BP60" s="759" t="s">
        <v>93</v>
      </c>
      <c r="BQ60" s="759"/>
      <c r="BR60" s="759" t="s">
        <v>93</v>
      </c>
      <c r="BS60" s="759"/>
      <c r="BT60" s="759"/>
      <c r="BU60" s="759" t="s">
        <v>93</v>
      </c>
      <c r="BV60" s="759"/>
      <c r="BW60" s="759"/>
      <c r="BX60" s="759"/>
      <c r="BY60" s="759"/>
      <c r="BZ60" s="759"/>
      <c r="CA60" s="759"/>
      <c r="CB60" s="759" t="s">
        <v>93</v>
      </c>
      <c r="CC60" s="759"/>
      <c r="CD60" s="759" t="s">
        <v>93</v>
      </c>
      <c r="CE60" s="759"/>
      <c r="CF60" s="759" t="s">
        <v>93</v>
      </c>
      <c r="CG60" s="759"/>
      <c r="CH60" s="759"/>
      <c r="CI60" s="759" t="s">
        <v>93</v>
      </c>
      <c r="CJ60" s="759"/>
      <c r="CK60" s="759"/>
      <c r="CL60" s="759" t="s">
        <v>93</v>
      </c>
      <c r="CM60" s="759" t="s">
        <v>93</v>
      </c>
      <c r="CN60" s="759" t="s">
        <v>93</v>
      </c>
      <c r="CO60" s="759" t="s">
        <v>93</v>
      </c>
      <c r="CP60" s="759"/>
      <c r="CQ60" s="759" t="s">
        <v>93</v>
      </c>
      <c r="CR60" s="759"/>
      <c r="CS60" s="759"/>
      <c r="CT60" s="759"/>
      <c r="CU60" s="759" t="s">
        <v>93</v>
      </c>
      <c r="CV60" s="759"/>
      <c r="CW60" s="759" t="s">
        <v>93</v>
      </c>
      <c r="CX60" s="759"/>
      <c r="CY60" s="759" t="s">
        <v>93</v>
      </c>
      <c r="CZ60" s="759"/>
      <c r="DA60" s="759" t="s">
        <v>93</v>
      </c>
      <c r="DB60" s="759"/>
      <c r="DC60" s="759"/>
      <c r="DD60" s="759"/>
      <c r="DE60" s="759"/>
      <c r="DF60" s="759" t="s">
        <v>93</v>
      </c>
      <c r="DG60" s="759"/>
      <c r="DH60" s="759"/>
      <c r="DI60" s="759"/>
      <c r="DJ60" s="759"/>
      <c r="DK60" s="759"/>
      <c r="DL60" s="759"/>
      <c r="DM60" s="759"/>
      <c r="DN60" s="759"/>
      <c r="DO60" s="759"/>
      <c r="DP60" s="759"/>
      <c r="DQ60" s="759" t="s">
        <v>93</v>
      </c>
      <c r="DR60" s="759"/>
      <c r="DS60" s="759"/>
      <c r="DT60" s="759"/>
      <c r="DU60" s="759"/>
      <c r="DV60" s="759"/>
      <c r="DW60" s="759"/>
      <c r="DX60" s="759"/>
      <c r="DY60" s="759"/>
      <c r="DZ60" s="759"/>
      <c r="EA60" s="759" t="s">
        <v>93</v>
      </c>
      <c r="EB60" s="759" t="s">
        <v>93</v>
      </c>
      <c r="EC60" s="759" t="s">
        <v>93</v>
      </c>
      <c r="ED60" s="759" t="s">
        <v>93</v>
      </c>
      <c r="EE60" s="759"/>
      <c r="EF60" s="759"/>
      <c r="EG60" s="759"/>
      <c r="EH60" s="759"/>
      <c r="EI60" s="759"/>
      <c r="EJ60" s="759"/>
      <c r="EK60" s="759"/>
      <c r="EL60" s="759" t="s">
        <v>93</v>
      </c>
      <c r="EM60" s="759"/>
      <c r="EN60" s="759"/>
      <c r="EO60" s="759"/>
      <c r="EP60" s="759" t="s">
        <v>93</v>
      </c>
      <c r="EQ60" s="759"/>
      <c r="ER60" s="759"/>
      <c r="ES60" s="759"/>
      <c r="ET60" s="759"/>
      <c r="EU60" s="759"/>
      <c r="EV60" s="759"/>
      <c r="EW60" s="759" t="s">
        <v>93</v>
      </c>
      <c r="EX60" s="759"/>
      <c r="EY60" s="759" t="s">
        <v>93</v>
      </c>
      <c r="EZ60" s="759"/>
      <c r="FA60" s="759" t="s">
        <v>93</v>
      </c>
      <c r="FB60" s="759" t="s">
        <v>93</v>
      </c>
      <c r="FC60" s="759"/>
      <c r="FD60" s="759"/>
      <c r="FE60" s="759"/>
      <c r="FF60" s="759"/>
      <c r="FG60" s="759"/>
      <c r="FH60" s="759"/>
      <c r="FI60" s="759"/>
      <c r="FJ60" s="759"/>
      <c r="FK60" s="759"/>
      <c r="FL60" s="759"/>
      <c r="FM60" s="759"/>
      <c r="FN60" s="759" t="s">
        <v>93</v>
      </c>
      <c r="FO60" s="759" t="s">
        <v>93</v>
      </c>
      <c r="FP60" s="759" t="s">
        <v>93</v>
      </c>
      <c r="FQ60" s="759"/>
      <c r="FR60" s="759"/>
      <c r="FS60" s="759"/>
      <c r="FT60" s="759"/>
      <c r="FU60" s="759"/>
      <c r="FV60" s="759"/>
      <c r="FW60" s="759" t="s">
        <v>93</v>
      </c>
      <c r="FX60" s="759"/>
      <c r="FY60" s="759"/>
      <c r="FZ60" s="759" t="s">
        <v>93</v>
      </c>
      <c r="GA60" s="759"/>
      <c r="GB60" s="759" t="s">
        <v>93</v>
      </c>
      <c r="GC60" s="759"/>
      <c r="GD60" s="759"/>
      <c r="GE60" s="759"/>
      <c r="GF60" s="759"/>
      <c r="GG60" s="759"/>
      <c r="GH60" s="759"/>
      <c r="GI60" s="759"/>
      <c r="GJ60" s="759" t="s">
        <v>93</v>
      </c>
      <c r="GK60" s="759"/>
      <c r="GL60" s="759"/>
      <c r="GM60" s="759"/>
      <c r="GN60" s="759"/>
      <c r="GO60" s="759"/>
      <c r="GP60" s="759"/>
      <c r="GQ60" s="759"/>
      <c r="GR60" s="759"/>
      <c r="GS60" s="759" t="s">
        <v>93</v>
      </c>
      <c r="GT60" s="759" t="s">
        <v>93</v>
      </c>
      <c r="GU60" s="759"/>
      <c r="GV60" s="759"/>
      <c r="GW60" s="759" t="s">
        <v>93</v>
      </c>
      <c r="GX60" s="759"/>
      <c r="GY60" s="759"/>
      <c r="GZ60" s="759" t="s">
        <v>93</v>
      </c>
      <c r="HA60" s="759"/>
      <c r="HB60" s="759" t="s">
        <v>93</v>
      </c>
      <c r="HC60" s="759"/>
      <c r="HD60" s="759"/>
      <c r="HE60" s="759"/>
      <c r="HF60" s="759" t="s">
        <v>93</v>
      </c>
      <c r="HG60" s="759" t="s">
        <v>93</v>
      </c>
      <c r="HH60" s="759"/>
      <c r="HI60" s="759"/>
      <c r="HJ60" s="759"/>
      <c r="HK60" s="759" t="s">
        <v>93</v>
      </c>
      <c r="HL60" s="759" t="s">
        <v>93</v>
      </c>
      <c r="HM60" s="759" t="s">
        <v>93</v>
      </c>
      <c r="HN60" s="759" t="s">
        <v>93</v>
      </c>
      <c r="HO60" s="759"/>
      <c r="HP60" s="759"/>
      <c r="HQ60" s="759"/>
      <c r="HR60" s="759" t="s">
        <v>93</v>
      </c>
      <c r="HS60" s="759"/>
      <c r="HT60" s="759" t="s">
        <v>93</v>
      </c>
      <c r="HU60" s="759"/>
      <c r="HV60" s="759" t="s">
        <v>93</v>
      </c>
      <c r="HW60" s="759" t="s">
        <v>93</v>
      </c>
      <c r="HX60" s="759" t="s">
        <v>93</v>
      </c>
    </row>
    <row r="61" spans="1:232" s="375" customFormat="1" ht="20" customHeight="1">
      <c r="A61" s="761" t="s">
        <v>126</v>
      </c>
      <c r="B61" s="739"/>
      <c r="C61" s="739" t="str">
        <f>IF(ISTEXT(IFERROR(VLOOKUP(A61,职业列表!I3:J10,1,FALSE),0)),"★","")</f>
        <v/>
      </c>
      <c r="D61" s="739"/>
      <c r="E61" s="739"/>
      <c r="F61" s="739"/>
      <c r="G61" s="739"/>
      <c r="H61" s="739" t="s">
        <v>93</v>
      </c>
      <c r="I61" s="739"/>
      <c r="J61" s="739" t="s">
        <v>93</v>
      </c>
      <c r="K61" s="739"/>
      <c r="L61" s="739"/>
      <c r="M61" s="739"/>
      <c r="N61" s="739"/>
      <c r="O61" s="739"/>
      <c r="P61" s="739" t="s">
        <v>93</v>
      </c>
      <c r="Q61" s="739"/>
      <c r="R61" s="739"/>
      <c r="S61" s="739"/>
      <c r="T61" s="739" t="s">
        <v>93</v>
      </c>
      <c r="U61" s="739"/>
      <c r="V61" s="739" t="s">
        <v>93</v>
      </c>
      <c r="W61" s="739"/>
      <c r="X61" s="739"/>
      <c r="Y61" s="739"/>
      <c r="Z61" s="739"/>
      <c r="AA61" s="739"/>
      <c r="AB61" s="739"/>
      <c r="AC61" s="739"/>
      <c r="AD61" s="739" t="s">
        <v>93</v>
      </c>
      <c r="AE61" s="739"/>
      <c r="AF61" s="739" t="s">
        <v>93</v>
      </c>
      <c r="AG61" s="739" t="s">
        <v>93</v>
      </c>
      <c r="AH61" s="739"/>
      <c r="AI61" s="739" t="s">
        <v>93</v>
      </c>
      <c r="AJ61" s="739" t="s">
        <v>93</v>
      </c>
      <c r="AK61" s="739"/>
      <c r="AL61" s="739"/>
      <c r="AM61" s="739"/>
      <c r="AN61" s="739" t="s">
        <v>93</v>
      </c>
      <c r="AO61" s="739"/>
      <c r="AP61" s="739" t="s">
        <v>93</v>
      </c>
      <c r="AQ61" s="739"/>
      <c r="AR61" s="739"/>
      <c r="AS61" s="739"/>
      <c r="AT61" s="739"/>
      <c r="AU61" s="739" t="s">
        <v>93</v>
      </c>
      <c r="AV61" s="739"/>
      <c r="AW61" s="739"/>
      <c r="AX61" s="739"/>
      <c r="AY61" s="739"/>
      <c r="AZ61" s="739"/>
      <c r="BA61" s="739"/>
      <c r="BB61" s="739"/>
      <c r="BC61" s="739"/>
      <c r="BD61" s="739"/>
      <c r="BE61" s="739" t="s">
        <v>93</v>
      </c>
      <c r="BF61" s="739"/>
      <c r="BG61" s="739"/>
      <c r="BH61" s="739"/>
      <c r="BI61" s="739"/>
      <c r="BJ61" s="739"/>
      <c r="BK61" s="739"/>
      <c r="BL61" s="739"/>
      <c r="BM61" s="739" t="s">
        <v>93</v>
      </c>
      <c r="BN61" s="739" t="s">
        <v>93</v>
      </c>
      <c r="BO61" s="744"/>
      <c r="BP61" s="739" t="s">
        <v>93</v>
      </c>
      <c r="BQ61" s="739"/>
      <c r="BR61" s="739"/>
      <c r="BS61" s="739"/>
      <c r="BT61" s="739"/>
      <c r="BU61" s="739" t="s">
        <v>93</v>
      </c>
      <c r="BV61" s="739"/>
      <c r="BW61" s="739"/>
      <c r="BX61" s="739"/>
      <c r="BY61" s="739"/>
      <c r="BZ61" s="739"/>
      <c r="CA61" s="739"/>
      <c r="CB61" s="739"/>
      <c r="CC61" s="739"/>
      <c r="CD61" s="739"/>
      <c r="CE61" s="739"/>
      <c r="CF61" s="739"/>
      <c r="CG61" s="739"/>
      <c r="CH61" s="739"/>
      <c r="CI61" s="739" t="s">
        <v>93</v>
      </c>
      <c r="CJ61" s="739"/>
      <c r="CK61" s="739"/>
      <c r="CL61" s="739"/>
      <c r="CM61" s="739"/>
      <c r="CN61" s="739"/>
      <c r="CO61" s="739"/>
      <c r="CP61" s="739"/>
      <c r="CQ61" s="739"/>
      <c r="CR61" s="739" t="s">
        <v>93</v>
      </c>
      <c r="CS61" s="739"/>
      <c r="CT61" s="739"/>
      <c r="CU61" s="739"/>
      <c r="CV61" s="739"/>
      <c r="CW61" s="739"/>
      <c r="CX61" s="739" t="s">
        <v>1359</v>
      </c>
      <c r="CY61" s="739"/>
      <c r="CZ61" s="739"/>
      <c r="DA61" s="739"/>
      <c r="DB61" s="739" t="s">
        <v>93</v>
      </c>
      <c r="DC61" s="739" t="s">
        <v>93</v>
      </c>
      <c r="DD61" s="739"/>
      <c r="DE61" s="739"/>
      <c r="DF61" s="739"/>
      <c r="DG61" s="739"/>
      <c r="DH61" s="739"/>
      <c r="DI61" s="739"/>
      <c r="DJ61" s="739"/>
      <c r="DK61" s="739"/>
      <c r="DL61" s="739" t="s">
        <v>93</v>
      </c>
      <c r="DM61" s="739"/>
      <c r="DN61" s="739"/>
      <c r="DO61" s="739"/>
      <c r="DP61" s="739"/>
      <c r="DQ61" s="739"/>
      <c r="DR61" s="739"/>
      <c r="DS61" s="739"/>
      <c r="DT61" s="739"/>
      <c r="DU61" s="739"/>
      <c r="DV61" s="739"/>
      <c r="DW61" s="739"/>
      <c r="DX61" s="739" t="s">
        <v>93</v>
      </c>
      <c r="DY61" s="739"/>
      <c r="DZ61" s="739"/>
      <c r="EA61" s="739"/>
      <c r="EB61" s="739"/>
      <c r="EC61" s="739" t="s">
        <v>93</v>
      </c>
      <c r="ED61" s="739"/>
      <c r="EE61" s="739"/>
      <c r="EF61" s="739"/>
      <c r="EG61" s="739"/>
      <c r="EH61" s="739"/>
      <c r="EI61" s="739"/>
      <c r="EJ61" s="739"/>
      <c r="EK61" s="739"/>
      <c r="EL61" s="739"/>
      <c r="EM61" s="739"/>
      <c r="EN61" s="739"/>
      <c r="EO61" s="739"/>
      <c r="EP61" s="739"/>
      <c r="EQ61" s="739"/>
      <c r="ER61" s="739" t="s">
        <v>1359</v>
      </c>
      <c r="ES61" s="739"/>
      <c r="ET61" s="739"/>
      <c r="EU61" s="739"/>
      <c r="EV61" s="739"/>
      <c r="EW61" s="739"/>
      <c r="EX61" s="739"/>
      <c r="EY61" s="739"/>
      <c r="EZ61" s="739"/>
      <c r="FA61" s="739"/>
      <c r="FB61" s="739"/>
      <c r="FC61" s="739"/>
      <c r="FD61" s="739"/>
      <c r="FE61" s="739"/>
      <c r="FF61" s="739"/>
      <c r="FG61" s="739"/>
      <c r="FH61" s="739" t="s">
        <v>93</v>
      </c>
      <c r="FI61" s="739" t="s">
        <v>93</v>
      </c>
      <c r="FJ61" s="739"/>
      <c r="FK61" s="739"/>
      <c r="FL61" s="739"/>
      <c r="FM61" s="739"/>
      <c r="FN61" s="739" t="s">
        <v>93</v>
      </c>
      <c r="FO61" s="739"/>
      <c r="FP61" s="739"/>
      <c r="FQ61" s="739"/>
      <c r="FR61" s="739"/>
      <c r="FS61" s="739"/>
      <c r="FT61" s="739"/>
      <c r="FU61" s="739"/>
      <c r="FV61" s="739"/>
      <c r="FW61" s="739"/>
      <c r="FX61" s="739"/>
      <c r="FY61" s="739"/>
      <c r="FZ61" s="739"/>
      <c r="GA61" s="739"/>
      <c r="GB61" s="739"/>
      <c r="GC61" s="739" t="s">
        <v>93</v>
      </c>
      <c r="GD61" s="739" t="s">
        <v>93</v>
      </c>
      <c r="GE61" s="739"/>
      <c r="GF61" s="739" t="s">
        <v>93</v>
      </c>
      <c r="GG61" s="739"/>
      <c r="GH61" s="739"/>
      <c r="GI61" s="739"/>
      <c r="GJ61" s="739"/>
      <c r="GK61" s="739"/>
      <c r="GL61" s="739"/>
      <c r="GM61" s="739"/>
      <c r="GN61" s="739"/>
      <c r="GO61" s="739" t="s">
        <v>93</v>
      </c>
      <c r="GP61" s="739"/>
      <c r="GQ61" s="739"/>
      <c r="GR61" s="739"/>
      <c r="GS61" s="739"/>
      <c r="GT61" s="739"/>
      <c r="GU61" s="739" t="s">
        <v>93</v>
      </c>
      <c r="GV61" s="739" t="s">
        <v>93</v>
      </c>
      <c r="GW61" s="739"/>
      <c r="GX61" s="739"/>
      <c r="GY61" s="739" t="s">
        <v>93</v>
      </c>
      <c r="GZ61" s="739"/>
      <c r="HA61" s="739"/>
      <c r="HB61" s="739"/>
      <c r="HC61" s="739"/>
      <c r="HD61" s="739"/>
      <c r="HE61" s="739"/>
      <c r="HF61" s="739"/>
      <c r="HG61" s="739"/>
      <c r="HH61" s="739" t="s">
        <v>93</v>
      </c>
      <c r="HI61" s="739"/>
      <c r="HJ61" s="739"/>
      <c r="HK61" s="739" t="s">
        <v>93</v>
      </c>
      <c r="HL61" s="739" t="s">
        <v>93</v>
      </c>
      <c r="HM61" s="739"/>
      <c r="HN61" s="739"/>
      <c r="HO61" s="739"/>
      <c r="HP61" s="739"/>
      <c r="HQ61" s="739"/>
      <c r="HR61" s="739" t="s">
        <v>93</v>
      </c>
      <c r="HS61" s="739"/>
      <c r="HT61" s="739"/>
      <c r="HU61" s="739" t="s">
        <v>93</v>
      </c>
      <c r="HV61" s="739"/>
      <c r="HW61" s="739" t="s">
        <v>93</v>
      </c>
      <c r="HX61" s="739" t="s">
        <v>93</v>
      </c>
    </row>
    <row r="62" spans="1:232" s="375" customFormat="1" ht="20" customHeight="1">
      <c r="A62" s="760" t="s">
        <v>131</v>
      </c>
      <c r="B62" s="739"/>
      <c r="C62" s="739" t="str">
        <f>IF(ISTEXT(IFERROR(VLOOKUP(A62,职业列表!I3:J10,1,FALSE),0)),"★","")</f>
        <v/>
      </c>
      <c r="D62" s="739"/>
      <c r="E62" s="739"/>
      <c r="F62" s="739"/>
      <c r="G62" s="739"/>
      <c r="H62" s="739"/>
      <c r="I62" s="739"/>
      <c r="J62" s="739"/>
      <c r="K62" s="739"/>
      <c r="L62" s="739"/>
      <c r="M62" s="739"/>
      <c r="N62" s="739"/>
      <c r="O62" s="739"/>
      <c r="P62" s="739"/>
      <c r="Q62" s="739"/>
      <c r="R62" s="739"/>
      <c r="S62" s="739"/>
      <c r="T62" s="770" t="s">
        <v>1360</v>
      </c>
      <c r="U62" s="739"/>
      <c r="V62" s="739"/>
      <c r="W62" s="739"/>
      <c r="X62" s="739"/>
      <c r="Y62" s="739"/>
      <c r="Z62" s="739"/>
      <c r="AA62" s="739"/>
      <c r="AB62" s="770" t="s">
        <v>93</v>
      </c>
      <c r="AC62" s="739"/>
      <c r="AD62" s="739"/>
      <c r="AE62" s="739"/>
      <c r="AF62" s="739"/>
      <c r="AG62" s="739"/>
      <c r="AH62" s="739"/>
      <c r="AI62" s="739"/>
      <c r="AJ62" s="739"/>
      <c r="AK62" s="739"/>
      <c r="AL62" s="739"/>
      <c r="AM62" s="739"/>
      <c r="AN62" s="739"/>
      <c r="AO62" s="739"/>
      <c r="AP62" s="739"/>
      <c r="AQ62" s="739"/>
      <c r="AR62" s="739"/>
      <c r="AS62" s="739"/>
      <c r="AT62" s="739"/>
      <c r="AU62" s="739"/>
      <c r="AV62" s="739"/>
      <c r="AW62" s="739"/>
      <c r="AX62" s="739"/>
      <c r="AY62" s="739"/>
      <c r="AZ62" s="739"/>
      <c r="BA62" s="739"/>
      <c r="BB62" s="739"/>
      <c r="BC62" s="739" t="s">
        <v>93</v>
      </c>
      <c r="BD62" s="744"/>
      <c r="BE62" s="739"/>
      <c r="BF62" s="739"/>
      <c r="BG62" s="739"/>
      <c r="BH62" s="739"/>
      <c r="BI62" s="739"/>
      <c r="BJ62" s="739"/>
      <c r="BK62" s="739"/>
      <c r="BL62" s="739"/>
      <c r="BM62" s="739"/>
      <c r="BN62" s="739"/>
      <c r="BO62" s="739"/>
      <c r="BP62" s="739"/>
      <c r="BQ62" s="739"/>
      <c r="BR62" s="739"/>
      <c r="BS62" s="739"/>
      <c r="BT62" s="739"/>
      <c r="BU62" s="739"/>
      <c r="BV62" s="739"/>
      <c r="BW62" s="739"/>
      <c r="BX62" s="739"/>
      <c r="BY62" s="739"/>
      <c r="BZ62" s="739"/>
      <c r="CA62" s="740" t="s">
        <v>1422</v>
      </c>
      <c r="CB62" s="739"/>
      <c r="CC62" s="739"/>
      <c r="CD62" s="739"/>
      <c r="CE62" s="739"/>
      <c r="CF62" s="740" t="s">
        <v>93</v>
      </c>
      <c r="CG62" s="739"/>
      <c r="CH62" s="739"/>
      <c r="CI62" s="739"/>
      <c r="CJ62" s="739"/>
      <c r="CK62" s="739"/>
      <c r="CL62" s="739"/>
      <c r="CM62" s="739"/>
      <c r="CN62" s="739"/>
      <c r="CO62" s="739"/>
      <c r="CP62" s="739"/>
      <c r="CQ62" s="739"/>
      <c r="CR62" s="739"/>
      <c r="CS62" s="739"/>
      <c r="CT62" s="739"/>
      <c r="CU62" s="739"/>
      <c r="CV62" s="739" t="s">
        <v>1423</v>
      </c>
      <c r="CW62" s="739"/>
      <c r="CX62" s="739"/>
      <c r="CY62" s="739"/>
      <c r="CZ62" s="739"/>
      <c r="DA62" s="739"/>
      <c r="DB62" s="739" t="s">
        <v>93</v>
      </c>
      <c r="DC62" s="739"/>
      <c r="DD62" s="739"/>
      <c r="DE62" s="739"/>
      <c r="DF62" s="770" t="s">
        <v>93</v>
      </c>
      <c r="DG62" s="739"/>
      <c r="DH62" s="739"/>
      <c r="DI62" s="739"/>
      <c r="DJ62" s="739"/>
      <c r="DK62" s="739"/>
      <c r="DL62" s="739"/>
      <c r="DM62" s="739"/>
      <c r="DN62" s="739"/>
      <c r="DO62" s="739"/>
      <c r="DP62" s="739"/>
      <c r="DQ62" s="739"/>
      <c r="DR62" s="739"/>
      <c r="DS62" s="739"/>
      <c r="DT62" s="739"/>
      <c r="DU62" s="739"/>
      <c r="DV62" s="739"/>
      <c r="DW62" s="739"/>
      <c r="DX62" s="739"/>
      <c r="DY62" s="739"/>
      <c r="DZ62" s="739"/>
      <c r="EA62" s="739"/>
      <c r="EB62" s="739"/>
      <c r="EC62" s="739"/>
      <c r="ED62" s="739"/>
      <c r="EE62" s="739"/>
      <c r="EF62" s="739"/>
      <c r="EG62" s="739"/>
      <c r="EH62" s="739"/>
      <c r="EI62" s="739"/>
      <c r="EJ62" s="739"/>
      <c r="EK62" s="739"/>
      <c r="EL62" s="739"/>
      <c r="EM62" s="739"/>
      <c r="EN62" s="739" t="s">
        <v>1424</v>
      </c>
      <c r="EO62" s="739"/>
      <c r="EP62" s="739"/>
      <c r="EQ62" s="739"/>
      <c r="ER62" s="739"/>
      <c r="ES62" s="739"/>
      <c r="ET62" s="739"/>
      <c r="EU62" s="739"/>
      <c r="EV62" s="739"/>
      <c r="EW62" s="739" t="s">
        <v>93</v>
      </c>
      <c r="EX62" s="739"/>
      <c r="EY62" s="739"/>
      <c r="EZ62" s="739"/>
      <c r="FA62" s="739"/>
      <c r="FB62" s="739"/>
      <c r="FC62" s="739"/>
      <c r="FD62" s="739"/>
      <c r="FE62" s="739"/>
      <c r="FF62" s="739"/>
      <c r="FG62" s="739"/>
      <c r="FH62" s="739"/>
      <c r="FI62" s="739"/>
      <c r="FJ62" s="739"/>
      <c r="FK62" s="739"/>
      <c r="FL62" s="739"/>
      <c r="FM62" s="739"/>
      <c r="FN62" s="739"/>
      <c r="FO62" s="739"/>
      <c r="FP62" s="739"/>
      <c r="FQ62" s="739"/>
      <c r="FR62" s="739"/>
      <c r="FS62" s="739"/>
      <c r="FT62" s="739"/>
      <c r="FU62" s="739"/>
      <c r="FV62" s="739"/>
      <c r="FW62" s="739"/>
      <c r="FX62" s="739" t="s">
        <v>1422</v>
      </c>
      <c r="FY62" s="739"/>
      <c r="FZ62" s="739"/>
      <c r="GA62" s="739" t="s">
        <v>1425</v>
      </c>
      <c r="GB62" s="739"/>
      <c r="GC62" s="739" t="s">
        <v>93</v>
      </c>
      <c r="GD62" s="739" t="s">
        <v>93</v>
      </c>
      <c r="GE62" s="739" t="s">
        <v>93</v>
      </c>
      <c r="GF62" s="739"/>
      <c r="GG62" s="739"/>
      <c r="GH62" s="739"/>
      <c r="GI62" s="739"/>
      <c r="GJ62" s="739"/>
      <c r="GK62" s="739"/>
      <c r="GL62" s="739"/>
      <c r="GM62" s="739"/>
      <c r="GN62" s="739"/>
      <c r="GO62" s="739"/>
      <c r="GP62" s="739"/>
      <c r="GQ62" s="739"/>
      <c r="GR62" s="739"/>
      <c r="GS62" s="739"/>
      <c r="GT62" s="739"/>
      <c r="GU62" s="739" t="s">
        <v>93</v>
      </c>
      <c r="GV62" s="739"/>
      <c r="GW62" s="739"/>
      <c r="GX62" s="739"/>
      <c r="GY62" s="739"/>
      <c r="GZ62" s="739"/>
      <c r="HA62" s="739"/>
      <c r="HB62" s="739"/>
      <c r="HC62" s="739"/>
      <c r="HD62" s="739"/>
      <c r="HE62" s="739"/>
      <c r="HF62" s="739"/>
      <c r="HG62" s="739"/>
      <c r="HH62" s="739"/>
      <c r="HI62" s="739"/>
      <c r="HJ62" s="739"/>
      <c r="HK62" s="739"/>
      <c r="HL62" s="744"/>
      <c r="HM62" s="739"/>
      <c r="HN62" s="739"/>
      <c r="HO62" s="739"/>
      <c r="HP62" s="739"/>
      <c r="HQ62" s="739"/>
      <c r="HR62" s="739"/>
      <c r="HS62" s="739"/>
      <c r="HT62" s="770"/>
      <c r="HU62" s="739"/>
      <c r="HV62" s="739"/>
      <c r="HW62" s="739"/>
      <c r="HX62" s="739"/>
    </row>
    <row r="63" spans="1:232" s="375" customFormat="1" ht="20" customHeight="1">
      <c r="A63" s="761" t="s">
        <v>134</v>
      </c>
      <c r="B63" s="739"/>
      <c r="C63" s="739" t="str">
        <f>IF(ISTEXT(IFERROR(VLOOKUP(A63,职业列表!I3:J10,1,FALSE),0)),"★","")</f>
        <v/>
      </c>
      <c r="D63" s="739"/>
      <c r="E63" s="739" t="s">
        <v>93</v>
      </c>
      <c r="F63" s="739"/>
      <c r="G63" s="739"/>
      <c r="H63" s="739"/>
      <c r="I63" s="739"/>
      <c r="J63" s="739"/>
      <c r="K63" s="739"/>
      <c r="L63" s="739"/>
      <c r="M63" s="739"/>
      <c r="N63" s="739"/>
      <c r="O63" s="739"/>
      <c r="P63" s="739"/>
      <c r="Q63" s="739" t="s">
        <v>93</v>
      </c>
      <c r="R63" s="739"/>
      <c r="S63" s="739"/>
      <c r="T63" s="739"/>
      <c r="U63" s="739"/>
      <c r="V63" s="739"/>
      <c r="W63" s="739"/>
      <c r="X63" s="739"/>
      <c r="Y63" s="739"/>
      <c r="Z63" s="739"/>
      <c r="AA63" s="739"/>
      <c r="AB63" s="739"/>
      <c r="AC63" s="739"/>
      <c r="AD63" s="739"/>
      <c r="AE63" s="739"/>
      <c r="AF63" s="739"/>
      <c r="AG63" s="739"/>
      <c r="AH63" s="739"/>
      <c r="AI63" s="739"/>
      <c r="AJ63" s="739"/>
      <c r="AK63" s="739"/>
      <c r="AL63" s="739"/>
      <c r="AM63" s="739"/>
      <c r="AN63" s="739"/>
      <c r="AO63" s="739"/>
      <c r="AP63" s="739"/>
      <c r="AQ63" s="739"/>
      <c r="AR63" s="739"/>
      <c r="AS63" s="739" t="s">
        <v>93</v>
      </c>
      <c r="AT63" s="739"/>
      <c r="AU63" s="739"/>
      <c r="AV63" s="739"/>
      <c r="AW63" s="739"/>
      <c r="AX63" s="739"/>
      <c r="AY63" s="739"/>
      <c r="AZ63" s="739"/>
      <c r="BA63" s="739"/>
      <c r="BB63" s="739"/>
      <c r="BC63" s="739" t="s">
        <v>1359</v>
      </c>
      <c r="BD63" s="739"/>
      <c r="BE63" s="739"/>
      <c r="BF63" s="739"/>
      <c r="BG63" s="739"/>
      <c r="BH63" s="739"/>
      <c r="BI63" s="739"/>
      <c r="BJ63" s="739"/>
      <c r="BK63" s="739"/>
      <c r="BL63" s="739"/>
      <c r="BM63" s="739"/>
      <c r="BN63" s="739"/>
      <c r="BO63" s="739"/>
      <c r="BP63" s="739"/>
      <c r="BQ63" s="739"/>
      <c r="BR63" s="739"/>
      <c r="BS63" s="739"/>
      <c r="BT63" s="739"/>
      <c r="BU63" s="739"/>
      <c r="BV63" s="739"/>
      <c r="BW63" s="739"/>
      <c r="BX63" s="739"/>
      <c r="BY63" s="739"/>
      <c r="BZ63" s="739"/>
      <c r="CA63" s="739"/>
      <c r="CB63" s="739"/>
      <c r="CC63" s="739"/>
      <c r="CD63" s="739"/>
      <c r="CE63" s="739"/>
      <c r="CF63" s="739"/>
      <c r="CG63" s="739"/>
      <c r="CH63" s="739"/>
      <c r="CI63" s="739"/>
      <c r="CJ63" s="739"/>
      <c r="CK63" s="739"/>
      <c r="CL63" s="739"/>
      <c r="CM63" s="739"/>
      <c r="CN63" s="739"/>
      <c r="CO63" s="739"/>
      <c r="CP63" s="739"/>
      <c r="CQ63" s="739"/>
      <c r="CR63" s="739"/>
      <c r="CS63" s="739"/>
      <c r="CT63" s="739"/>
      <c r="CU63" s="739"/>
      <c r="CV63" s="739" t="s">
        <v>93</v>
      </c>
      <c r="CW63" s="739" t="s">
        <v>93</v>
      </c>
      <c r="CX63" s="739"/>
      <c r="CY63" s="739"/>
      <c r="CZ63" s="739"/>
      <c r="DA63" s="739"/>
      <c r="DB63" s="739" t="s">
        <v>1359</v>
      </c>
      <c r="DC63" s="739"/>
      <c r="DD63" s="739"/>
      <c r="DE63" s="740" t="s">
        <v>93</v>
      </c>
      <c r="DF63" s="739" t="s">
        <v>93</v>
      </c>
      <c r="DG63" s="739"/>
      <c r="DH63" s="739"/>
      <c r="DI63" s="739"/>
      <c r="DJ63" s="739"/>
      <c r="DK63" s="739"/>
      <c r="DL63" s="739"/>
      <c r="DM63" s="739"/>
      <c r="DN63" s="739"/>
      <c r="DO63" s="739" t="s">
        <v>93</v>
      </c>
      <c r="DP63" s="739" t="s">
        <v>93</v>
      </c>
      <c r="DQ63" s="739"/>
      <c r="DR63" s="739"/>
      <c r="DS63" s="739"/>
      <c r="DT63" s="739"/>
      <c r="DU63" s="739"/>
      <c r="DV63" s="739"/>
      <c r="DW63" s="739"/>
      <c r="DX63" s="739"/>
      <c r="DY63" s="739"/>
      <c r="DZ63" s="739"/>
      <c r="EA63" s="739"/>
      <c r="EB63" s="739"/>
      <c r="EC63" s="739"/>
      <c r="ED63" s="739"/>
      <c r="EE63" s="739"/>
      <c r="EF63" s="739"/>
      <c r="EG63" s="739"/>
      <c r="EH63" s="739"/>
      <c r="EI63" s="739"/>
      <c r="EJ63" s="739"/>
      <c r="EK63" s="739"/>
      <c r="EL63" s="739"/>
      <c r="EM63" s="739"/>
      <c r="EN63" s="739"/>
      <c r="EO63" s="739"/>
      <c r="EP63" s="739"/>
      <c r="EQ63" s="739"/>
      <c r="ER63" s="739"/>
      <c r="ES63" s="739"/>
      <c r="ET63" s="739"/>
      <c r="EU63" s="739"/>
      <c r="EV63" s="739"/>
      <c r="EW63" s="739"/>
      <c r="EX63" s="739"/>
      <c r="EY63" s="739"/>
      <c r="EZ63" s="739"/>
      <c r="FA63" s="739"/>
      <c r="FB63" s="739"/>
      <c r="FC63" s="739"/>
      <c r="FD63" s="739"/>
      <c r="FE63" s="739"/>
      <c r="FF63" s="739"/>
      <c r="FG63" s="739"/>
      <c r="FH63" s="739"/>
      <c r="FI63" s="739"/>
      <c r="FJ63" s="739"/>
      <c r="FK63" s="739"/>
      <c r="FL63" s="739"/>
      <c r="FM63" s="739"/>
      <c r="FN63" s="739"/>
      <c r="FO63" s="739"/>
      <c r="FP63" s="739" t="s">
        <v>93</v>
      </c>
      <c r="FQ63" s="739"/>
      <c r="FR63" s="739"/>
      <c r="FS63" s="739"/>
      <c r="FT63" s="739"/>
      <c r="FU63" s="739"/>
      <c r="FV63" s="739"/>
      <c r="FW63" s="739"/>
      <c r="FX63" s="739"/>
      <c r="FY63" s="739"/>
      <c r="FZ63" s="739"/>
      <c r="GA63" s="739" t="s">
        <v>93</v>
      </c>
      <c r="GB63" s="739" t="s">
        <v>93</v>
      </c>
      <c r="GC63" s="739" t="s">
        <v>1359</v>
      </c>
      <c r="GD63" s="739" t="s">
        <v>1359</v>
      </c>
      <c r="GE63" s="739" t="s">
        <v>1359</v>
      </c>
      <c r="GF63" s="739"/>
      <c r="GG63" s="739"/>
      <c r="GH63" s="739"/>
      <c r="GI63" s="739"/>
      <c r="GJ63" s="739" t="s">
        <v>93</v>
      </c>
      <c r="GK63" s="739"/>
      <c r="GL63" s="739"/>
      <c r="GM63" s="739"/>
      <c r="GN63" s="739"/>
      <c r="GO63" s="739"/>
      <c r="GP63" s="739"/>
      <c r="GQ63" s="739"/>
      <c r="GR63" s="739"/>
      <c r="GS63" s="739"/>
      <c r="GT63" s="739"/>
      <c r="GU63" s="739" t="s">
        <v>1359</v>
      </c>
      <c r="GV63" s="739"/>
      <c r="GW63" s="739"/>
      <c r="GX63" s="739"/>
      <c r="GY63" s="739"/>
      <c r="GZ63" s="739"/>
      <c r="HA63" s="739"/>
      <c r="HB63" s="739"/>
      <c r="HC63" s="739"/>
      <c r="HD63" s="739"/>
      <c r="HE63" s="739"/>
      <c r="HF63" s="739"/>
      <c r="HG63" s="739"/>
      <c r="HH63" s="739"/>
      <c r="HI63" s="739"/>
      <c r="HJ63" s="739"/>
      <c r="HK63" s="739" t="s">
        <v>1359</v>
      </c>
      <c r="HL63" s="739" t="s">
        <v>93</v>
      </c>
      <c r="HM63" s="739"/>
      <c r="HN63" s="739"/>
      <c r="HO63" s="739"/>
      <c r="HP63" s="739"/>
      <c r="HQ63" s="739"/>
      <c r="HR63" s="739"/>
      <c r="HS63" s="739"/>
      <c r="HT63" s="739"/>
      <c r="HU63" s="739"/>
      <c r="HV63" s="739"/>
      <c r="HW63" s="739"/>
      <c r="HX63" s="739"/>
    </row>
    <row r="64" spans="1:232" s="375" customFormat="1" ht="20" customHeight="1">
      <c r="A64" s="761" t="s">
        <v>137</v>
      </c>
      <c r="B64" s="739"/>
      <c r="C64" s="739" t="str">
        <f>IF(ISTEXT(IFERROR(VLOOKUP(A64,职业列表!I3:J10,1,FALSE),0)),"★","")</f>
        <v/>
      </c>
      <c r="D64" s="739"/>
      <c r="E64" s="739" t="s">
        <v>93</v>
      </c>
      <c r="F64" s="739"/>
      <c r="G64" s="739"/>
      <c r="H64" s="739"/>
      <c r="I64" s="739"/>
      <c r="J64" s="739"/>
      <c r="K64" s="739"/>
      <c r="L64" s="739"/>
      <c r="M64" s="739"/>
      <c r="N64" s="739"/>
      <c r="O64" s="739"/>
      <c r="P64" s="739"/>
      <c r="Q64" s="739" t="s">
        <v>93</v>
      </c>
      <c r="R64" s="739"/>
      <c r="S64" s="739"/>
      <c r="T64" s="739"/>
      <c r="U64" s="739"/>
      <c r="V64" s="739"/>
      <c r="W64" s="739"/>
      <c r="X64" s="739"/>
      <c r="Y64" s="739"/>
      <c r="Z64" s="739"/>
      <c r="AA64" s="739"/>
      <c r="AB64" s="739" t="s">
        <v>93</v>
      </c>
      <c r="AC64" s="739"/>
      <c r="AD64" s="739"/>
      <c r="AE64" s="739"/>
      <c r="AF64" s="739"/>
      <c r="AG64" s="739"/>
      <c r="AH64" s="739"/>
      <c r="AI64" s="739"/>
      <c r="AJ64" s="739"/>
      <c r="AK64" s="739"/>
      <c r="AL64" s="739"/>
      <c r="AM64" s="739"/>
      <c r="AN64" s="739" t="s">
        <v>93</v>
      </c>
      <c r="AO64" s="739"/>
      <c r="AP64" s="739"/>
      <c r="AQ64" s="739"/>
      <c r="AR64" s="739"/>
      <c r="AS64" s="739"/>
      <c r="AT64" s="739"/>
      <c r="AU64" s="739"/>
      <c r="AV64" s="739"/>
      <c r="AW64" s="739"/>
      <c r="AX64" s="739"/>
      <c r="AY64" s="739"/>
      <c r="AZ64" s="739"/>
      <c r="BA64" s="739"/>
      <c r="BB64" s="739"/>
      <c r="BC64" s="739"/>
      <c r="BD64" s="739"/>
      <c r="BE64" s="739"/>
      <c r="BF64" s="739" t="s">
        <v>93</v>
      </c>
      <c r="BG64" s="739"/>
      <c r="BH64" s="739"/>
      <c r="BI64" s="739"/>
      <c r="BJ64" s="739"/>
      <c r="BK64" s="739"/>
      <c r="BL64" s="739"/>
      <c r="BM64" s="739"/>
      <c r="BN64" s="739"/>
      <c r="BO64" s="739"/>
      <c r="BP64" s="739"/>
      <c r="BQ64" s="739"/>
      <c r="BR64" s="739"/>
      <c r="BS64" s="739" t="s">
        <v>93</v>
      </c>
      <c r="BT64" s="739" t="s">
        <v>93</v>
      </c>
      <c r="BU64" s="739"/>
      <c r="BV64" s="739"/>
      <c r="BW64" s="739"/>
      <c r="BX64" s="739"/>
      <c r="BY64" s="739"/>
      <c r="BZ64" s="739"/>
      <c r="CA64" s="739"/>
      <c r="CB64" s="739"/>
      <c r="CC64" s="739"/>
      <c r="CD64" s="739"/>
      <c r="CE64" s="739"/>
      <c r="CF64" s="739"/>
      <c r="CG64" s="739"/>
      <c r="CH64" s="739"/>
      <c r="CI64" s="739"/>
      <c r="CJ64" s="739"/>
      <c r="CK64" s="739"/>
      <c r="CL64" s="739"/>
      <c r="CM64" s="739"/>
      <c r="CN64" s="739"/>
      <c r="CO64" s="739"/>
      <c r="CP64" s="739"/>
      <c r="CQ64" s="739"/>
      <c r="CR64" s="739"/>
      <c r="CS64" s="739"/>
      <c r="CT64" s="739"/>
      <c r="CU64" s="739"/>
      <c r="CV64" s="739"/>
      <c r="CW64" s="739"/>
      <c r="CX64" s="739"/>
      <c r="CY64" s="739"/>
      <c r="CZ64" s="739"/>
      <c r="DA64" s="739"/>
      <c r="DB64" s="739"/>
      <c r="DC64" s="739"/>
      <c r="DD64" s="739"/>
      <c r="DE64" s="739"/>
      <c r="DF64" s="739" t="s">
        <v>1359</v>
      </c>
      <c r="DG64" s="739"/>
      <c r="DH64" s="739"/>
      <c r="DI64" s="739"/>
      <c r="DJ64" s="739"/>
      <c r="DK64" s="739"/>
      <c r="DL64" s="739"/>
      <c r="DM64" s="739"/>
      <c r="DN64" s="739"/>
      <c r="DO64" s="739" t="s">
        <v>93</v>
      </c>
      <c r="DP64" s="739" t="s">
        <v>93</v>
      </c>
      <c r="DQ64" s="739" t="s">
        <v>93</v>
      </c>
      <c r="DR64" s="739" t="s">
        <v>93</v>
      </c>
      <c r="DS64" s="739"/>
      <c r="DT64" s="739"/>
      <c r="DU64" s="739"/>
      <c r="DV64" s="739"/>
      <c r="DW64" s="739"/>
      <c r="DX64" s="739"/>
      <c r="DY64" s="739"/>
      <c r="DZ64" s="739"/>
      <c r="EA64" s="739"/>
      <c r="EB64" s="739"/>
      <c r="EC64" s="739"/>
      <c r="ED64" s="739"/>
      <c r="EE64" s="739"/>
      <c r="EF64" s="739"/>
      <c r="EG64" s="739"/>
      <c r="EH64" s="739"/>
      <c r="EI64" s="739"/>
      <c r="EJ64" s="739"/>
      <c r="EK64" s="739"/>
      <c r="EL64" s="739"/>
      <c r="EM64" s="739"/>
      <c r="EN64" s="739"/>
      <c r="EO64" s="739"/>
      <c r="EP64" s="739"/>
      <c r="EQ64" s="739"/>
      <c r="ER64" s="739"/>
      <c r="ES64" s="739"/>
      <c r="ET64" s="739"/>
      <c r="EU64" s="739"/>
      <c r="EV64" s="739"/>
      <c r="EW64" s="739"/>
      <c r="EX64" s="739"/>
      <c r="EY64" s="739"/>
      <c r="EZ64" s="739"/>
      <c r="FA64" s="739"/>
      <c r="FB64" s="739"/>
      <c r="FC64" s="739"/>
      <c r="FD64" s="739"/>
      <c r="FE64" s="739"/>
      <c r="FF64" s="739"/>
      <c r="FG64" s="739"/>
      <c r="FH64" s="739"/>
      <c r="FI64" s="739"/>
      <c r="FJ64" s="739"/>
      <c r="FK64" s="739"/>
      <c r="FL64" s="739"/>
      <c r="FM64" s="739"/>
      <c r="FN64" s="739"/>
      <c r="FO64" s="739"/>
      <c r="FP64" s="739"/>
      <c r="FQ64" s="739"/>
      <c r="FR64" s="739"/>
      <c r="FS64" s="739"/>
      <c r="FT64" s="739"/>
      <c r="FU64" s="739"/>
      <c r="FV64" s="739"/>
      <c r="FW64" s="739"/>
      <c r="FX64" s="739"/>
      <c r="FY64" s="739"/>
      <c r="FZ64" s="739"/>
      <c r="GA64" s="739"/>
      <c r="GB64" s="739"/>
      <c r="GC64" s="739"/>
      <c r="GD64" s="739"/>
      <c r="GE64" s="739"/>
      <c r="GF64" s="739"/>
      <c r="GG64" s="739"/>
      <c r="GH64" s="739"/>
      <c r="GI64" s="739"/>
      <c r="GJ64" s="739" t="s">
        <v>93</v>
      </c>
      <c r="GK64" s="739"/>
      <c r="GL64" s="739"/>
      <c r="GM64" s="739"/>
      <c r="GN64" s="739"/>
      <c r="GO64" s="739"/>
      <c r="GP64" s="739"/>
      <c r="GQ64" s="739"/>
      <c r="GR64" s="739"/>
      <c r="GS64" s="739"/>
      <c r="GT64" s="739"/>
      <c r="GU64" s="739"/>
      <c r="GV64" s="739"/>
      <c r="GW64" s="739"/>
      <c r="GX64" s="739"/>
      <c r="GY64" s="739"/>
      <c r="GZ64" s="739"/>
      <c r="HA64" s="739"/>
      <c r="HB64" s="739"/>
      <c r="HC64" s="739"/>
      <c r="HD64" s="739"/>
      <c r="HE64" s="739"/>
      <c r="HF64" s="739"/>
      <c r="HG64" s="739"/>
      <c r="HH64" s="739"/>
      <c r="HI64" s="739"/>
      <c r="HJ64" s="739"/>
      <c r="HK64" s="739"/>
      <c r="HL64" s="739"/>
      <c r="HM64" s="739"/>
      <c r="HN64" s="739"/>
      <c r="HO64" s="739"/>
      <c r="HP64" s="739"/>
      <c r="HQ64" s="739"/>
      <c r="HR64" s="739"/>
      <c r="HS64" s="739"/>
      <c r="HT64" s="739"/>
      <c r="HU64" s="739"/>
      <c r="HV64" s="739"/>
      <c r="HW64" s="739"/>
      <c r="HX64" s="739"/>
    </row>
    <row r="65" spans="1:232" s="375" customFormat="1" ht="20" customHeight="1">
      <c r="A65" s="761" t="s">
        <v>139</v>
      </c>
      <c r="B65" s="739"/>
      <c r="C65" s="739" t="str">
        <f>IF(ISTEXT(IFERROR(VLOOKUP(A65,职业列表!I3:J10,1,FALSE),0)),"★","")</f>
        <v/>
      </c>
      <c r="D65" s="739"/>
      <c r="E65" s="739"/>
      <c r="F65" s="739"/>
      <c r="G65" s="739"/>
      <c r="H65" s="739" t="s">
        <v>93</v>
      </c>
      <c r="I65" s="739"/>
      <c r="J65" s="740" t="s">
        <v>93</v>
      </c>
      <c r="K65" s="739"/>
      <c r="L65" s="739"/>
      <c r="M65" s="739"/>
      <c r="N65" s="739"/>
      <c r="O65" s="739"/>
      <c r="P65" s="739"/>
      <c r="Q65" s="739"/>
      <c r="R65" s="739"/>
      <c r="S65" s="739"/>
      <c r="T65" s="740" t="s">
        <v>93</v>
      </c>
      <c r="U65" s="739"/>
      <c r="V65" s="739" t="s">
        <v>93</v>
      </c>
      <c r="W65" s="739"/>
      <c r="X65" s="739"/>
      <c r="Y65" s="739"/>
      <c r="Z65" s="739"/>
      <c r="AA65" s="739"/>
      <c r="AB65" s="739" t="s">
        <v>93</v>
      </c>
      <c r="AC65" s="739"/>
      <c r="AD65" s="739"/>
      <c r="AE65" s="739"/>
      <c r="AF65" s="739"/>
      <c r="AG65" s="739"/>
      <c r="AH65" s="739"/>
      <c r="AI65" s="739"/>
      <c r="AJ65" s="739"/>
      <c r="AK65" s="739"/>
      <c r="AL65" s="739"/>
      <c r="AM65" s="739"/>
      <c r="AN65" s="739"/>
      <c r="AO65" s="739"/>
      <c r="AP65" s="739"/>
      <c r="AQ65" s="739"/>
      <c r="AR65" s="739"/>
      <c r="AS65" s="739"/>
      <c r="AT65" s="739"/>
      <c r="AU65" s="739"/>
      <c r="AV65" s="739"/>
      <c r="AW65" s="739"/>
      <c r="AX65" s="739"/>
      <c r="AY65" s="739"/>
      <c r="AZ65" s="739"/>
      <c r="BA65" s="739"/>
      <c r="BB65" s="739"/>
      <c r="BC65" s="739"/>
      <c r="BD65" s="739" t="s">
        <v>93</v>
      </c>
      <c r="BE65" s="739"/>
      <c r="BF65" s="739"/>
      <c r="BG65" s="739"/>
      <c r="BH65" s="739"/>
      <c r="BI65" s="739"/>
      <c r="BJ65" s="739"/>
      <c r="BK65" s="739"/>
      <c r="BL65" s="739"/>
      <c r="BM65" s="739"/>
      <c r="BN65" s="739"/>
      <c r="BO65" s="739"/>
      <c r="BP65" s="739"/>
      <c r="BQ65" s="739"/>
      <c r="BR65" s="739"/>
      <c r="BS65" s="739"/>
      <c r="BT65" s="739"/>
      <c r="BU65" s="739"/>
      <c r="BV65" s="739"/>
      <c r="BW65" s="739"/>
      <c r="BX65" s="739"/>
      <c r="BY65" s="739"/>
      <c r="BZ65" s="739"/>
      <c r="CA65" s="739" t="s">
        <v>93</v>
      </c>
      <c r="CB65" s="739"/>
      <c r="CC65" s="739"/>
      <c r="CD65" s="739"/>
      <c r="CE65" s="739"/>
      <c r="CF65" s="739" t="s">
        <v>93</v>
      </c>
      <c r="CG65" s="739"/>
      <c r="CH65" s="739"/>
      <c r="CI65" s="739"/>
      <c r="CJ65" s="739"/>
      <c r="CK65" s="739"/>
      <c r="CL65" s="739"/>
      <c r="CM65" s="739"/>
      <c r="CN65" s="739"/>
      <c r="CO65" s="739"/>
      <c r="CP65" s="739"/>
      <c r="CQ65" s="739"/>
      <c r="CR65" s="739"/>
      <c r="CS65" s="739"/>
      <c r="CT65" s="739"/>
      <c r="CU65" s="739"/>
      <c r="CV65" s="739"/>
      <c r="CW65" s="739"/>
      <c r="CX65" s="739"/>
      <c r="CY65" s="739"/>
      <c r="CZ65" s="739"/>
      <c r="DA65" s="739"/>
      <c r="DB65" s="739"/>
      <c r="DC65" s="739"/>
      <c r="DD65" s="739"/>
      <c r="DE65" s="739"/>
      <c r="DF65" s="739"/>
      <c r="DG65" s="739"/>
      <c r="DH65" s="739"/>
      <c r="DI65" s="739"/>
      <c r="DJ65" s="739"/>
      <c r="DK65" s="739"/>
      <c r="DL65" s="739"/>
      <c r="DM65" s="739"/>
      <c r="DN65" s="739"/>
      <c r="DO65" s="739"/>
      <c r="DP65" s="739"/>
      <c r="DQ65" s="739"/>
      <c r="DR65" s="739"/>
      <c r="DS65" s="739"/>
      <c r="DT65" s="739"/>
      <c r="DU65" s="739"/>
      <c r="DV65" s="739"/>
      <c r="DW65" s="739"/>
      <c r="DX65" s="739"/>
      <c r="DY65" s="739"/>
      <c r="DZ65" s="739"/>
      <c r="EA65" s="739"/>
      <c r="EB65" s="739"/>
      <c r="EC65" s="739"/>
      <c r="ED65" s="739"/>
      <c r="EE65" s="739"/>
      <c r="EF65" s="739"/>
      <c r="EG65" s="739"/>
      <c r="EH65" s="739"/>
      <c r="EI65" s="739"/>
      <c r="EJ65" s="739"/>
      <c r="EK65" s="739"/>
      <c r="EL65" s="739"/>
      <c r="EM65" s="739"/>
      <c r="EN65" s="739"/>
      <c r="EO65" s="739"/>
      <c r="EP65" s="739"/>
      <c r="EQ65" s="739"/>
      <c r="ER65" s="739"/>
      <c r="ES65" s="739"/>
      <c r="ET65" s="739"/>
      <c r="EU65" s="739"/>
      <c r="EV65" s="739"/>
      <c r="EW65" s="739"/>
      <c r="EX65" s="739"/>
      <c r="EY65" s="739"/>
      <c r="EZ65" s="739"/>
      <c r="FA65" s="739"/>
      <c r="FB65" s="739"/>
      <c r="FC65" s="739" t="s">
        <v>93</v>
      </c>
      <c r="FD65" s="739"/>
      <c r="FE65" s="739"/>
      <c r="FF65" s="739"/>
      <c r="FG65" s="739"/>
      <c r="FH65" s="739"/>
      <c r="FI65" s="739"/>
      <c r="FJ65" s="739"/>
      <c r="FK65" s="739"/>
      <c r="FL65" s="739"/>
      <c r="FM65" s="739"/>
      <c r="FN65" s="739"/>
      <c r="FO65" s="739"/>
      <c r="FP65" s="739"/>
      <c r="FQ65" s="739"/>
      <c r="FR65" s="739"/>
      <c r="FS65" s="739"/>
      <c r="FT65" s="739" t="s">
        <v>93</v>
      </c>
      <c r="FU65" s="739"/>
      <c r="FV65" s="739"/>
      <c r="FW65" s="739"/>
      <c r="FX65" s="739" t="s">
        <v>93</v>
      </c>
      <c r="FY65" s="739"/>
      <c r="FZ65" s="739"/>
      <c r="GA65" s="739"/>
      <c r="GB65" s="739"/>
      <c r="GC65" s="739"/>
      <c r="GD65" s="739"/>
      <c r="GE65" s="739"/>
      <c r="GF65" s="739"/>
      <c r="GG65" s="739"/>
      <c r="GH65" s="739"/>
      <c r="GI65" s="739"/>
      <c r="GJ65" s="739"/>
      <c r="GK65" s="739"/>
      <c r="GL65" s="739"/>
      <c r="GM65" s="739"/>
      <c r="GN65" s="739"/>
      <c r="GO65" s="739"/>
      <c r="GP65" s="739"/>
      <c r="GQ65" s="739"/>
      <c r="GR65" s="739"/>
      <c r="GS65" s="739"/>
      <c r="GT65" s="739"/>
      <c r="GU65" s="739"/>
      <c r="GV65" s="739"/>
      <c r="GW65" s="739"/>
      <c r="GX65" s="739"/>
      <c r="GY65" s="739"/>
      <c r="GZ65" s="739"/>
      <c r="HA65" s="739"/>
      <c r="HB65" s="740"/>
      <c r="HC65" s="739"/>
      <c r="HD65" s="739"/>
      <c r="HE65" s="739"/>
      <c r="HF65" s="739" t="s">
        <v>93</v>
      </c>
      <c r="HG65" s="739"/>
      <c r="HH65" s="739"/>
      <c r="HI65" s="739"/>
      <c r="HJ65" s="739"/>
      <c r="HK65" s="739"/>
      <c r="HL65" s="739" t="s">
        <v>93</v>
      </c>
      <c r="HM65" s="739"/>
      <c r="HN65" s="739"/>
      <c r="HO65" s="739"/>
      <c r="HP65" s="739"/>
      <c r="HQ65" s="739"/>
      <c r="HR65" s="739"/>
      <c r="HS65" s="739"/>
      <c r="HT65" s="739"/>
      <c r="HU65" s="739"/>
      <c r="HV65" s="739"/>
      <c r="HW65" s="739"/>
      <c r="HX65" s="739"/>
    </row>
    <row r="66" spans="1:232" s="731" customFormat="1" ht="20" customHeight="1">
      <c r="A66" s="787" t="s">
        <v>141</v>
      </c>
      <c r="B66" s="788"/>
      <c r="C66" s="740" t="str">
        <f>IF(ISTEXT(IFERROR(VLOOKUP(A66,职业列表!I3:J10,1,FALSE),0)),"★","")</f>
        <v/>
      </c>
      <c r="D66" s="788"/>
      <c r="E66" s="788"/>
      <c r="F66" s="788"/>
      <c r="G66" s="788"/>
      <c r="H66" s="788"/>
      <c r="I66" s="788"/>
      <c r="J66" s="788" t="s">
        <v>93</v>
      </c>
      <c r="K66" s="788"/>
      <c r="L66" s="788"/>
      <c r="M66" s="788"/>
      <c r="N66" s="788"/>
      <c r="O66" s="788"/>
      <c r="P66" s="788"/>
      <c r="Q66" s="788"/>
      <c r="R66" s="788"/>
      <c r="S66" s="788"/>
      <c r="T66" s="788"/>
      <c r="U66" s="788"/>
      <c r="V66" s="788"/>
      <c r="W66" s="788"/>
      <c r="X66" s="788"/>
      <c r="Y66" s="788"/>
      <c r="Z66" s="788"/>
      <c r="AA66" s="788"/>
      <c r="AB66" s="788"/>
      <c r="AC66" s="788"/>
      <c r="AD66" s="788"/>
      <c r="AE66" s="788"/>
      <c r="AF66" s="788"/>
      <c r="AG66" s="788"/>
      <c r="AH66" s="788"/>
      <c r="AI66" s="788"/>
      <c r="AJ66" s="788"/>
      <c r="AK66" s="788"/>
      <c r="AL66" s="788"/>
      <c r="AM66" s="788"/>
      <c r="AN66" s="788"/>
      <c r="AO66" s="788"/>
      <c r="AP66" s="791"/>
      <c r="AQ66" s="788"/>
      <c r="AR66" s="788"/>
      <c r="AS66" s="791"/>
      <c r="AT66" s="788"/>
      <c r="AU66" s="788"/>
      <c r="AV66" s="788"/>
      <c r="AW66" s="788"/>
      <c r="AX66" s="788"/>
      <c r="AY66" s="788"/>
      <c r="AZ66" s="788"/>
      <c r="BA66" s="788"/>
      <c r="BB66" s="788"/>
      <c r="BC66" s="788"/>
      <c r="BD66" s="788"/>
      <c r="BE66" s="788"/>
      <c r="BF66" s="788"/>
      <c r="BG66" s="788"/>
      <c r="BH66" s="788"/>
      <c r="BI66" s="788"/>
      <c r="BJ66" s="788"/>
      <c r="BK66" s="788"/>
      <c r="BL66" s="788"/>
      <c r="BM66" s="788"/>
      <c r="BN66" s="788"/>
      <c r="BO66" s="788"/>
      <c r="BP66" s="788"/>
      <c r="BQ66" s="788"/>
      <c r="BR66" s="788"/>
      <c r="BS66" s="788"/>
      <c r="BT66" s="788"/>
      <c r="BU66" s="788"/>
      <c r="BV66" s="788"/>
      <c r="BW66" s="788"/>
      <c r="BX66" s="788"/>
      <c r="BY66" s="788"/>
      <c r="BZ66" s="788"/>
      <c r="CA66" s="788"/>
      <c r="CB66" s="788"/>
      <c r="CC66" s="788"/>
      <c r="CD66" s="788"/>
      <c r="CE66" s="788"/>
      <c r="CF66" s="788"/>
      <c r="CG66" s="788"/>
      <c r="CH66" s="788"/>
      <c r="CI66" s="788"/>
      <c r="CJ66" s="788"/>
      <c r="CK66" s="788"/>
      <c r="CL66" s="788"/>
      <c r="CM66" s="788"/>
      <c r="CN66" s="788"/>
      <c r="CO66" s="788"/>
      <c r="CP66" s="788"/>
      <c r="CQ66" s="788"/>
      <c r="CR66" s="788"/>
      <c r="CS66" s="788"/>
      <c r="CT66" s="788"/>
      <c r="CU66" s="788"/>
      <c r="CV66" s="788"/>
      <c r="CW66" s="788"/>
      <c r="CX66" s="788"/>
      <c r="CY66" s="788"/>
      <c r="CZ66" s="788"/>
      <c r="DA66" s="788"/>
      <c r="DB66" s="788"/>
      <c r="DC66" s="788"/>
      <c r="DD66" s="788"/>
      <c r="DE66" s="791"/>
      <c r="DF66" s="788"/>
      <c r="DG66" s="788"/>
      <c r="DH66" s="788"/>
      <c r="DI66" s="788"/>
      <c r="DJ66" s="788"/>
      <c r="DK66" s="788"/>
      <c r="DL66" s="788"/>
      <c r="DM66" s="788" t="s">
        <v>93</v>
      </c>
      <c r="DN66" s="788"/>
      <c r="DO66" s="788"/>
      <c r="DP66" s="788"/>
      <c r="DQ66" s="788"/>
      <c r="DR66" s="788"/>
      <c r="DS66" s="788"/>
      <c r="DT66" s="788"/>
      <c r="DU66" s="788"/>
      <c r="DV66" s="788"/>
      <c r="DW66" s="788"/>
      <c r="DX66" s="788"/>
      <c r="DY66" s="788"/>
      <c r="DZ66" s="788"/>
      <c r="EA66" s="788"/>
      <c r="EB66" s="788"/>
      <c r="EC66" s="788"/>
      <c r="ED66" s="788"/>
      <c r="EE66" s="788"/>
      <c r="EF66" s="788"/>
      <c r="EG66" s="788"/>
      <c r="EH66" s="788"/>
      <c r="EI66" s="788"/>
      <c r="EJ66" s="788"/>
      <c r="EK66" s="788"/>
      <c r="EL66" s="788"/>
      <c r="EM66" s="788"/>
      <c r="EN66" s="788"/>
      <c r="EO66" s="788"/>
      <c r="EP66" s="788"/>
      <c r="EQ66" s="788"/>
      <c r="ER66" s="788"/>
      <c r="ES66" s="788"/>
      <c r="ET66" s="788"/>
      <c r="EU66" s="788"/>
      <c r="EV66" s="788"/>
      <c r="EW66" s="788"/>
      <c r="EX66" s="788"/>
      <c r="EY66" s="788"/>
      <c r="EZ66" s="788"/>
      <c r="FA66" s="788"/>
      <c r="FB66" s="788"/>
      <c r="FC66" s="788"/>
      <c r="FD66" s="788"/>
      <c r="FE66" s="788"/>
      <c r="FF66" s="788"/>
      <c r="FG66" s="788"/>
      <c r="FH66" s="788"/>
      <c r="FI66" s="788"/>
      <c r="FJ66" s="788"/>
      <c r="FK66" s="788"/>
      <c r="FL66" s="788"/>
      <c r="FM66" s="788"/>
      <c r="FN66" s="788"/>
      <c r="FO66" s="788"/>
      <c r="FP66" s="788"/>
      <c r="FQ66" s="788"/>
      <c r="FR66" s="788"/>
      <c r="FS66" s="788"/>
      <c r="FT66" s="788"/>
      <c r="FU66" s="788"/>
      <c r="FV66" s="788"/>
      <c r="FW66" s="788"/>
      <c r="FX66" s="788"/>
      <c r="FY66" s="788"/>
      <c r="FZ66" s="788"/>
      <c r="GA66" s="788"/>
      <c r="GB66" s="788"/>
      <c r="GC66" s="788"/>
      <c r="GD66" s="788"/>
      <c r="GE66" s="788"/>
      <c r="GF66" s="788"/>
      <c r="GG66" s="788"/>
      <c r="GH66" s="788"/>
      <c r="GI66" s="788"/>
      <c r="GJ66" s="788"/>
      <c r="GK66" s="788"/>
      <c r="GL66" s="788"/>
      <c r="GM66" s="788"/>
      <c r="GN66" s="788"/>
      <c r="GO66" s="788"/>
      <c r="GP66" s="788"/>
      <c r="GQ66" s="788"/>
      <c r="GR66" s="788"/>
      <c r="GS66" s="788"/>
      <c r="GT66" s="788"/>
      <c r="GU66" s="788"/>
      <c r="GV66" s="788"/>
      <c r="GW66" s="788"/>
      <c r="GX66" s="788"/>
      <c r="GY66" s="788"/>
      <c r="GZ66" s="788"/>
      <c r="HA66" s="788"/>
      <c r="HB66" s="788"/>
      <c r="HC66" s="788"/>
      <c r="HD66" s="788"/>
      <c r="HE66" s="788"/>
      <c r="HF66" s="788"/>
      <c r="HG66" s="788"/>
      <c r="HH66" s="788"/>
      <c r="HI66" s="788"/>
      <c r="HJ66" s="788"/>
      <c r="HK66" s="788"/>
      <c r="HL66" s="788"/>
      <c r="HM66" s="788"/>
      <c r="HN66" s="788"/>
      <c r="HO66" s="788"/>
      <c r="HP66" s="788"/>
      <c r="HQ66" s="788"/>
      <c r="HR66" s="788"/>
      <c r="HS66" s="788"/>
      <c r="HT66" s="788"/>
      <c r="HU66" s="788"/>
      <c r="HV66" s="788"/>
      <c r="HW66" s="788"/>
      <c r="HX66" s="788"/>
    </row>
    <row r="67" spans="1:232" s="375" customFormat="1" ht="20" customHeight="1">
      <c r="A67" s="754" t="s">
        <v>143</v>
      </c>
      <c r="B67" s="739"/>
      <c r="C67" s="739" t="str">
        <f>IF(ISTEXT(IFERROR(VLOOKUP(A67,职业列表!I3:J10,1,FALSE),0)),"★","")</f>
        <v/>
      </c>
      <c r="D67" s="739"/>
      <c r="E67" s="739"/>
      <c r="F67" s="739"/>
      <c r="G67" s="739"/>
      <c r="H67" s="739"/>
      <c r="I67" s="739"/>
      <c r="J67" s="739"/>
      <c r="K67" s="739"/>
      <c r="L67" s="739"/>
      <c r="M67" s="739"/>
      <c r="N67" s="739"/>
      <c r="O67" s="739"/>
      <c r="P67" s="739"/>
      <c r="Q67" s="739"/>
      <c r="R67" s="739"/>
      <c r="S67" s="739"/>
      <c r="T67" s="739"/>
      <c r="U67" s="739"/>
      <c r="V67" s="739"/>
      <c r="W67" s="739"/>
      <c r="X67" s="739"/>
      <c r="Y67" s="739"/>
      <c r="Z67" s="739"/>
      <c r="AA67" s="739"/>
      <c r="AB67" s="739"/>
      <c r="AC67" s="739"/>
      <c r="AD67" s="739"/>
      <c r="AE67" s="739"/>
      <c r="AF67" s="739"/>
      <c r="AG67" s="739"/>
      <c r="AH67" s="739"/>
      <c r="AI67" s="739"/>
      <c r="AJ67" s="739"/>
      <c r="AK67" s="739"/>
      <c r="AL67" s="739"/>
      <c r="AM67" s="739"/>
      <c r="AN67" s="739"/>
      <c r="AO67" s="739"/>
      <c r="AP67" s="739"/>
      <c r="AQ67" s="739"/>
      <c r="AR67" s="739"/>
      <c r="AS67" s="740" t="s">
        <v>93</v>
      </c>
      <c r="AT67" s="739"/>
      <c r="AU67" s="739"/>
      <c r="AV67" s="739"/>
      <c r="AW67" s="739"/>
      <c r="AX67" s="739"/>
      <c r="AY67" s="739"/>
      <c r="AZ67" s="739"/>
      <c r="BA67" s="739"/>
      <c r="BB67" s="739"/>
      <c r="BC67" s="739"/>
      <c r="BD67" s="739"/>
      <c r="BE67" s="739"/>
      <c r="BF67" s="739"/>
      <c r="BG67" s="739"/>
      <c r="BH67" s="739"/>
      <c r="BI67" s="739"/>
      <c r="BJ67" s="739"/>
      <c r="BK67" s="739"/>
      <c r="BL67" s="739"/>
      <c r="BM67" s="739"/>
      <c r="BN67" s="739"/>
      <c r="BO67" s="739"/>
      <c r="BP67" s="739"/>
      <c r="BQ67" s="739"/>
      <c r="BR67" s="739"/>
      <c r="BS67" s="739"/>
      <c r="BT67" s="739"/>
      <c r="BU67" s="739"/>
      <c r="BV67" s="739"/>
      <c r="BW67" s="739"/>
      <c r="BX67" s="739"/>
      <c r="BY67" s="739"/>
      <c r="BZ67" s="739"/>
      <c r="CA67" s="739"/>
      <c r="CB67" s="739"/>
      <c r="CC67" s="739"/>
      <c r="CD67" s="739"/>
      <c r="CE67" s="739"/>
      <c r="CF67" s="739"/>
      <c r="CG67" s="739"/>
      <c r="CH67" s="739"/>
      <c r="CI67" s="739"/>
      <c r="CJ67" s="739"/>
      <c r="CK67" s="739"/>
      <c r="CL67" s="739"/>
      <c r="CM67" s="739"/>
      <c r="CN67" s="739"/>
      <c r="CO67" s="739"/>
      <c r="CP67" s="739"/>
      <c r="CQ67" s="739"/>
      <c r="CR67" s="739"/>
      <c r="CS67" s="739"/>
      <c r="CT67" s="739"/>
      <c r="CU67" s="739"/>
      <c r="CV67" s="739"/>
      <c r="CW67" s="739"/>
      <c r="CX67" s="739"/>
      <c r="CY67" s="739"/>
      <c r="CZ67" s="739"/>
      <c r="DA67" s="739"/>
      <c r="DB67" s="739"/>
      <c r="DC67" s="739"/>
      <c r="DD67" s="739"/>
      <c r="DE67" s="740" t="s">
        <v>1362</v>
      </c>
      <c r="DF67" s="739"/>
      <c r="DG67" s="739"/>
      <c r="DH67" s="739"/>
      <c r="DI67" s="739"/>
      <c r="DJ67" s="739"/>
      <c r="DK67" s="739"/>
      <c r="DL67" s="739"/>
      <c r="DM67" s="739"/>
      <c r="DN67" s="739"/>
      <c r="DO67" s="739"/>
      <c r="DP67" s="739"/>
      <c r="DQ67" s="739"/>
      <c r="DR67" s="739"/>
      <c r="DS67" s="739"/>
      <c r="DT67" s="739"/>
      <c r="DU67" s="739"/>
      <c r="DV67" s="739"/>
      <c r="DW67" s="739"/>
      <c r="DX67" s="739"/>
      <c r="DY67" s="739"/>
      <c r="DZ67" s="739"/>
      <c r="EA67" s="739"/>
      <c r="EB67" s="739"/>
      <c r="EC67" s="739"/>
      <c r="ED67" s="739"/>
      <c r="EE67" s="739"/>
      <c r="EF67" s="739"/>
      <c r="EG67" s="739"/>
      <c r="EH67" s="739"/>
      <c r="EI67" s="739"/>
      <c r="EJ67" s="739"/>
      <c r="EK67" s="739"/>
      <c r="EL67" s="739"/>
      <c r="EM67" s="739"/>
      <c r="EN67" s="739"/>
      <c r="EO67" s="739"/>
      <c r="EP67" s="739"/>
      <c r="EQ67" s="739"/>
      <c r="ER67" s="739"/>
      <c r="ES67" s="739"/>
      <c r="ET67" s="739"/>
      <c r="EU67" s="739"/>
      <c r="EV67" s="739"/>
      <c r="EW67" s="739"/>
      <c r="EX67" s="739"/>
      <c r="EY67" s="739"/>
      <c r="EZ67" s="739"/>
      <c r="FA67" s="739"/>
      <c r="FB67" s="739"/>
      <c r="FC67" s="739"/>
      <c r="FD67" s="739"/>
      <c r="FE67" s="755"/>
      <c r="FF67" s="755"/>
      <c r="FG67" s="755"/>
      <c r="FH67" s="755"/>
      <c r="FI67" s="755"/>
      <c r="FJ67" s="755"/>
      <c r="FK67" s="755"/>
      <c r="FL67" s="755"/>
      <c r="FM67" s="739"/>
      <c r="FN67" s="739"/>
      <c r="FO67" s="739"/>
      <c r="FP67" s="739"/>
      <c r="FQ67" s="739"/>
      <c r="FR67" s="739"/>
      <c r="FS67" s="739"/>
      <c r="FT67" s="739"/>
      <c r="FU67" s="739"/>
      <c r="FV67" s="739"/>
      <c r="FW67" s="739"/>
      <c r="FX67" s="739"/>
      <c r="FY67" s="739"/>
      <c r="FZ67" s="739"/>
      <c r="GA67" s="739"/>
      <c r="GB67" s="739"/>
      <c r="GC67" s="739"/>
      <c r="GD67" s="739"/>
      <c r="GE67" s="739"/>
      <c r="GF67" s="739"/>
      <c r="GG67" s="739"/>
      <c r="GH67" s="739"/>
      <c r="GI67" s="739"/>
      <c r="GJ67" s="739"/>
      <c r="GK67" s="739"/>
      <c r="GL67" s="739"/>
      <c r="GM67" s="739"/>
      <c r="GN67" s="739"/>
      <c r="GO67" s="739"/>
      <c r="GP67" s="739"/>
      <c r="GQ67" s="739"/>
      <c r="GR67" s="739"/>
      <c r="GS67" s="739"/>
      <c r="GT67" s="739"/>
      <c r="GU67" s="739"/>
      <c r="GV67" s="739"/>
      <c r="GW67" s="739"/>
      <c r="GX67" s="739"/>
      <c r="GY67" s="739"/>
      <c r="GZ67" s="739"/>
      <c r="HA67" s="739"/>
      <c r="HB67" s="739"/>
      <c r="HC67" s="739"/>
      <c r="HD67" s="739"/>
      <c r="HE67" s="739"/>
      <c r="HF67" s="739"/>
      <c r="HG67" s="739"/>
      <c r="HH67" s="739"/>
      <c r="HI67" s="739"/>
      <c r="HJ67" s="739"/>
      <c r="HK67" s="739"/>
      <c r="HL67" s="739"/>
      <c r="HM67" s="739"/>
      <c r="HN67" s="739"/>
      <c r="HO67" s="739"/>
      <c r="HP67" s="739"/>
      <c r="HQ67" s="739"/>
      <c r="HR67" s="739"/>
      <c r="HS67" s="739"/>
      <c r="HT67" s="739"/>
      <c r="HU67" s="739"/>
      <c r="HV67" s="739"/>
      <c r="HW67" s="739"/>
      <c r="HX67" s="739"/>
    </row>
    <row r="68" spans="1:232" s="375" customFormat="1" ht="20" customHeight="1">
      <c r="A68" s="754" t="s">
        <v>145</v>
      </c>
      <c r="B68" s="739"/>
      <c r="C68" s="740" t="str">
        <f>IF(ISTEXT(IFERROR(VLOOKUP(A68,职业列表!I3:J10,1,FALSE),0)),"★","")</f>
        <v/>
      </c>
      <c r="D68" s="739"/>
      <c r="E68" s="739"/>
      <c r="F68" s="739"/>
      <c r="G68" s="739"/>
      <c r="H68" s="739"/>
      <c r="I68" s="739"/>
      <c r="J68" s="739"/>
      <c r="K68" s="739"/>
      <c r="L68" s="739"/>
      <c r="M68" s="739"/>
      <c r="N68" s="739"/>
      <c r="O68" s="739"/>
      <c r="P68" s="739"/>
      <c r="Q68" s="739"/>
      <c r="R68" s="739"/>
      <c r="S68" s="739"/>
      <c r="T68" s="739"/>
      <c r="U68" s="739"/>
      <c r="V68" s="739"/>
      <c r="W68" s="739"/>
      <c r="X68" s="739"/>
      <c r="Y68" s="739"/>
      <c r="Z68" s="739"/>
      <c r="AA68" s="739"/>
      <c r="AB68" s="739"/>
      <c r="AC68" s="739"/>
      <c r="AD68" s="739"/>
      <c r="AE68" s="739"/>
      <c r="AF68" s="739"/>
      <c r="AG68" s="739"/>
      <c r="AH68" s="739"/>
      <c r="AI68" s="739"/>
      <c r="AJ68" s="739"/>
      <c r="AK68" s="739"/>
      <c r="AL68" s="739"/>
      <c r="AM68" s="739"/>
      <c r="AN68" s="739"/>
      <c r="AO68" s="739"/>
      <c r="AP68" s="755"/>
      <c r="AQ68" s="739"/>
      <c r="AR68" s="739"/>
      <c r="AS68" s="739"/>
      <c r="AT68" s="739"/>
      <c r="AU68" s="739"/>
      <c r="AV68" s="739"/>
      <c r="AW68" s="739"/>
      <c r="AX68" s="739"/>
      <c r="AY68" s="739"/>
      <c r="AZ68" s="739"/>
      <c r="BA68" s="739"/>
      <c r="BB68" s="739"/>
      <c r="BC68" s="739"/>
      <c r="BD68" s="739"/>
      <c r="BE68" s="739"/>
      <c r="BF68" s="739"/>
      <c r="BG68" s="739"/>
      <c r="BH68" s="739"/>
      <c r="BI68" s="739"/>
      <c r="BJ68" s="739"/>
      <c r="BK68" s="739"/>
      <c r="BL68" s="739"/>
      <c r="BM68" s="739"/>
      <c r="BN68" s="739"/>
      <c r="BO68" s="739"/>
      <c r="BP68" s="739"/>
      <c r="BQ68" s="739"/>
      <c r="BR68" s="739"/>
      <c r="BS68" s="739"/>
      <c r="BT68" s="739"/>
      <c r="BU68" s="739"/>
      <c r="BV68" s="739"/>
      <c r="BW68" s="739"/>
      <c r="BX68" s="739"/>
      <c r="BY68" s="739"/>
      <c r="BZ68" s="739"/>
      <c r="CA68" s="739"/>
      <c r="CB68" s="739"/>
      <c r="CC68" s="739"/>
      <c r="CD68" s="739"/>
      <c r="CE68" s="739"/>
      <c r="CF68" s="739"/>
      <c r="CG68" s="739"/>
      <c r="CH68" s="739"/>
      <c r="CI68" s="739"/>
      <c r="CJ68" s="739"/>
      <c r="CK68" s="739"/>
      <c r="CL68" s="739"/>
      <c r="CM68" s="739"/>
      <c r="CN68" s="739"/>
      <c r="CO68" s="739"/>
      <c r="CP68" s="739"/>
      <c r="CQ68" s="739"/>
      <c r="CR68" s="739"/>
      <c r="CS68" s="739"/>
      <c r="CT68" s="739"/>
      <c r="CU68" s="739"/>
      <c r="CV68" s="739"/>
      <c r="CW68" s="739"/>
      <c r="CX68" s="739"/>
      <c r="CY68" s="739"/>
      <c r="CZ68" s="739"/>
      <c r="DA68" s="739"/>
      <c r="DB68" s="739"/>
      <c r="DC68" s="739"/>
      <c r="DD68" s="739"/>
      <c r="DE68" s="739"/>
      <c r="DF68" s="739"/>
      <c r="DG68" s="739"/>
      <c r="DH68" s="739"/>
      <c r="DI68" s="739"/>
      <c r="DJ68" s="739"/>
      <c r="DK68" s="739"/>
      <c r="DL68" s="739"/>
      <c r="DM68" s="739"/>
      <c r="DN68" s="739"/>
      <c r="DO68" s="739"/>
      <c r="DP68" s="739"/>
      <c r="DQ68" s="739"/>
      <c r="DR68" s="739"/>
      <c r="DS68" s="739"/>
      <c r="DT68" s="739"/>
      <c r="DU68" s="739"/>
      <c r="DV68" s="739"/>
      <c r="DW68" s="739"/>
      <c r="DX68" s="739"/>
      <c r="DY68" s="739"/>
      <c r="DZ68" s="739"/>
      <c r="EA68" s="739"/>
      <c r="EB68" s="739"/>
      <c r="EC68" s="739"/>
      <c r="ED68" s="739"/>
      <c r="EE68" s="739"/>
      <c r="EF68" s="739"/>
      <c r="EG68" s="739"/>
      <c r="EH68" s="739"/>
      <c r="EI68" s="739"/>
      <c r="EJ68" s="739"/>
      <c r="EK68" s="739"/>
      <c r="EL68" s="739"/>
      <c r="EM68" s="739"/>
      <c r="EN68" s="739"/>
      <c r="EO68" s="739"/>
      <c r="EP68" s="739"/>
      <c r="EQ68" s="739"/>
      <c r="ER68" s="739"/>
      <c r="ES68" s="739"/>
      <c r="ET68" s="739"/>
      <c r="EU68" s="739"/>
      <c r="EV68" s="739"/>
      <c r="EW68" s="739"/>
      <c r="EX68" s="739"/>
      <c r="EY68" s="739"/>
      <c r="EZ68" s="739"/>
      <c r="FA68" s="739"/>
      <c r="FB68" s="739"/>
      <c r="FC68" s="739"/>
      <c r="FD68" s="739"/>
      <c r="FE68" s="739"/>
      <c r="FF68" s="739"/>
      <c r="FG68" s="739"/>
      <c r="FH68" s="739"/>
      <c r="FI68" s="739"/>
      <c r="FJ68" s="739"/>
      <c r="FK68" s="739"/>
      <c r="FL68" s="739"/>
      <c r="FM68" s="739"/>
      <c r="FN68" s="739"/>
      <c r="FO68" s="739"/>
      <c r="FP68" s="739"/>
      <c r="FQ68" s="739"/>
      <c r="FR68" s="739"/>
      <c r="FS68" s="739"/>
      <c r="FT68" s="739"/>
      <c r="FU68" s="739"/>
      <c r="FV68" s="739"/>
      <c r="FW68" s="739"/>
      <c r="FX68" s="739"/>
      <c r="FY68" s="739"/>
      <c r="FZ68" s="739"/>
      <c r="GA68" s="739"/>
      <c r="GB68" s="739"/>
      <c r="GC68" s="739"/>
      <c r="GD68" s="739"/>
      <c r="GE68" s="739"/>
      <c r="GF68" s="739"/>
      <c r="GG68" s="739"/>
      <c r="GH68" s="739"/>
      <c r="GI68" s="739"/>
      <c r="GJ68" s="739"/>
      <c r="GK68" s="739"/>
      <c r="GL68" s="739"/>
      <c r="GM68" s="739"/>
      <c r="GN68" s="739"/>
      <c r="GO68" s="739"/>
      <c r="GP68" s="739"/>
      <c r="GQ68" s="739"/>
      <c r="GR68" s="739"/>
      <c r="GS68" s="739"/>
      <c r="GT68" s="739"/>
      <c r="GU68" s="739"/>
      <c r="GV68" s="739"/>
      <c r="GW68" s="739"/>
      <c r="GX68" s="739"/>
      <c r="GY68" s="739"/>
      <c r="GZ68" s="739"/>
      <c r="HA68" s="739"/>
      <c r="HB68" s="739"/>
      <c r="HC68" s="739"/>
      <c r="HD68" s="739"/>
      <c r="HE68" s="739"/>
      <c r="HF68" s="739"/>
      <c r="HG68" s="739"/>
      <c r="HH68" s="739"/>
      <c r="HI68" s="739"/>
      <c r="HJ68" s="739"/>
      <c r="HK68" s="739"/>
      <c r="HL68" s="739"/>
      <c r="HM68" s="739"/>
      <c r="HN68" s="739"/>
      <c r="HO68" s="739"/>
      <c r="HP68" s="739"/>
      <c r="HQ68" s="739"/>
      <c r="HR68" s="739"/>
      <c r="HS68" s="739"/>
      <c r="HT68" s="739"/>
      <c r="HU68" s="739"/>
      <c r="HV68" s="739"/>
      <c r="HW68" s="739"/>
      <c r="HX68" s="739"/>
    </row>
    <row r="69" spans="1:232" s="375" customFormat="1" ht="20" customHeight="1">
      <c r="A69" s="754" t="s">
        <v>148</v>
      </c>
      <c r="B69" s="739"/>
      <c r="C69" s="739" t="str">
        <f>IF(ISTEXT(IFERROR(VLOOKUP(A69,职业列表!I3:J10,1,FALSE),0)),"★","")</f>
        <v/>
      </c>
      <c r="D69" s="739"/>
      <c r="E69" s="739"/>
      <c r="F69" s="739"/>
      <c r="G69" s="739"/>
      <c r="H69" s="739"/>
      <c r="I69" s="739"/>
      <c r="J69" s="739"/>
      <c r="K69" s="739"/>
      <c r="L69" s="739"/>
      <c r="M69" s="739"/>
      <c r="N69" s="739"/>
      <c r="O69" s="739"/>
      <c r="P69" s="739"/>
      <c r="Q69" s="739"/>
      <c r="R69" s="739"/>
      <c r="S69" s="739"/>
      <c r="T69" s="739"/>
      <c r="U69" s="739"/>
      <c r="V69" s="739"/>
      <c r="W69" s="739"/>
      <c r="X69" s="739"/>
      <c r="Y69" s="739"/>
      <c r="Z69" s="739"/>
      <c r="AA69" s="739"/>
      <c r="AB69" s="739"/>
      <c r="AC69" s="739"/>
      <c r="AD69" s="739"/>
      <c r="AE69" s="739"/>
      <c r="AF69" s="739"/>
      <c r="AG69" s="739"/>
      <c r="AH69" s="739"/>
      <c r="AI69" s="739"/>
      <c r="AJ69" s="739"/>
      <c r="AK69" s="739"/>
      <c r="AL69" s="739"/>
      <c r="AM69" s="739"/>
      <c r="AN69" s="739"/>
      <c r="AO69" s="739"/>
      <c r="AP69" s="739"/>
      <c r="AQ69" s="739"/>
      <c r="AR69" s="739"/>
      <c r="AS69" s="755"/>
      <c r="AT69" s="739"/>
      <c r="AU69" s="739"/>
      <c r="AV69" s="739"/>
      <c r="AW69" s="739"/>
      <c r="AX69" s="739"/>
      <c r="AY69" s="739"/>
      <c r="AZ69" s="739"/>
      <c r="BA69" s="739"/>
      <c r="BB69" s="739"/>
      <c r="BC69" s="739"/>
      <c r="BD69" s="739"/>
      <c r="BE69" s="739"/>
      <c r="BF69" s="739"/>
      <c r="BG69" s="739"/>
      <c r="BH69" s="739"/>
      <c r="BI69" s="739"/>
      <c r="BJ69" s="739"/>
      <c r="BK69" s="739"/>
      <c r="BL69" s="739"/>
      <c r="BM69" s="739"/>
      <c r="BN69" s="739"/>
      <c r="BO69" s="739"/>
      <c r="BP69" s="739"/>
      <c r="BQ69" s="739"/>
      <c r="BR69" s="739"/>
      <c r="BS69" s="739"/>
      <c r="BT69" s="739"/>
      <c r="BU69" s="739"/>
      <c r="BV69" s="739"/>
      <c r="BW69" s="739"/>
      <c r="BX69" s="739"/>
      <c r="BY69" s="739"/>
      <c r="BZ69" s="739"/>
      <c r="CA69" s="739"/>
      <c r="CB69" s="739"/>
      <c r="CC69" s="739"/>
      <c r="CD69" s="739"/>
      <c r="CE69" s="739"/>
      <c r="CF69" s="739"/>
      <c r="CG69" s="739"/>
      <c r="CH69" s="739"/>
      <c r="CI69" s="739"/>
      <c r="CJ69" s="739"/>
      <c r="CK69" s="739"/>
      <c r="CL69" s="739"/>
      <c r="CM69" s="739"/>
      <c r="CN69" s="739"/>
      <c r="CO69" s="739"/>
      <c r="CP69" s="739"/>
      <c r="CQ69" s="739"/>
      <c r="CR69" s="739"/>
      <c r="CS69" s="739"/>
      <c r="CT69" s="739"/>
      <c r="CU69" s="739"/>
      <c r="CV69" s="739"/>
      <c r="CW69" s="739"/>
      <c r="CX69" s="739"/>
      <c r="CY69" s="739"/>
      <c r="CZ69" s="739"/>
      <c r="DA69" s="739"/>
      <c r="DB69" s="739"/>
      <c r="DC69" s="739"/>
      <c r="DD69" s="739"/>
      <c r="DE69" s="740"/>
      <c r="DF69" s="739"/>
      <c r="DG69" s="739"/>
      <c r="DH69" s="739"/>
      <c r="DI69" s="739"/>
      <c r="DJ69" s="739"/>
      <c r="DK69" s="739"/>
      <c r="DL69" s="739"/>
      <c r="DM69" s="739"/>
      <c r="DN69" s="739"/>
      <c r="DO69" s="739"/>
      <c r="DP69" s="739"/>
      <c r="DQ69" s="739"/>
      <c r="DR69" s="739"/>
      <c r="DS69" s="739"/>
      <c r="DT69" s="739"/>
      <c r="DU69" s="739"/>
      <c r="DV69" s="739"/>
      <c r="DW69" s="739"/>
      <c r="DX69" s="739"/>
      <c r="DY69" s="739"/>
      <c r="DZ69" s="739"/>
      <c r="EA69" s="739"/>
      <c r="EB69" s="739"/>
      <c r="EC69" s="739"/>
      <c r="ED69" s="739"/>
      <c r="EE69" s="739"/>
      <c r="EF69" s="739"/>
      <c r="EG69" s="739"/>
      <c r="EH69" s="739"/>
      <c r="EI69" s="739"/>
      <c r="EJ69" s="739"/>
      <c r="EK69" s="739"/>
      <c r="EL69" s="739"/>
      <c r="EM69" s="739"/>
      <c r="EN69" s="739"/>
      <c r="EO69" s="739"/>
      <c r="EP69" s="739"/>
      <c r="EQ69" s="739"/>
      <c r="ER69" s="739"/>
      <c r="ES69" s="739"/>
      <c r="ET69" s="739"/>
      <c r="EU69" s="739"/>
      <c r="EV69" s="739"/>
      <c r="EW69" s="739"/>
      <c r="EX69" s="739"/>
      <c r="EY69" s="739"/>
      <c r="EZ69" s="739"/>
      <c r="FA69" s="739"/>
      <c r="FB69" s="739"/>
      <c r="FC69" s="739"/>
      <c r="FD69" s="739"/>
      <c r="FE69" s="739"/>
      <c r="FF69" s="739"/>
      <c r="FG69" s="739"/>
      <c r="FH69" s="739"/>
      <c r="FI69" s="739"/>
      <c r="FJ69" s="739"/>
      <c r="FK69" s="739"/>
      <c r="FL69" s="739"/>
      <c r="FM69" s="739"/>
      <c r="FN69" s="739"/>
      <c r="FO69" s="739"/>
      <c r="FP69" s="739"/>
      <c r="FQ69" s="739"/>
      <c r="FR69" s="739"/>
      <c r="FS69" s="739"/>
      <c r="FT69" s="739"/>
      <c r="FU69" s="739"/>
      <c r="FV69" s="739"/>
      <c r="FW69" s="739"/>
      <c r="FX69" s="739"/>
      <c r="FY69" s="739"/>
      <c r="FZ69" s="739"/>
      <c r="GA69" s="739"/>
      <c r="GB69" s="739"/>
      <c r="GC69" s="739"/>
      <c r="GD69" s="739"/>
      <c r="GE69" s="739"/>
      <c r="GF69" s="739"/>
      <c r="GG69" s="739"/>
      <c r="GH69" s="739"/>
      <c r="GI69" s="739"/>
      <c r="GJ69" s="739"/>
      <c r="GK69" s="739"/>
      <c r="GL69" s="739"/>
      <c r="GM69" s="739"/>
      <c r="GN69" s="739"/>
      <c r="GO69" s="739"/>
      <c r="GP69" s="739"/>
      <c r="GQ69" s="739"/>
      <c r="GR69" s="739"/>
      <c r="GS69" s="739"/>
      <c r="GT69" s="739"/>
      <c r="GU69" s="739"/>
      <c r="GV69" s="739"/>
      <c r="GW69" s="739"/>
      <c r="GX69" s="739"/>
      <c r="GY69" s="739"/>
      <c r="GZ69" s="739"/>
      <c r="HA69" s="739"/>
      <c r="HB69" s="739"/>
      <c r="HC69" s="739"/>
      <c r="HD69" s="739"/>
      <c r="HE69" s="739"/>
      <c r="HF69" s="739"/>
      <c r="HG69" s="739"/>
      <c r="HH69" s="739"/>
      <c r="HI69" s="739"/>
      <c r="HJ69" s="739"/>
      <c r="HK69" s="739"/>
      <c r="HL69" s="739"/>
      <c r="HM69" s="739"/>
      <c r="HN69" s="739"/>
      <c r="HO69" s="739"/>
      <c r="HP69" s="739"/>
      <c r="HQ69" s="739"/>
      <c r="HR69" s="739"/>
      <c r="HS69" s="739"/>
      <c r="HT69" s="739"/>
      <c r="HU69" s="739"/>
      <c r="HV69" s="739"/>
      <c r="HW69" s="739"/>
      <c r="HX69" s="739"/>
    </row>
    <row r="70" spans="1:232" ht="20" customHeight="1">
      <c r="A70" s="754" t="s">
        <v>150</v>
      </c>
      <c r="B70" s="755"/>
      <c r="C70" s="755" t="str">
        <f>IF(ISTEXT(IFERROR(VLOOKUP(A70,职业列表!I3:J10,1,FALSE),0)),"★","")</f>
        <v/>
      </c>
      <c r="D70" s="755"/>
      <c r="E70" s="755"/>
      <c r="F70" s="755"/>
      <c r="G70" s="755"/>
      <c r="H70" s="755"/>
      <c r="I70" s="755"/>
      <c r="J70" s="755"/>
      <c r="K70" s="755"/>
      <c r="L70" s="755"/>
      <c r="M70" s="755"/>
      <c r="N70" s="755"/>
      <c r="O70" s="755"/>
      <c r="P70" s="755"/>
      <c r="Q70" s="755"/>
      <c r="R70" s="755"/>
      <c r="S70" s="755"/>
      <c r="T70" s="755"/>
      <c r="U70" s="755"/>
      <c r="V70" s="755"/>
      <c r="W70" s="755"/>
      <c r="X70" s="755"/>
      <c r="Y70" s="755"/>
      <c r="Z70" s="755"/>
      <c r="AA70" s="755"/>
      <c r="AB70" s="755"/>
      <c r="AC70" s="755"/>
      <c r="AD70" s="755"/>
      <c r="AE70" s="755"/>
      <c r="AF70" s="755"/>
      <c r="AG70" s="755"/>
      <c r="AH70" s="755"/>
      <c r="AI70" s="755"/>
      <c r="AJ70" s="755"/>
      <c r="AK70" s="755"/>
      <c r="AL70" s="755"/>
      <c r="AM70" s="755"/>
      <c r="AN70" s="755"/>
      <c r="AO70" s="755"/>
      <c r="AP70" s="740" t="s">
        <v>93</v>
      </c>
      <c r="AQ70" s="755"/>
      <c r="AR70" s="755"/>
      <c r="AS70" s="755"/>
      <c r="AT70" s="755"/>
      <c r="AU70" s="755"/>
      <c r="AV70" s="755"/>
      <c r="AW70" s="755"/>
      <c r="AX70" s="755"/>
      <c r="AY70" s="755"/>
      <c r="AZ70" s="755"/>
      <c r="BA70" s="755"/>
      <c r="BB70" s="755"/>
      <c r="BC70" s="755"/>
      <c r="BD70" s="755"/>
      <c r="BE70" s="755"/>
      <c r="BF70" s="755"/>
      <c r="BG70" s="755"/>
      <c r="BH70" s="755"/>
      <c r="BI70" s="755"/>
      <c r="BJ70" s="755"/>
      <c r="BK70" s="755"/>
      <c r="BL70" s="755"/>
      <c r="BM70" s="755"/>
      <c r="BN70" s="755"/>
      <c r="BO70" s="755"/>
      <c r="BP70" s="755"/>
      <c r="BQ70" s="755"/>
      <c r="BR70" s="755"/>
      <c r="BS70" s="755"/>
      <c r="BT70" s="755"/>
      <c r="BU70" s="755"/>
      <c r="BV70" s="755"/>
      <c r="BW70" s="755"/>
      <c r="BX70" s="755"/>
      <c r="BY70" s="755"/>
      <c r="BZ70" s="755"/>
      <c r="CA70" s="755"/>
      <c r="CB70" s="755"/>
      <c r="CC70" s="755"/>
      <c r="CD70" s="755"/>
      <c r="CE70" s="755"/>
      <c r="CF70" s="755"/>
      <c r="CG70" s="755"/>
      <c r="CH70" s="755"/>
      <c r="CI70" s="755"/>
      <c r="CJ70" s="755"/>
      <c r="CK70" s="755"/>
      <c r="CL70" s="755"/>
      <c r="CM70" s="755"/>
      <c r="CN70" s="755"/>
      <c r="CO70" s="755"/>
      <c r="CP70" s="755"/>
      <c r="CQ70" s="755"/>
      <c r="CR70" s="755"/>
      <c r="CS70" s="755"/>
      <c r="CT70" s="755"/>
      <c r="CU70" s="755"/>
      <c r="CV70" s="755"/>
      <c r="CW70" s="755"/>
      <c r="CX70" s="755"/>
      <c r="CY70" s="755"/>
      <c r="CZ70" s="755"/>
      <c r="DA70" s="755"/>
      <c r="DB70" s="755"/>
      <c r="DC70" s="755"/>
      <c r="DD70" s="755"/>
      <c r="DE70" s="755"/>
      <c r="DF70" s="755"/>
      <c r="DG70" s="755"/>
      <c r="DH70" s="755"/>
      <c r="DI70" s="755"/>
      <c r="DJ70" s="755"/>
      <c r="DK70" s="755"/>
      <c r="DL70" s="755"/>
      <c r="DM70" s="755"/>
      <c r="DN70" s="755"/>
      <c r="DO70" s="755"/>
      <c r="DP70" s="755"/>
      <c r="DQ70" s="755"/>
      <c r="DR70" s="755"/>
      <c r="DS70" s="755"/>
      <c r="DT70" s="755"/>
      <c r="DU70" s="755"/>
      <c r="DV70" s="755"/>
      <c r="DW70" s="755"/>
      <c r="DX70" s="755"/>
      <c r="DY70" s="755"/>
      <c r="DZ70" s="755"/>
      <c r="EA70" s="755"/>
      <c r="EB70" s="755"/>
      <c r="EC70" s="755"/>
      <c r="ED70" s="755"/>
      <c r="EE70" s="755"/>
      <c r="EF70" s="755"/>
      <c r="EG70" s="755"/>
      <c r="EH70" s="755"/>
      <c r="EI70" s="755"/>
      <c r="EJ70" s="755"/>
      <c r="EK70" s="755"/>
      <c r="EL70" s="755"/>
      <c r="EM70" s="755"/>
      <c r="EN70" s="755"/>
      <c r="EO70" s="755"/>
      <c r="EP70" s="755"/>
      <c r="EQ70" s="755"/>
      <c r="ER70" s="755"/>
      <c r="ES70" s="755"/>
      <c r="ET70" s="755"/>
      <c r="EU70" s="755"/>
      <c r="EV70" s="755"/>
      <c r="EW70" s="755"/>
      <c r="EX70" s="755"/>
      <c r="EY70" s="755"/>
      <c r="EZ70" s="755"/>
      <c r="FA70" s="755"/>
      <c r="FB70" s="755"/>
      <c r="FC70" s="755"/>
      <c r="FD70" s="755"/>
      <c r="FE70" s="755"/>
      <c r="FF70" s="755"/>
      <c r="FG70" s="755"/>
      <c r="FH70" s="755"/>
      <c r="FI70" s="755"/>
      <c r="FJ70" s="755"/>
      <c r="FK70" s="755"/>
      <c r="FL70" s="755"/>
      <c r="FM70" s="755"/>
      <c r="FN70" s="755"/>
      <c r="FO70" s="755"/>
      <c r="FP70" s="755"/>
      <c r="FQ70" s="755"/>
      <c r="FR70" s="755"/>
      <c r="FS70" s="755"/>
      <c r="FT70" s="755"/>
      <c r="FU70" s="755"/>
      <c r="FV70" s="755"/>
      <c r="FW70" s="755"/>
      <c r="FX70" s="755"/>
      <c r="FY70" s="755"/>
      <c r="FZ70" s="755"/>
      <c r="GA70" s="755"/>
      <c r="GB70" s="755"/>
      <c r="GC70" s="755"/>
      <c r="GD70" s="755"/>
      <c r="GE70" s="755"/>
      <c r="GF70" s="755"/>
      <c r="GG70" s="755"/>
      <c r="GH70" s="755"/>
      <c r="GI70" s="755"/>
      <c r="GJ70" s="755"/>
      <c r="GK70" s="755"/>
      <c r="GL70" s="755"/>
      <c r="GM70" s="755"/>
      <c r="GN70" s="755"/>
      <c r="GO70" s="755"/>
      <c r="GP70" s="755"/>
      <c r="GQ70" s="755"/>
      <c r="GR70" s="755"/>
      <c r="GS70" s="755"/>
      <c r="GT70" s="755"/>
      <c r="GU70" s="755"/>
      <c r="GV70" s="755"/>
      <c r="GW70" s="755"/>
      <c r="GX70" s="755"/>
      <c r="GY70" s="755"/>
      <c r="GZ70" s="755"/>
      <c r="HA70" s="755"/>
      <c r="HB70" s="755"/>
      <c r="HC70" s="755"/>
      <c r="HD70" s="755"/>
      <c r="HE70" s="755"/>
      <c r="HF70" s="755"/>
      <c r="HG70" s="755"/>
      <c r="HH70" s="755"/>
      <c r="HI70" s="755"/>
      <c r="HJ70" s="755"/>
      <c r="HK70" s="755"/>
      <c r="HL70" s="755"/>
      <c r="HM70" s="755"/>
      <c r="HN70" s="755"/>
      <c r="HO70" s="755"/>
      <c r="HP70" s="755"/>
      <c r="HQ70" s="755"/>
      <c r="HR70" s="755"/>
      <c r="HS70" s="755"/>
      <c r="HT70" s="755"/>
      <c r="HU70" s="755"/>
      <c r="HV70" s="755"/>
      <c r="HW70" s="755"/>
      <c r="HX70" s="755"/>
    </row>
    <row r="71" spans="1:232" ht="20" customHeight="1">
      <c r="A71" s="743" t="s">
        <v>152</v>
      </c>
      <c r="B71" s="755"/>
      <c r="C71" s="755" t="str">
        <f>IF(ISTEXT(IFERROR(VLOOKUP(A71,职业列表!I3:J10,1,FALSE),0)),"★","")</f>
        <v/>
      </c>
      <c r="D71" s="755"/>
      <c r="E71" s="755"/>
      <c r="F71" s="755"/>
      <c r="G71" s="755"/>
      <c r="H71" s="755"/>
      <c r="I71" s="755"/>
      <c r="J71" s="755"/>
      <c r="K71" s="755"/>
      <c r="L71" s="755"/>
      <c r="M71" s="755"/>
      <c r="N71" s="755"/>
      <c r="O71" s="755"/>
      <c r="P71" s="755"/>
      <c r="Q71" s="755"/>
      <c r="R71" s="755"/>
      <c r="S71" s="755"/>
      <c r="T71" s="755"/>
      <c r="U71" s="755"/>
      <c r="V71" s="755"/>
      <c r="W71" s="755"/>
      <c r="X71" s="755"/>
      <c r="Y71" s="755"/>
      <c r="Z71" s="755"/>
      <c r="AA71" s="755"/>
      <c r="AB71" s="755"/>
      <c r="AC71" s="755"/>
      <c r="AD71" s="755"/>
      <c r="AE71" s="755"/>
      <c r="AF71" s="755"/>
      <c r="AG71" s="755"/>
      <c r="AH71" s="755"/>
      <c r="AI71" s="755"/>
      <c r="AJ71" s="755"/>
      <c r="AK71" s="755"/>
      <c r="AL71" s="755"/>
      <c r="AM71" s="755"/>
      <c r="AN71" s="755"/>
      <c r="AO71" s="755"/>
      <c r="AP71" s="755"/>
      <c r="AQ71" s="755"/>
      <c r="AR71" s="755"/>
      <c r="AS71" s="755"/>
      <c r="AT71" s="755"/>
      <c r="AU71" s="755"/>
      <c r="AV71" s="755"/>
      <c r="AW71" s="755"/>
      <c r="AX71" s="755"/>
      <c r="AY71" s="755"/>
      <c r="AZ71" s="755"/>
      <c r="BA71" s="755"/>
      <c r="BB71" s="755"/>
      <c r="BC71" s="755"/>
      <c r="BD71" s="755"/>
      <c r="BE71" s="755"/>
      <c r="BF71" s="755"/>
      <c r="BG71" s="755"/>
      <c r="BH71" s="755"/>
      <c r="BI71" s="755"/>
      <c r="BJ71" s="755"/>
      <c r="BK71" s="755"/>
      <c r="BL71" s="755"/>
      <c r="BM71" s="755"/>
      <c r="BN71" s="755"/>
      <c r="BO71" s="755"/>
      <c r="BP71" s="755"/>
      <c r="BQ71" s="755"/>
      <c r="BR71" s="755"/>
      <c r="BS71" s="755"/>
      <c r="BT71" s="755"/>
      <c r="BU71" s="755"/>
      <c r="BV71" s="755"/>
      <c r="BW71" s="755"/>
      <c r="BX71" s="755"/>
      <c r="BY71" s="755"/>
      <c r="BZ71" s="755"/>
      <c r="CA71" s="755"/>
      <c r="CB71" s="755"/>
      <c r="CC71" s="755"/>
      <c r="CD71" s="755"/>
      <c r="CE71" s="755"/>
      <c r="CF71" s="755"/>
      <c r="CG71" s="755"/>
      <c r="CH71" s="755"/>
      <c r="CI71" s="755"/>
      <c r="CJ71" s="755"/>
      <c r="CK71" s="755"/>
      <c r="CL71" s="755"/>
      <c r="CM71" s="755"/>
      <c r="CN71" s="755"/>
      <c r="CO71" s="755"/>
      <c r="CP71" s="755"/>
      <c r="CQ71" s="755"/>
      <c r="CR71" s="755"/>
      <c r="CS71" s="755"/>
      <c r="CT71" s="755"/>
      <c r="CU71" s="755"/>
      <c r="CV71" s="755"/>
      <c r="CW71" s="755"/>
      <c r="CX71" s="755"/>
      <c r="CY71" s="755"/>
      <c r="CZ71" s="755"/>
      <c r="DA71" s="755"/>
      <c r="DB71" s="755"/>
      <c r="DC71" s="755"/>
      <c r="DD71" s="755"/>
      <c r="DE71" s="755"/>
      <c r="DF71" s="755"/>
      <c r="DG71" s="755"/>
      <c r="DH71" s="755"/>
      <c r="DI71" s="755"/>
      <c r="DJ71" s="755"/>
      <c r="DK71" s="755"/>
      <c r="DL71" s="755"/>
      <c r="DM71" s="755"/>
      <c r="DN71" s="755"/>
      <c r="DO71" s="755"/>
      <c r="DP71" s="755"/>
      <c r="DQ71" s="755"/>
      <c r="DR71" s="755"/>
      <c r="DS71" s="755"/>
      <c r="DT71" s="755"/>
      <c r="DU71" s="755"/>
      <c r="DV71" s="755"/>
      <c r="DW71" s="755"/>
      <c r="DX71" s="755"/>
      <c r="DY71" s="755"/>
      <c r="DZ71" s="755"/>
      <c r="EA71" s="755"/>
      <c r="EB71" s="755"/>
      <c r="EC71" s="755"/>
      <c r="ED71" s="755"/>
      <c r="EE71" s="755"/>
      <c r="EF71" s="755"/>
      <c r="EG71" s="755"/>
      <c r="EH71" s="755"/>
      <c r="EI71" s="755"/>
      <c r="EJ71" s="755"/>
      <c r="EK71" s="755"/>
      <c r="EL71" s="755"/>
      <c r="EM71" s="755"/>
      <c r="EN71" s="755"/>
      <c r="EO71" s="755"/>
      <c r="EP71" s="755"/>
      <c r="EQ71" s="755"/>
      <c r="ER71" s="755"/>
      <c r="ES71" s="755"/>
      <c r="ET71" s="755"/>
      <c r="EU71" s="755"/>
      <c r="EV71" s="755"/>
      <c r="EW71" s="755"/>
      <c r="EX71" s="755"/>
      <c r="EY71" s="755"/>
      <c r="EZ71" s="755"/>
      <c r="FA71" s="755"/>
      <c r="FB71" s="755"/>
      <c r="FC71" s="755"/>
      <c r="FD71" s="755"/>
      <c r="FE71" s="755"/>
      <c r="FF71" s="755"/>
      <c r="FG71" s="755"/>
      <c r="FH71" s="755"/>
      <c r="FI71" s="755"/>
      <c r="FJ71" s="755"/>
      <c r="FK71" s="755"/>
      <c r="FL71" s="755"/>
      <c r="FM71" s="755"/>
      <c r="FN71" s="755"/>
      <c r="FO71" s="755"/>
      <c r="FP71" s="755"/>
      <c r="FQ71" s="755"/>
      <c r="FR71" s="755"/>
      <c r="FS71" s="755"/>
      <c r="FT71" s="755"/>
      <c r="FU71" s="755"/>
      <c r="FV71" s="755"/>
      <c r="FW71" s="755"/>
      <c r="FX71" s="755"/>
      <c r="FY71" s="755"/>
      <c r="FZ71" s="755"/>
      <c r="GA71" s="755"/>
      <c r="GB71" s="755"/>
      <c r="GC71" s="755"/>
      <c r="GD71" s="755"/>
      <c r="GE71" s="755"/>
      <c r="GF71" s="755"/>
      <c r="GG71" s="755"/>
      <c r="GH71" s="755"/>
      <c r="GI71" s="755"/>
      <c r="GJ71" s="755"/>
      <c r="GK71" s="755"/>
      <c r="GL71" s="755"/>
      <c r="GM71" s="755"/>
      <c r="GN71" s="755"/>
      <c r="GO71" s="755"/>
      <c r="GP71" s="755"/>
      <c r="GQ71" s="755"/>
      <c r="GR71" s="755"/>
      <c r="GS71" s="755"/>
      <c r="GT71" s="755"/>
      <c r="GU71" s="755"/>
      <c r="GV71" s="755"/>
      <c r="GW71" s="755"/>
      <c r="GX71" s="755"/>
      <c r="GY71" s="755"/>
      <c r="GZ71" s="755"/>
      <c r="HA71" s="755"/>
      <c r="HB71" s="755"/>
      <c r="HC71" s="755"/>
      <c r="HD71" s="755"/>
      <c r="HE71" s="755"/>
      <c r="HF71" s="755"/>
      <c r="HG71" s="755"/>
      <c r="HH71" s="755"/>
      <c r="HI71" s="755"/>
      <c r="HJ71" s="755"/>
      <c r="HK71" s="755"/>
      <c r="HL71" s="755"/>
      <c r="HM71" s="755"/>
      <c r="HN71" s="755"/>
      <c r="HO71" s="755"/>
      <c r="HP71" s="755"/>
      <c r="HQ71" s="755"/>
      <c r="HR71" s="755"/>
      <c r="HS71" s="755"/>
      <c r="HT71" s="755"/>
      <c r="HU71" s="755"/>
      <c r="HV71" s="755"/>
      <c r="HW71" s="755"/>
      <c r="HX71" s="755"/>
    </row>
    <row r="72" spans="1:232" ht="20" customHeight="1">
      <c r="A72" s="789" t="s">
        <v>154</v>
      </c>
      <c r="B72" s="755"/>
      <c r="C72" s="755" t="str">
        <f>IF(ISTEXT(IFERROR(VLOOKUP(A72,职业列表!I3:J10,1,FALSE),0)),"★","")</f>
        <v/>
      </c>
      <c r="D72" s="755"/>
      <c r="E72" s="755"/>
      <c r="F72" s="755"/>
      <c r="G72" s="755"/>
      <c r="H72" s="755"/>
      <c r="I72" s="755"/>
      <c r="J72" s="755"/>
      <c r="K72" s="755"/>
      <c r="L72" s="755"/>
      <c r="M72" s="755"/>
      <c r="N72" s="755"/>
      <c r="O72" s="755"/>
      <c r="P72" s="755"/>
      <c r="Q72" s="755"/>
      <c r="R72" s="755"/>
      <c r="S72" s="755"/>
      <c r="T72" s="755"/>
      <c r="U72" s="755"/>
      <c r="V72" s="755"/>
      <c r="W72" s="755"/>
      <c r="X72" s="755"/>
      <c r="Y72" s="755"/>
      <c r="Z72" s="755"/>
      <c r="AA72" s="755"/>
      <c r="AB72" s="755"/>
      <c r="AC72" s="755"/>
      <c r="AD72" s="755"/>
      <c r="AE72" s="755"/>
      <c r="AF72" s="755"/>
      <c r="AG72" s="755"/>
      <c r="AH72" s="755"/>
      <c r="AI72" s="755"/>
      <c r="AJ72" s="755"/>
      <c r="AK72" s="755"/>
      <c r="AL72" s="755"/>
      <c r="AM72" s="755"/>
      <c r="AN72" s="755"/>
      <c r="AO72" s="755"/>
      <c r="AP72" s="755"/>
      <c r="AQ72" s="755"/>
      <c r="AR72" s="755"/>
      <c r="AS72" s="755"/>
      <c r="AT72" s="755"/>
      <c r="AU72" s="755"/>
      <c r="AV72" s="755"/>
      <c r="AW72" s="755"/>
      <c r="AX72" s="755"/>
      <c r="AY72" s="755"/>
      <c r="AZ72" s="755"/>
      <c r="BA72" s="755"/>
      <c r="BB72" s="755"/>
      <c r="BC72" s="755"/>
      <c r="BD72" s="755"/>
      <c r="BE72" s="755"/>
      <c r="BF72" s="755"/>
      <c r="BG72" s="755"/>
      <c r="BH72" s="755"/>
      <c r="BI72" s="755"/>
      <c r="BJ72" s="755"/>
      <c r="BK72" s="755"/>
      <c r="BL72" s="755"/>
      <c r="BM72" s="755"/>
      <c r="BN72" s="755"/>
      <c r="BO72" s="755"/>
      <c r="BP72" s="755"/>
      <c r="BQ72" s="755"/>
      <c r="BR72" s="755"/>
      <c r="BS72" s="755"/>
      <c r="BT72" s="755"/>
      <c r="BU72" s="755"/>
      <c r="BV72" s="755"/>
      <c r="BW72" s="755"/>
      <c r="BX72" s="755"/>
      <c r="BY72" s="755"/>
      <c r="BZ72" s="755"/>
      <c r="CA72" s="755"/>
      <c r="CB72" s="755"/>
      <c r="CC72" s="755"/>
      <c r="CD72" s="755"/>
      <c r="CE72" s="755"/>
      <c r="CF72" s="755"/>
      <c r="CG72" s="755"/>
      <c r="CH72" s="755"/>
      <c r="CI72" s="755"/>
      <c r="CJ72" s="755"/>
      <c r="CK72" s="755"/>
      <c r="CL72" s="755"/>
      <c r="CM72" s="755"/>
      <c r="CN72" s="755"/>
      <c r="CO72" s="755"/>
      <c r="CP72" s="755"/>
      <c r="CQ72" s="755"/>
      <c r="CR72" s="755"/>
      <c r="CS72" s="755"/>
      <c r="CT72" s="755"/>
      <c r="CU72" s="755"/>
      <c r="CV72" s="755"/>
      <c r="CW72" s="755"/>
      <c r="CX72" s="755"/>
      <c r="CY72" s="755"/>
      <c r="CZ72" s="755"/>
      <c r="DA72" s="755"/>
      <c r="DB72" s="755"/>
      <c r="DC72" s="755"/>
      <c r="DD72" s="755"/>
      <c r="DE72" s="755"/>
      <c r="DF72" s="755"/>
      <c r="DG72" s="755"/>
      <c r="DH72" s="755"/>
      <c r="DI72" s="755"/>
      <c r="DJ72" s="755"/>
      <c r="DK72" s="755"/>
      <c r="DL72" s="755"/>
      <c r="DM72" s="755"/>
      <c r="DN72" s="755"/>
      <c r="DO72" s="755"/>
      <c r="DP72" s="755"/>
      <c r="DQ72" s="755"/>
      <c r="DR72" s="755"/>
      <c r="DS72" s="755"/>
      <c r="DT72" s="755"/>
      <c r="DU72" s="755"/>
      <c r="DV72" s="755"/>
      <c r="DW72" s="755"/>
      <c r="DX72" s="755"/>
      <c r="DY72" s="755"/>
      <c r="DZ72" s="755"/>
      <c r="EA72" s="755"/>
      <c r="EB72" s="755"/>
      <c r="EC72" s="755"/>
      <c r="ED72" s="755"/>
      <c r="EE72" s="755"/>
      <c r="EF72" s="755"/>
      <c r="EG72" s="755"/>
      <c r="EH72" s="755"/>
      <c r="EI72" s="755"/>
      <c r="EJ72" s="755"/>
      <c r="EK72" s="755"/>
      <c r="EL72" s="755"/>
      <c r="EM72" s="755"/>
      <c r="EN72" s="755"/>
      <c r="EO72" s="755"/>
      <c r="EP72" s="755"/>
      <c r="EQ72" s="755"/>
      <c r="ER72" s="755"/>
      <c r="ES72" s="755"/>
      <c r="ET72" s="755"/>
      <c r="EU72" s="755"/>
      <c r="EV72" s="755"/>
      <c r="EW72" s="755"/>
      <c r="EX72" s="755"/>
      <c r="EY72" s="755"/>
      <c r="EZ72" s="755"/>
      <c r="FA72" s="755"/>
      <c r="FB72" s="755"/>
      <c r="FC72" s="755"/>
      <c r="FD72" s="755"/>
      <c r="FE72" s="740" t="s">
        <v>93</v>
      </c>
      <c r="FF72" s="740" t="s">
        <v>93</v>
      </c>
      <c r="FG72" s="740" t="s">
        <v>93</v>
      </c>
      <c r="FH72" s="740" t="s">
        <v>93</v>
      </c>
      <c r="FI72" s="739"/>
      <c r="FJ72" s="740" t="s">
        <v>93</v>
      </c>
      <c r="FK72" s="740" t="s">
        <v>93</v>
      </c>
      <c r="FL72" s="740" t="s">
        <v>93</v>
      </c>
      <c r="FM72" s="755"/>
      <c r="FN72" s="755"/>
      <c r="FO72" s="755"/>
      <c r="FP72" s="755"/>
      <c r="FQ72" s="755"/>
      <c r="FR72" s="755"/>
      <c r="FS72" s="755"/>
      <c r="FT72" s="755"/>
      <c r="FU72" s="755"/>
      <c r="FV72" s="755"/>
      <c r="FW72" s="755"/>
      <c r="FX72" s="755"/>
      <c r="FY72" s="755"/>
      <c r="FZ72" s="755"/>
      <c r="GA72" s="755"/>
      <c r="GB72" s="755"/>
      <c r="GC72" s="755"/>
      <c r="GD72" s="755"/>
      <c r="GE72" s="755"/>
      <c r="GF72" s="755"/>
      <c r="GG72" s="755"/>
      <c r="GH72" s="755"/>
      <c r="GI72" s="755"/>
      <c r="GJ72" s="755"/>
      <c r="GK72" s="755"/>
      <c r="GL72" s="755"/>
      <c r="GM72" s="755"/>
      <c r="GN72" s="755"/>
      <c r="GO72" s="755"/>
      <c r="GP72" s="755"/>
      <c r="GQ72" s="755"/>
      <c r="GR72" s="755"/>
      <c r="GS72" s="755"/>
      <c r="GT72" s="755"/>
      <c r="GU72" s="755"/>
      <c r="GV72" s="755"/>
      <c r="GW72" s="755"/>
      <c r="GX72" s="755"/>
      <c r="GY72" s="755"/>
      <c r="GZ72" s="755"/>
      <c r="HA72" s="755"/>
      <c r="HB72" s="755"/>
      <c r="HC72" s="755"/>
      <c r="HD72" s="755"/>
      <c r="HE72" s="755"/>
      <c r="HF72" s="755"/>
      <c r="HG72" s="755"/>
      <c r="HH72" s="755"/>
      <c r="HI72" s="755"/>
      <c r="HJ72" s="755"/>
      <c r="HK72" s="755"/>
      <c r="HL72" s="755"/>
      <c r="HM72" s="755"/>
      <c r="HN72" s="755"/>
      <c r="HO72" s="755"/>
      <c r="HP72" s="755"/>
      <c r="HQ72" s="755"/>
      <c r="HR72" s="755"/>
      <c r="HS72" s="755"/>
      <c r="HT72" s="755"/>
      <c r="HU72" s="755"/>
      <c r="HV72" s="755"/>
      <c r="HW72" s="755"/>
      <c r="HX72" s="755"/>
    </row>
    <row r="73" spans="1:232" ht="20" customHeight="1">
      <c r="A73" s="790" t="str">
        <f>人物卡!AB48</f>
        <v>自定义技能</v>
      </c>
      <c r="B73" s="755"/>
      <c r="C73" s="755" t="str">
        <f>IF(ISTEXT(IFERROR(VLOOKUP(A73,职业列表!I3:J10,1,FALSE),0)),"★","")</f>
        <v/>
      </c>
      <c r="D73" s="755"/>
      <c r="E73" s="755"/>
      <c r="F73" s="755"/>
      <c r="G73" s="755"/>
      <c r="H73" s="755"/>
      <c r="I73" s="755"/>
      <c r="J73" s="755"/>
      <c r="K73" s="755"/>
      <c r="L73" s="755"/>
      <c r="M73" s="755"/>
      <c r="N73" s="755"/>
      <c r="O73" s="755"/>
      <c r="P73" s="755"/>
      <c r="Q73" s="755"/>
      <c r="R73" s="755"/>
      <c r="S73" s="755"/>
      <c r="T73" s="755"/>
      <c r="U73" s="755"/>
      <c r="V73" s="755"/>
      <c r="W73" s="755"/>
      <c r="X73" s="755"/>
      <c r="Y73" s="755"/>
      <c r="Z73" s="755"/>
      <c r="AA73" s="755"/>
      <c r="AB73" s="755"/>
      <c r="AC73" s="755"/>
      <c r="AD73" s="755"/>
      <c r="AE73" s="755"/>
      <c r="AF73" s="755"/>
      <c r="AG73" s="755"/>
      <c r="AH73" s="755"/>
      <c r="AI73" s="755"/>
      <c r="AJ73" s="755"/>
      <c r="AK73" s="755"/>
      <c r="AL73" s="755"/>
      <c r="AM73" s="755"/>
      <c r="AN73" s="755"/>
      <c r="AO73" s="755"/>
      <c r="AP73" s="755"/>
      <c r="AQ73" s="755"/>
      <c r="AR73" s="755"/>
      <c r="AS73" s="755"/>
      <c r="AT73" s="755"/>
      <c r="AU73" s="755"/>
      <c r="AV73" s="755"/>
      <c r="AW73" s="755"/>
      <c r="AX73" s="755"/>
      <c r="AY73" s="755"/>
      <c r="AZ73" s="755"/>
      <c r="BA73" s="755"/>
      <c r="BB73" s="755"/>
      <c r="BC73" s="755"/>
      <c r="BD73" s="755"/>
      <c r="BE73" s="755"/>
      <c r="BF73" s="755"/>
      <c r="BG73" s="755"/>
      <c r="BH73" s="755"/>
      <c r="BI73" s="755"/>
      <c r="BJ73" s="755"/>
      <c r="BK73" s="755"/>
      <c r="BL73" s="755"/>
      <c r="BM73" s="755"/>
      <c r="BN73" s="755"/>
      <c r="BO73" s="755"/>
      <c r="BP73" s="755"/>
      <c r="BQ73" s="755"/>
      <c r="BR73" s="755"/>
      <c r="BS73" s="755"/>
      <c r="BT73" s="755"/>
      <c r="BU73" s="755"/>
      <c r="BV73" s="755"/>
      <c r="BW73" s="755"/>
      <c r="BX73" s="755"/>
      <c r="BY73" s="755"/>
      <c r="BZ73" s="755"/>
      <c r="CA73" s="755"/>
      <c r="CB73" s="755"/>
      <c r="CC73" s="755"/>
      <c r="CD73" s="755"/>
      <c r="CE73" s="755"/>
      <c r="CF73" s="755"/>
      <c r="CG73" s="755"/>
      <c r="CH73" s="755"/>
      <c r="CI73" s="755"/>
      <c r="CJ73" s="755"/>
      <c r="CK73" s="755"/>
      <c r="CL73" s="755"/>
      <c r="CM73" s="755"/>
      <c r="CN73" s="755"/>
      <c r="CO73" s="755"/>
      <c r="CP73" s="755"/>
      <c r="CQ73" s="755"/>
      <c r="CR73" s="755"/>
      <c r="CS73" s="755"/>
      <c r="CT73" s="755"/>
      <c r="CU73" s="755"/>
      <c r="CV73" s="755"/>
      <c r="CW73" s="755"/>
      <c r="CX73" s="755"/>
      <c r="CY73" s="755"/>
      <c r="CZ73" s="755"/>
      <c r="DA73" s="755"/>
      <c r="DB73" s="755"/>
      <c r="DC73" s="755"/>
      <c r="DD73" s="755"/>
      <c r="DE73" s="755"/>
      <c r="DF73" s="755"/>
      <c r="DG73" s="755"/>
      <c r="DH73" s="755"/>
      <c r="DI73" s="755"/>
      <c r="DJ73" s="755"/>
      <c r="DK73" s="755"/>
      <c r="DL73" s="755"/>
      <c r="DM73" s="755"/>
      <c r="DN73" s="755"/>
      <c r="DO73" s="755"/>
      <c r="DP73" s="755"/>
      <c r="DQ73" s="755"/>
      <c r="DR73" s="755"/>
      <c r="DS73" s="755"/>
      <c r="DT73" s="755"/>
      <c r="DU73" s="755"/>
      <c r="DV73" s="755"/>
      <c r="DW73" s="755"/>
      <c r="DX73" s="755"/>
      <c r="DY73" s="755"/>
      <c r="DZ73" s="755"/>
      <c r="EA73" s="755"/>
      <c r="EB73" s="755"/>
      <c r="EC73" s="755"/>
      <c r="ED73" s="755"/>
      <c r="EE73" s="755"/>
      <c r="EF73" s="755"/>
      <c r="EG73" s="755"/>
      <c r="EH73" s="755"/>
      <c r="EI73" s="755"/>
      <c r="EJ73" s="755"/>
      <c r="EK73" s="755"/>
      <c r="EL73" s="755"/>
      <c r="EM73" s="755"/>
      <c r="EN73" s="755"/>
      <c r="EO73" s="755"/>
      <c r="EP73" s="755"/>
      <c r="EQ73" s="755"/>
      <c r="ER73" s="755"/>
      <c r="ES73" s="755"/>
      <c r="ET73" s="755"/>
      <c r="EU73" s="755"/>
      <c r="EV73" s="755"/>
      <c r="EW73" s="755"/>
      <c r="EX73" s="755"/>
      <c r="EY73" s="755"/>
      <c r="EZ73" s="755"/>
      <c r="FA73" s="755"/>
      <c r="FB73" s="755"/>
      <c r="FC73" s="755"/>
      <c r="FD73" s="755"/>
      <c r="FE73" s="755"/>
      <c r="FF73" s="755"/>
      <c r="FG73" s="755"/>
      <c r="FH73" s="755"/>
      <c r="FI73" s="755"/>
      <c r="FJ73" s="755"/>
      <c r="FK73" s="755"/>
      <c r="FL73" s="755"/>
      <c r="FM73" s="755"/>
      <c r="FN73" s="755"/>
      <c r="FO73" s="755"/>
      <c r="FP73" s="755"/>
      <c r="FQ73" s="755"/>
      <c r="FR73" s="755"/>
      <c r="FS73" s="755"/>
      <c r="FT73" s="755"/>
      <c r="FU73" s="755"/>
      <c r="FV73" s="755"/>
      <c r="FW73" s="755"/>
      <c r="FX73" s="755"/>
      <c r="FY73" s="755"/>
      <c r="FZ73" s="755"/>
      <c r="GA73" s="755"/>
      <c r="GB73" s="755"/>
      <c r="GC73" s="755"/>
      <c r="GD73" s="755"/>
      <c r="GE73" s="755"/>
      <c r="GF73" s="755"/>
      <c r="GG73" s="755"/>
      <c r="GH73" s="755"/>
      <c r="GI73" s="755"/>
      <c r="GJ73" s="755"/>
      <c r="GK73" s="755"/>
      <c r="GL73" s="755"/>
      <c r="GM73" s="755"/>
      <c r="GN73" s="755"/>
      <c r="GO73" s="755"/>
      <c r="GP73" s="755"/>
      <c r="GQ73" s="755"/>
      <c r="GR73" s="755"/>
      <c r="GS73" s="755"/>
      <c r="GT73" s="755"/>
      <c r="GU73" s="755"/>
      <c r="GV73" s="755"/>
      <c r="GW73" s="755"/>
      <c r="GX73" s="755"/>
      <c r="GY73" s="755"/>
      <c r="GZ73" s="755"/>
      <c r="HA73" s="755"/>
      <c r="HB73" s="755"/>
      <c r="HC73" s="755"/>
      <c r="HD73" s="755"/>
      <c r="HE73" s="755"/>
      <c r="HF73" s="755"/>
      <c r="HG73" s="755"/>
      <c r="HH73" s="755"/>
      <c r="HI73" s="755"/>
      <c r="HJ73" s="755"/>
      <c r="HK73" s="755"/>
      <c r="HL73" s="755"/>
      <c r="HM73" s="755"/>
      <c r="HN73" s="755"/>
      <c r="HO73" s="755"/>
      <c r="HP73" s="755"/>
      <c r="HQ73" s="755"/>
      <c r="HR73" s="755"/>
      <c r="HS73" s="755"/>
      <c r="HT73" s="755"/>
      <c r="HU73" s="755"/>
      <c r="HV73" s="755"/>
      <c r="HW73" s="755"/>
      <c r="HX73" s="755"/>
    </row>
    <row r="74" spans="1:232" ht="20" customHeight="1">
      <c r="A74" s="754">
        <f>人物卡!AB49</f>
        <v>0</v>
      </c>
      <c r="B74" s="755"/>
      <c r="C74" s="755" t="str">
        <f>IF(ISTEXT(IFERROR(VLOOKUP(A74,职业列表!I3:J10,1,FALSE),0)),"★","")</f>
        <v/>
      </c>
      <c r="D74" s="755"/>
      <c r="E74" s="755"/>
      <c r="F74" s="755"/>
      <c r="G74" s="755"/>
      <c r="H74" s="755"/>
      <c r="I74" s="755"/>
      <c r="J74" s="755"/>
      <c r="K74" s="755"/>
      <c r="L74" s="755"/>
      <c r="M74" s="755"/>
      <c r="N74" s="755"/>
      <c r="O74" s="755"/>
      <c r="P74" s="755"/>
      <c r="Q74" s="755"/>
      <c r="R74" s="755"/>
      <c r="S74" s="755"/>
      <c r="T74" s="755"/>
      <c r="U74" s="755"/>
      <c r="V74" s="755"/>
      <c r="W74" s="755"/>
      <c r="X74" s="755"/>
      <c r="Y74" s="755"/>
      <c r="Z74" s="755"/>
      <c r="AA74" s="755"/>
      <c r="AB74" s="755"/>
      <c r="AC74" s="755"/>
      <c r="AD74" s="755"/>
      <c r="AE74" s="755"/>
      <c r="AF74" s="755"/>
      <c r="AG74" s="755"/>
      <c r="AH74" s="755"/>
      <c r="AI74" s="755"/>
      <c r="AJ74" s="755"/>
      <c r="AK74" s="755"/>
      <c r="AL74" s="755"/>
      <c r="AM74" s="755"/>
      <c r="AN74" s="755"/>
      <c r="AO74" s="755"/>
      <c r="AP74" s="755"/>
      <c r="AQ74" s="755"/>
      <c r="AR74" s="755"/>
      <c r="AS74" s="755"/>
      <c r="AT74" s="755"/>
      <c r="AU74" s="755"/>
      <c r="AV74" s="755"/>
      <c r="AW74" s="755"/>
      <c r="AX74" s="755"/>
      <c r="AY74" s="755"/>
      <c r="AZ74" s="755"/>
      <c r="BA74" s="755"/>
      <c r="BB74" s="755"/>
      <c r="BC74" s="755"/>
      <c r="BD74" s="755"/>
      <c r="BE74" s="755"/>
      <c r="BF74" s="755"/>
      <c r="BG74" s="755"/>
      <c r="BH74" s="755"/>
      <c r="BI74" s="755"/>
      <c r="BJ74" s="755"/>
      <c r="BK74" s="755"/>
      <c r="BL74" s="755"/>
      <c r="BM74" s="755"/>
      <c r="BN74" s="755"/>
      <c r="BO74" s="755"/>
      <c r="BP74" s="755"/>
      <c r="BQ74" s="755"/>
      <c r="BR74" s="755"/>
      <c r="BS74" s="755"/>
      <c r="BT74" s="755"/>
      <c r="BU74" s="755"/>
      <c r="BV74" s="755"/>
      <c r="BW74" s="755"/>
      <c r="BX74" s="755"/>
      <c r="BY74" s="755"/>
      <c r="BZ74" s="755"/>
      <c r="CA74" s="755"/>
      <c r="CB74" s="755"/>
      <c r="CC74" s="755"/>
      <c r="CD74" s="755"/>
      <c r="CE74" s="755"/>
      <c r="CF74" s="755"/>
      <c r="CG74" s="755"/>
      <c r="CH74" s="755"/>
      <c r="CI74" s="755"/>
      <c r="CJ74" s="755"/>
      <c r="CK74" s="755"/>
      <c r="CL74" s="755"/>
      <c r="CM74" s="755"/>
      <c r="CN74" s="755"/>
      <c r="CO74" s="755"/>
      <c r="CP74" s="755"/>
      <c r="CQ74" s="755"/>
      <c r="CR74" s="755"/>
      <c r="CS74" s="755"/>
      <c r="CT74" s="755"/>
      <c r="CU74" s="755"/>
      <c r="CV74" s="755"/>
      <c r="CW74" s="755"/>
      <c r="CX74" s="755"/>
      <c r="CY74" s="755"/>
      <c r="CZ74" s="755"/>
      <c r="DA74" s="755"/>
      <c r="DB74" s="755"/>
      <c r="DC74" s="755"/>
      <c r="DD74" s="755"/>
      <c r="DE74" s="755"/>
      <c r="DF74" s="755"/>
      <c r="DG74" s="755"/>
      <c r="DH74" s="755"/>
      <c r="DI74" s="755"/>
      <c r="DJ74" s="755"/>
      <c r="DK74" s="755"/>
      <c r="DL74" s="755"/>
      <c r="DM74" s="755"/>
      <c r="DN74" s="755"/>
      <c r="DO74" s="755"/>
      <c r="DP74" s="755"/>
      <c r="DQ74" s="755"/>
      <c r="DR74" s="755"/>
      <c r="DS74" s="755"/>
      <c r="DT74" s="755"/>
      <c r="DU74" s="755"/>
      <c r="DV74" s="755"/>
      <c r="DW74" s="755"/>
      <c r="DX74" s="755"/>
      <c r="DY74" s="755"/>
      <c r="DZ74" s="755"/>
      <c r="EA74" s="755"/>
      <c r="EB74" s="755"/>
      <c r="EC74" s="755"/>
      <c r="ED74" s="755"/>
      <c r="EE74" s="755"/>
      <c r="EF74" s="755"/>
      <c r="EG74" s="755"/>
      <c r="EH74" s="755"/>
      <c r="EI74" s="755"/>
      <c r="EJ74" s="755"/>
      <c r="EK74" s="755"/>
      <c r="EL74" s="755"/>
      <c r="EM74" s="755"/>
      <c r="EN74" s="755"/>
      <c r="EO74" s="755"/>
      <c r="EP74" s="755"/>
      <c r="EQ74" s="755"/>
      <c r="ER74" s="755"/>
      <c r="ES74" s="755"/>
      <c r="ET74" s="755"/>
      <c r="EU74" s="755"/>
      <c r="EV74" s="755"/>
      <c r="EW74" s="755"/>
      <c r="EX74" s="755"/>
      <c r="EY74" s="755"/>
      <c r="EZ74" s="755"/>
      <c r="FA74" s="755"/>
      <c r="FB74" s="755"/>
      <c r="FC74" s="755"/>
      <c r="FD74" s="755"/>
      <c r="FE74" s="755"/>
      <c r="FF74" s="755"/>
      <c r="FG74" s="755"/>
      <c r="FH74" s="755"/>
      <c r="FI74" s="755"/>
      <c r="FJ74" s="755"/>
      <c r="FK74" s="755"/>
      <c r="FL74" s="755"/>
      <c r="FM74" s="755"/>
      <c r="FN74" s="755"/>
      <c r="FO74" s="755"/>
      <c r="FP74" s="755"/>
      <c r="FQ74" s="755"/>
      <c r="FR74" s="755"/>
      <c r="FS74" s="755"/>
      <c r="FT74" s="755"/>
      <c r="FU74" s="755"/>
      <c r="FV74" s="755"/>
      <c r="FW74" s="755"/>
      <c r="FX74" s="755"/>
      <c r="FY74" s="755"/>
      <c r="FZ74" s="755"/>
      <c r="GA74" s="755"/>
      <c r="GB74" s="755"/>
      <c r="GC74" s="755"/>
      <c r="GD74" s="755"/>
      <c r="GE74" s="755"/>
      <c r="GF74" s="755"/>
      <c r="GG74" s="755"/>
      <c r="GH74" s="755"/>
      <c r="GI74" s="755"/>
      <c r="GJ74" s="755"/>
      <c r="GK74" s="755"/>
      <c r="GL74" s="755"/>
      <c r="GM74" s="755"/>
      <c r="GN74" s="755"/>
      <c r="GO74" s="755"/>
      <c r="GP74" s="755"/>
      <c r="GQ74" s="755"/>
      <c r="GR74" s="755"/>
      <c r="GS74" s="755"/>
      <c r="GT74" s="755"/>
      <c r="GU74" s="755"/>
      <c r="GV74" s="755"/>
      <c r="GW74" s="755"/>
      <c r="GX74" s="755"/>
      <c r="GY74" s="755"/>
      <c r="GZ74" s="755"/>
      <c r="HA74" s="755"/>
      <c r="HB74" s="755"/>
      <c r="HC74" s="755"/>
      <c r="HD74" s="755"/>
      <c r="HE74" s="755"/>
      <c r="HF74" s="755"/>
      <c r="HG74" s="755"/>
      <c r="HH74" s="755"/>
      <c r="HI74" s="755"/>
      <c r="HJ74" s="755"/>
      <c r="HK74" s="755"/>
      <c r="HL74" s="755"/>
      <c r="HM74" s="755"/>
      <c r="HN74" s="755"/>
      <c r="HO74" s="755"/>
      <c r="HP74" s="755"/>
      <c r="HQ74" s="755"/>
      <c r="HR74" s="755"/>
      <c r="HS74" s="755"/>
      <c r="HT74" s="755"/>
      <c r="HU74" s="755"/>
      <c r="HV74" s="755"/>
      <c r="HW74" s="755"/>
      <c r="HX74" s="755"/>
    </row>
    <row r="75" spans="1:232" ht="20" customHeight="1">
      <c r="A75" s="385"/>
    </row>
    <row r="76" spans="1:232" ht="15"/>
  </sheetData>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492"/>
  <sheetViews>
    <sheetView workbookViewId="0">
      <selection activeCell="Q3" sqref="Q3"/>
    </sheetView>
  </sheetViews>
  <sheetFormatPr baseColWidth="10" defaultColWidth="9" defaultRowHeight="16"/>
  <cols>
    <col min="1" max="3" width="9" style="481" customWidth="1"/>
    <col min="4" max="4" width="11.33203125" style="481" customWidth="1"/>
    <col min="5" max="5" width="8.83203125" style="481" customWidth="1"/>
    <col min="6" max="6" width="9.6640625" style="481" customWidth="1"/>
    <col min="7" max="7" width="11.1640625" style="481" customWidth="1"/>
    <col min="8" max="8" width="10.1640625" style="481" customWidth="1"/>
    <col min="9" max="9" width="9" style="481" customWidth="1"/>
    <col min="10" max="10" width="9.1640625" style="481" customWidth="1"/>
    <col min="11" max="11" width="12.33203125" style="481" customWidth="1"/>
    <col min="12" max="26" width="9" style="481" customWidth="1"/>
    <col min="27" max="27" width="9.83203125" style="481" customWidth="1"/>
    <col min="28" max="29" width="9" style="481" customWidth="1"/>
    <col min="30" max="30" width="13.5" style="481" customWidth="1"/>
    <col min="31" max="31" width="10.6640625" style="481" customWidth="1"/>
    <col min="32" max="34" width="17.83203125" style="481" customWidth="1"/>
    <col min="35" max="37" width="14.6640625" style="481" customWidth="1"/>
    <col min="38" max="40" width="15.83203125" style="481" customWidth="1"/>
    <col min="41" max="41" width="37.6640625" style="481" customWidth="1"/>
    <col min="42" max="42" width="26.1640625" style="481" customWidth="1"/>
    <col min="43" max="43" width="10.1640625" style="481" customWidth="1"/>
    <col min="44" max="44" width="10.83203125" style="481" customWidth="1"/>
    <col min="45" max="45" width="16" style="481" customWidth="1"/>
    <col min="46" max="51" width="9" style="481" customWidth="1"/>
    <col min="52" max="52" width="14" style="481" customWidth="1"/>
    <col min="53" max="53" width="17.83203125" style="481" customWidth="1"/>
    <col min="54" max="54" width="19.6640625" style="481" customWidth="1"/>
  </cols>
  <sheetData>
    <row r="1" spans="1:53">
      <c r="AJ1" s="1985" t="s">
        <v>477</v>
      </c>
      <c r="AK1" s="1985"/>
      <c r="AL1" s="1985"/>
    </row>
    <row r="2" spans="1:53">
      <c r="B2" s="1986" t="s">
        <v>1426</v>
      </c>
      <c r="C2" s="1791"/>
      <c r="D2" s="1791"/>
      <c r="E2" s="1791"/>
      <c r="S2" s="1354" t="s">
        <v>1353</v>
      </c>
      <c r="T2" s="1722"/>
      <c r="U2" s="1722"/>
      <c r="V2" s="1722"/>
      <c r="W2" s="1722"/>
      <c r="X2" s="1722"/>
      <c r="Y2" s="1722"/>
      <c r="Z2" s="1722"/>
      <c r="AA2" s="1722"/>
      <c r="AB2" s="1722"/>
      <c r="AC2" s="1722"/>
      <c r="AD2" s="1722"/>
      <c r="AE2" s="1722"/>
      <c r="AF2" s="1722"/>
      <c r="AG2" s="1722"/>
      <c r="AH2" s="1722"/>
      <c r="AI2" s="1723"/>
    </row>
    <row r="3" spans="1:53" ht="18">
      <c r="A3" s="2023" t="s">
        <v>1427</v>
      </c>
      <c r="B3" s="2025" t="s">
        <v>1428</v>
      </c>
      <c r="C3" s="2027" t="s">
        <v>1429</v>
      </c>
      <c r="D3" s="482" t="s">
        <v>1430</v>
      </c>
      <c r="E3" s="509">
        <f>G14-I14</f>
        <v>20</v>
      </c>
      <c r="G3" s="510" t="s">
        <v>1431</v>
      </c>
      <c r="H3" s="500" t="s">
        <v>1432</v>
      </c>
      <c r="I3" s="500" t="s">
        <v>1433</v>
      </c>
      <c r="J3" s="500" t="s">
        <v>1434</v>
      </c>
      <c r="K3" s="500"/>
      <c r="L3" s="525"/>
      <c r="N3" s="1354" t="s">
        <v>1435</v>
      </c>
      <c r="O3" s="1722"/>
      <c r="P3" s="1723"/>
      <c r="S3" s="554" t="s">
        <v>482</v>
      </c>
      <c r="T3" s="555" t="s">
        <v>1436</v>
      </c>
      <c r="U3" s="562" t="s">
        <v>484</v>
      </c>
      <c r="V3" s="563" t="s">
        <v>1437</v>
      </c>
      <c r="W3" s="563"/>
      <c r="X3" s="563"/>
      <c r="Y3" s="563"/>
      <c r="Z3" s="565"/>
      <c r="AA3" s="565"/>
      <c r="AB3" s="565"/>
      <c r="AD3" s="565"/>
      <c r="AE3" s="565"/>
      <c r="AF3" s="565"/>
      <c r="AI3" s="526"/>
    </row>
    <row r="4" spans="1:53" ht="18">
      <c r="A4" s="2024"/>
      <c r="B4" s="2026"/>
      <c r="C4" s="2028"/>
      <c r="D4" s="484" t="s">
        <v>1438</v>
      </c>
      <c r="E4" s="351">
        <f>J14-I14</f>
        <v>-30</v>
      </c>
      <c r="G4" s="492" t="s">
        <v>1439</v>
      </c>
      <c r="H4" s="481" t="s">
        <v>1440</v>
      </c>
      <c r="I4" s="481" t="s">
        <v>1441</v>
      </c>
      <c r="J4" s="481" t="s">
        <v>1442</v>
      </c>
      <c r="K4" s="481" t="s">
        <v>1443</v>
      </c>
      <c r="L4" s="526" t="s">
        <v>1444</v>
      </c>
      <c r="N4" s="492" t="s">
        <v>1445</v>
      </c>
      <c r="P4" s="526"/>
      <c r="S4" s="556" t="str">
        <f>"力量×"&amp;U4</f>
        <v>力量×0</v>
      </c>
      <c r="T4" s="557" t="str">
        <f>职业列表!I15</f>
        <v>×</v>
      </c>
      <c r="U4" s="564">
        <f>职业列表!J15</f>
        <v>0</v>
      </c>
      <c r="V4" s="565">
        <f>G14*U4</f>
        <v>0</v>
      </c>
      <c r="W4" s="565"/>
      <c r="X4" s="566" t="str">
        <f t="shared" ref="X4:X12" si="0">IF(U4&gt;0,S4,"")</f>
        <v/>
      </c>
      <c r="Y4" s="581" t="str">
        <f t="shared" ref="Y4:Y11" si="1">IF(AND(U5&gt;0,U4&gt;0),"+","")</f>
        <v/>
      </c>
      <c r="Z4" s="565" t="str">
        <f>IF(U5&gt;0,S5,"")</f>
        <v/>
      </c>
      <c r="AA4" s="582"/>
      <c r="AC4" s="582"/>
      <c r="AD4" s="582"/>
      <c r="AE4" s="582"/>
      <c r="AF4" s="582"/>
      <c r="AI4" s="526"/>
      <c r="AK4" s="568"/>
    </row>
    <row r="5" spans="1:53" ht="18">
      <c r="A5" s="485">
        <f>IF(人物卡!AI12="开",1,IF(人物卡!AI12="关",0))</f>
        <v>0</v>
      </c>
      <c r="B5" s="339">
        <f>IF(人物卡!AN12=0,"0",VLOOKUP(人物卡!AN12,'防具表 载具表'!B2:I101,3,FALSE))</f>
        <v>0</v>
      </c>
      <c r="C5" s="484">
        <f>IF(人物卡!E6&lt;40,0,INT((人物卡!E6/10)-3))</f>
        <v>0</v>
      </c>
      <c r="D5" s="484" t="s">
        <v>1446</v>
      </c>
      <c r="E5" s="351" t="str">
        <f>IF(E3&gt;0,"1",IF(E3=0,"0",IF(E3&lt;0,"-1")))</f>
        <v>1</v>
      </c>
      <c r="G5" s="492">
        <f>AVERAGE(人物卡!AA7+人物卡!R16+人物卡!R17+人物卡!R18+人物卡!R19+人物卡!R25+人物卡!R27+人物卡!R46+人物卡!R47+人物卡!R48+人物卡!AN17+人物卡!AN18+人物卡!AN22+人物卡!AN24+人物卡!AN28+人物卡!AN29+人物卡!AN35+人物卡!AN40+人物卡!AN44-122)</f>
        <v>273</v>
      </c>
      <c r="H5" s="481">
        <f>AVERAGE(人物卡!AA5+人物卡!R17+人物卡!R18+人物卡!R23+人物卡!R26+人物卡!R28+人物卡!R33+人物卡!R44+人物卡!R46+人物卡!R47+人物卡!R48+人物卡!R49+人物卡!AN16+人物卡!AN26+人物卡!AN28+人物卡!AN29+人物卡!AN35+人物卡!AN40+人物卡!AN44-111-人物卡!J49)</f>
        <v>312</v>
      </c>
      <c r="I5" s="481">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437</v>
      </c>
      <c r="J5" s="481">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120</v>
      </c>
      <c r="K5" s="481">
        <f>AVERAGE(人物卡!R42+人物卡!AN21+人物卡!AN28+人物卡!R30+人物卡!AN27+人物卡!AN30+人物卡!AN23+人物卡!R26+人物卡!R17+人物卡!AN41+人物卡!AN45+人物卡!AN46-76)</f>
        <v>50</v>
      </c>
      <c r="L5" s="526">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224</v>
      </c>
      <c r="N5" s="492">
        <f>G14+I14</f>
        <v>160</v>
      </c>
      <c r="P5" s="526"/>
      <c r="R5" s="558"/>
      <c r="S5" s="556" t="str">
        <f>"敏捷×"&amp;U5</f>
        <v>敏捷×0</v>
      </c>
      <c r="T5" s="557" t="str">
        <f>职业列表!I16</f>
        <v>×</v>
      </c>
      <c r="U5" s="564">
        <f>职业列表!J16</f>
        <v>0</v>
      </c>
      <c r="V5" s="565">
        <f>J14*U5</f>
        <v>0</v>
      </c>
      <c r="W5" s="565"/>
      <c r="X5" s="492"/>
      <c r="Y5" s="581" t="str">
        <f t="shared" si="1"/>
        <v/>
      </c>
      <c r="Z5" s="565"/>
      <c r="AA5" s="565"/>
      <c r="AB5" s="565"/>
      <c r="AD5" s="565"/>
      <c r="AE5" s="565"/>
      <c r="AF5" s="565"/>
      <c r="AI5" s="526"/>
      <c r="AK5" s="568"/>
    </row>
    <row r="6" spans="1:53" ht="51">
      <c r="A6" s="486"/>
      <c r="B6" s="483" t="s">
        <v>1447</v>
      </c>
      <c r="C6" s="487" t="s">
        <v>1448</v>
      </c>
      <c r="D6" s="484" t="s">
        <v>1449</v>
      </c>
      <c r="E6" s="351" t="str">
        <f>IF(E4&gt;0,"1",IF(E4=0,"0",IF(E4&lt;0,"-1")))</f>
        <v>-1</v>
      </c>
      <c r="G6" s="492"/>
      <c r="J6" s="481">
        <f>G5+H5+I5+J5+K5+L5</f>
        <v>1416</v>
      </c>
      <c r="L6" s="526"/>
      <c r="N6" s="483" t="s">
        <v>1450</v>
      </c>
      <c r="O6" s="343" t="s">
        <v>1451</v>
      </c>
      <c r="P6" s="542" t="s">
        <v>1452</v>
      </c>
      <c r="R6" s="558" t="s">
        <v>491</v>
      </c>
      <c r="S6" s="556" t="str">
        <f>"体质×"&amp;U6</f>
        <v>体质×0</v>
      </c>
      <c r="T6" s="557" t="str">
        <f>职业列表!I17</f>
        <v>×</v>
      </c>
      <c r="U6" s="564">
        <f>职业列表!J17</f>
        <v>0</v>
      </c>
      <c r="V6" s="565">
        <f>H14*U6</f>
        <v>0</v>
      </c>
      <c r="W6" s="565"/>
      <c r="X6" s="567" t="str">
        <f t="shared" si="0"/>
        <v/>
      </c>
      <c r="Y6" s="581" t="str">
        <f t="shared" si="1"/>
        <v/>
      </c>
      <c r="Z6" s="565"/>
      <c r="AA6" s="565"/>
      <c r="AB6" s="565"/>
      <c r="AC6" s="588"/>
      <c r="AD6" s="565"/>
      <c r="AE6" s="565"/>
      <c r="AF6" s="565"/>
      <c r="AI6" s="526"/>
      <c r="AK6" s="568"/>
    </row>
    <row r="7" spans="1:53" ht="18">
      <c r="A7" s="486"/>
      <c r="B7" s="483" t="b">
        <f>ISNUMBER(B5)</f>
        <v>1</v>
      </c>
      <c r="C7" s="488">
        <f>IF(ISBLANK(人物卡!E6),0,IF(人物卡!E6&gt;=0,C5,0))</f>
        <v>0</v>
      </c>
      <c r="D7" s="484" t="s">
        <v>1453</v>
      </c>
      <c r="E7" s="351">
        <f>E6+E5</f>
        <v>0</v>
      </c>
      <c r="G7" s="492" t="s">
        <v>1439</v>
      </c>
      <c r="H7" s="481" t="s">
        <v>1440</v>
      </c>
      <c r="I7" s="481" t="s">
        <v>1441</v>
      </c>
      <c r="J7" s="481" t="s">
        <v>1442</v>
      </c>
      <c r="K7" s="481" t="s">
        <v>1443</v>
      </c>
      <c r="L7" s="526" t="s">
        <v>1444</v>
      </c>
      <c r="N7" s="339" t="str">
        <f>IF(N5&lt;=1,"0",IF(N5&lt;=64,"-2",IF(N5&lt;=84,"-1",IF(N5&lt;=124,"0",IF(N5&lt;=164,"1",IF(N5&lt;=204,"2",IF(N5&lt;=284,"3",IF(N5&gt;284,"4","0"))))))))</f>
        <v>1</v>
      </c>
      <c r="O7" s="340">
        <f>INT((N5-285)/80)</f>
        <v>-2</v>
      </c>
      <c r="P7" s="542" t="str">
        <f>IF(O7&gt;=0,O7+N7,N7)</f>
        <v>1</v>
      </c>
      <c r="R7" s="558" t="s">
        <v>522</v>
      </c>
      <c r="S7" s="556" t="str">
        <f>"体型×"&amp;U7</f>
        <v>体型×0</v>
      </c>
      <c r="T7" s="557" t="str">
        <f>职业列表!I18</f>
        <v>×</v>
      </c>
      <c r="U7" s="564">
        <f>职业列表!J18</f>
        <v>0</v>
      </c>
      <c r="V7" s="565">
        <f>I14*U7</f>
        <v>0</v>
      </c>
      <c r="W7" s="568"/>
      <c r="X7" s="567" t="str">
        <f t="shared" si="0"/>
        <v/>
      </c>
      <c r="Y7" s="581" t="str">
        <f t="shared" si="1"/>
        <v/>
      </c>
      <c r="Z7" s="565"/>
      <c r="AA7" s="565"/>
      <c r="AB7" s="565"/>
      <c r="AC7" s="588"/>
      <c r="AD7" s="565"/>
      <c r="AE7" s="565"/>
      <c r="AF7" s="565"/>
      <c r="AI7" s="526"/>
      <c r="AK7" s="568"/>
    </row>
    <row r="8" spans="1:53" ht="34">
      <c r="A8" s="485"/>
      <c r="B8" s="489" t="s">
        <v>1454</v>
      </c>
      <c r="C8" s="342">
        <f>IF(B7=FALSE,"0",IF(A5=1,B5,0))</f>
        <v>0</v>
      </c>
      <c r="D8" s="490" t="s">
        <v>1455</v>
      </c>
      <c r="E8" s="352">
        <f>IF(E7=2,"1",IF(E7=-2,"-1",0))</f>
        <v>0</v>
      </c>
      <c r="G8" s="495">
        <f>G5/J6</f>
        <v>0.19279661016949154</v>
      </c>
      <c r="H8" s="497">
        <f>H5/J6</f>
        <v>0.22033898305084745</v>
      </c>
      <c r="I8" s="497">
        <f>I5/J6</f>
        <v>0.30861581920903952</v>
      </c>
      <c r="J8" s="497">
        <f>J5/J6</f>
        <v>8.4745762711864403E-2</v>
      </c>
      <c r="K8" s="497">
        <f>K5/J6</f>
        <v>3.5310734463276837E-2</v>
      </c>
      <c r="L8" s="527">
        <f>L5/J6</f>
        <v>0.15819209039548024</v>
      </c>
      <c r="N8" s="483" t="s">
        <v>1456</v>
      </c>
      <c r="O8" s="343" t="s">
        <v>1457</v>
      </c>
      <c r="P8" s="542" t="s">
        <v>1458</v>
      </c>
      <c r="R8" s="558"/>
      <c r="S8" s="556" t="str">
        <f>"外貌×"&amp;U8</f>
        <v>外貌×0</v>
      </c>
      <c r="T8" s="557" t="str">
        <f>职业列表!I19</f>
        <v>×</v>
      </c>
      <c r="U8" s="564">
        <f>职业列表!J19</f>
        <v>0</v>
      </c>
      <c r="V8" s="565">
        <f>K14*U8</f>
        <v>0</v>
      </c>
      <c r="W8" s="565"/>
      <c r="X8" s="567" t="str">
        <f t="shared" si="0"/>
        <v/>
      </c>
      <c r="Y8" s="581" t="str">
        <f t="shared" si="1"/>
        <v/>
      </c>
      <c r="Z8" s="565"/>
      <c r="AA8" s="565"/>
      <c r="AC8" s="588"/>
      <c r="AD8" s="565"/>
      <c r="AE8" s="565"/>
      <c r="AF8" s="565"/>
      <c r="AI8" s="526"/>
      <c r="AK8" s="568"/>
    </row>
    <row r="9" spans="1:53" ht="18">
      <c r="B9" s="491" t="s">
        <v>1459</v>
      </c>
      <c r="C9" s="1987">
        <f>E8-C8-C7</f>
        <v>0</v>
      </c>
      <c r="D9" s="1987"/>
      <c r="E9" s="1988"/>
      <c r="N9" s="339" t="str">
        <f>IF(P7="-2","-2",IF(P7="-1","-1",IF(P7="0","0",IF(P7="1","+1D4",IF(P7=2,"+1D6",IF(P7&gt;2,"D6",0))))))</f>
        <v>+1D4</v>
      </c>
      <c r="O9" s="340" t="str">
        <f>IF(N9="D6",P7-1,"0")</f>
        <v>0</v>
      </c>
      <c r="P9" s="352" t="str">
        <f>IF(N9="D6",O10,N9)</f>
        <v>+1D4</v>
      </c>
      <c r="R9" s="558"/>
      <c r="S9" s="556" t="str">
        <f>"智力×"&amp;U9</f>
        <v>智力×0</v>
      </c>
      <c r="T9" s="557" t="str">
        <f>职业列表!I20</f>
        <v>×</v>
      </c>
      <c r="U9" s="564">
        <f>职业列表!J20</f>
        <v>0</v>
      </c>
      <c r="V9" s="565">
        <f>L14*U9</f>
        <v>0</v>
      </c>
      <c r="W9" s="565"/>
      <c r="X9" s="567" t="str">
        <f t="shared" si="0"/>
        <v/>
      </c>
      <c r="Y9" s="581" t="str">
        <f t="shared" si="1"/>
        <v/>
      </c>
      <c r="Z9" s="565"/>
      <c r="AA9" s="583" t="str">
        <f>X4&amp;Y4&amp;X5&amp;Y5&amp;X6&amp;Y6&amp;X7&amp;Y7&amp;X8&amp;Y8&amp;X9&amp;Y9&amp;X10&amp;Y10&amp;X11&amp;Y11&amp;X12</f>
        <v>教育×4</v>
      </c>
      <c r="AB9" s="584"/>
      <c r="AC9" s="594"/>
      <c r="AD9" s="595"/>
      <c r="AE9" s="596"/>
      <c r="AF9" s="565" t="s">
        <v>1460</v>
      </c>
      <c r="AI9" s="526"/>
      <c r="AK9" s="568"/>
    </row>
    <row r="10" spans="1:53" ht="18">
      <c r="B10" s="1989" t="s">
        <v>1461</v>
      </c>
      <c r="C10" s="1990"/>
      <c r="D10" s="1990"/>
      <c r="E10" s="1991"/>
      <c r="N10" s="495"/>
      <c r="O10" s="497" t="str">
        <f>"+"&amp;O9&amp;"D6"</f>
        <v>+0D6</v>
      </c>
      <c r="P10" s="527"/>
      <c r="R10" s="558"/>
      <c r="S10" s="556" t="str">
        <f>"教育×"&amp;U10</f>
        <v>教育×4</v>
      </c>
      <c r="T10" s="557" t="str">
        <f>职业列表!I21</f>
        <v>√</v>
      </c>
      <c r="U10" s="564">
        <f>职业列表!J21</f>
        <v>4</v>
      </c>
      <c r="V10" s="565">
        <f>N14*U10</f>
        <v>260</v>
      </c>
      <c r="W10" s="565"/>
      <c r="X10" s="567" t="str">
        <f t="shared" si="0"/>
        <v>教育×4</v>
      </c>
      <c r="Y10" s="581" t="str">
        <f t="shared" si="1"/>
        <v/>
      </c>
      <c r="Z10" s="565"/>
      <c r="AA10" s="585">
        <f>IF(AB10=职业列表!H25,1,0)</f>
        <v>0</v>
      </c>
      <c r="AB10" s="586" t="s">
        <v>1462</v>
      </c>
      <c r="AC10" s="586"/>
      <c r="AD10" s="597"/>
      <c r="AE10" s="597"/>
      <c r="AF10" s="598">
        <f>IF(AA10=1,MAX(V4:V9,V11:V12)+V10,0)</f>
        <v>0</v>
      </c>
      <c r="AI10" s="526"/>
      <c r="AK10" s="568"/>
    </row>
    <row r="11" spans="1:53" ht="18">
      <c r="B11" s="492" t="s">
        <v>1463</v>
      </c>
      <c r="C11" s="493">
        <f>IF(人物卡!H35="鞭子","5",IF(人物卡!H35="电锯","10",IF(人物卡!H35="斧","15",IF(人物卡!H35="剑","20",IF(人物卡!H35="绞具","15",IF(人物卡!H35="链枷","10",IF(人物卡!H35="矛","20",IF(人物卡!H35=人物卡!AU28,人物卡!BA28,0))))))))</f>
        <v>0</v>
      </c>
      <c r="D11" s="481" t="s">
        <v>1464</v>
      </c>
      <c r="E11" s="511">
        <f>IF(人物卡!H39="步枪/霰弹枪","25",IF(人物卡!H39="冲锋枪","15",IF(人物卡!H39="弓术","15",IF(人物卡!H39="喷射器","10",IF(人物卡!H39="机枪","10",IF(人物卡!H39="重武器","10",IF(人物卡!H39=人物卡!AU30,人物卡!BA30,0)))))))</f>
        <v>0</v>
      </c>
      <c r="R11" s="558"/>
      <c r="S11" s="556" t="str">
        <f>"意志×"&amp;U11</f>
        <v>意志×0</v>
      </c>
      <c r="T11" s="557" t="str">
        <f>职业列表!I22</f>
        <v>×</v>
      </c>
      <c r="U11" s="564">
        <f>职业列表!J22</f>
        <v>0</v>
      </c>
      <c r="V11" s="565">
        <f>M14*U11</f>
        <v>0</v>
      </c>
      <c r="W11" s="565"/>
      <c r="X11" s="567" t="str">
        <f t="shared" si="0"/>
        <v/>
      </c>
      <c r="Y11" s="581" t="str">
        <f t="shared" si="1"/>
        <v/>
      </c>
      <c r="Z11" s="587"/>
      <c r="AA11" s="567">
        <f>IF(AB11=职业列表!H25,1,0)</f>
        <v>0</v>
      </c>
      <c r="AB11" s="588" t="s">
        <v>1465</v>
      </c>
      <c r="AC11" s="565"/>
      <c r="AD11" s="587"/>
      <c r="AE11" s="565"/>
      <c r="AF11" s="599">
        <f>IF(AA11=1,V10+SUM(V4:V9,V11:V12),0)</f>
        <v>0</v>
      </c>
      <c r="AI11" s="526"/>
      <c r="AK11" s="568"/>
    </row>
    <row r="12" spans="1:53" ht="18">
      <c r="B12" s="492" t="s">
        <v>1466</v>
      </c>
      <c r="C12" s="494">
        <f>IF(人物卡!H36="鞭子","5",IF(人物卡!H36="电锯","10",IF(人物卡!H36="斧","15",IF(人物卡!H36="剑","20",IF(人物卡!H36="绞具","15",IF(人物卡!H36="链枷","10",IF(人物卡!H36="矛","20",IF(人物卡!H36=人物卡!AU28,人物卡!BA28,0))))))))</f>
        <v>0</v>
      </c>
      <c r="D12" s="481" t="s">
        <v>1467</v>
      </c>
      <c r="E12" s="512">
        <f>IF(人物卡!H40="步枪/霰弹枪","25",IF(人物卡!H40="冲锋枪","15",IF(人物卡!H40="弓术","15",IF(人物卡!H40="喷射器","10",IF(人物卡!H40="机枪","10",IF(人物卡!H40="重武器","10",IF(人物卡!H40=人物卡!AU30,人物卡!BA30,0)))))))</f>
        <v>0</v>
      </c>
      <c r="G12" s="510" t="s">
        <v>1468</v>
      </c>
      <c r="H12" s="513" t="s">
        <v>1469</v>
      </c>
      <c r="I12" s="500" t="s">
        <v>1470</v>
      </c>
      <c r="J12" s="500"/>
      <c r="K12" s="500"/>
      <c r="L12" s="500"/>
      <c r="M12" s="500"/>
      <c r="N12" s="500"/>
      <c r="O12" s="525"/>
      <c r="R12" s="558"/>
      <c r="S12" s="559" t="str">
        <f>"幸运×"&amp;U12</f>
        <v>幸运×0</v>
      </c>
      <c r="T12" s="560" t="str">
        <f>职业列表!I23</f>
        <v>×</v>
      </c>
      <c r="U12" s="569">
        <f>职业列表!J23</f>
        <v>0</v>
      </c>
      <c r="V12" s="570">
        <f>O14*U12</f>
        <v>0</v>
      </c>
      <c r="W12" s="497"/>
      <c r="X12" s="571" t="str">
        <f t="shared" si="0"/>
        <v/>
      </c>
      <c r="Y12" s="527"/>
      <c r="Z12" s="497"/>
      <c r="AA12" s="589">
        <f>IF(AB12=职业列表!H25,1,0)</f>
        <v>1</v>
      </c>
      <c r="AB12" s="590" t="s">
        <v>540</v>
      </c>
      <c r="AC12" s="497"/>
      <c r="AD12" s="497"/>
      <c r="AE12" s="497"/>
      <c r="AF12" s="600">
        <f>IF(AA12=1,SUM(V4:V12),0)</f>
        <v>260</v>
      </c>
      <c r="AG12" s="497"/>
      <c r="AH12" s="497"/>
      <c r="AI12" s="527"/>
      <c r="AK12" s="565"/>
    </row>
    <row r="13" spans="1:53" ht="31" customHeight="1">
      <c r="B13" s="495" t="s">
        <v>1471</v>
      </c>
      <c r="C13" s="496">
        <f>IF(人物卡!H37="鞭子","5",IF(人物卡!H37="电锯","10",IF(人物卡!H37="斧","15",IF(人物卡!H37="剑","20",IF(人物卡!H37="绞具","15",IF(人物卡!H37="链枷","10",IF(人物卡!H37=人物卡!AU28,人物卡!BA28,0)))))))</f>
        <v>0</v>
      </c>
      <c r="D13" s="497" t="s">
        <v>1472</v>
      </c>
      <c r="E13" s="514">
        <f>IF(人物卡!H41="步枪/霰弹枪","25",IF(人物卡!H41="冲锋枪","15",IF(人物卡!H41="弓术","15",IF(人物卡!H41="喷射器","10",IF(人物卡!H41="机枪","10",IF(人物卡!H41="重武器","10",IF(人物卡!H41=人物卡!AU30,人物卡!BA30,0)))))))</f>
        <v>0</v>
      </c>
      <c r="G13" s="515" t="s">
        <v>7</v>
      </c>
      <c r="H13" s="516" t="s">
        <v>15</v>
      </c>
      <c r="I13" s="528" t="s">
        <v>22</v>
      </c>
      <c r="J13" s="516" t="s">
        <v>8</v>
      </c>
      <c r="K13" s="528" t="s">
        <v>16</v>
      </c>
      <c r="L13" s="516" t="s">
        <v>23</v>
      </c>
      <c r="M13" s="528" t="s">
        <v>9</v>
      </c>
      <c r="N13" s="516" t="s">
        <v>1473</v>
      </c>
      <c r="O13" s="543" t="s">
        <v>24</v>
      </c>
    </row>
    <row r="14" spans="1:53" ht="28" customHeight="1">
      <c r="B14" s="481" t="s">
        <v>1474</v>
      </c>
      <c r="G14" s="517">
        <f>人物卡!U3</f>
        <v>90</v>
      </c>
      <c r="H14" s="518">
        <f>人物卡!U5</f>
        <v>50</v>
      </c>
      <c r="I14" s="529">
        <f>人物卡!U7</f>
        <v>70</v>
      </c>
      <c r="J14" s="518">
        <f>人物卡!AA3</f>
        <v>40</v>
      </c>
      <c r="K14" s="529">
        <f>人物卡!AA5</f>
        <v>65</v>
      </c>
      <c r="L14" s="518">
        <f>人物卡!AA7</f>
        <v>80</v>
      </c>
      <c r="M14" s="529">
        <f>人物卡!AG3</f>
        <v>75</v>
      </c>
      <c r="N14" s="518">
        <f>人物卡!AG5</f>
        <v>65</v>
      </c>
      <c r="O14" s="544">
        <f>人物卡!AG7</f>
        <v>70</v>
      </c>
      <c r="U14" s="572" t="s">
        <v>1475</v>
      </c>
      <c r="V14" s="573"/>
      <c r="W14" s="574"/>
      <c r="Z14" s="1986" t="s">
        <v>1441</v>
      </c>
      <c r="AA14" s="499" t="s">
        <v>1476</v>
      </c>
      <c r="AB14" s="498" t="s">
        <v>145</v>
      </c>
      <c r="AC14" s="498" t="s">
        <v>111</v>
      </c>
      <c r="AD14" s="498" t="s">
        <v>152</v>
      </c>
      <c r="AE14" s="498" t="s">
        <v>137</v>
      </c>
      <c r="AF14" s="498" t="s">
        <v>1463</v>
      </c>
      <c r="AG14" s="498"/>
      <c r="AH14" s="498"/>
      <c r="AI14" s="498" t="s">
        <v>1466</v>
      </c>
      <c r="AJ14" s="498"/>
      <c r="AK14" s="498"/>
      <c r="AL14" s="498" t="s">
        <v>1471</v>
      </c>
      <c r="AM14" s="498"/>
      <c r="AN14" s="498"/>
      <c r="AO14" s="498" t="s">
        <v>1464</v>
      </c>
      <c r="AP14" s="498" t="s">
        <v>1467</v>
      </c>
      <c r="AQ14" s="498" t="s">
        <v>1472</v>
      </c>
      <c r="AR14" s="498" t="s">
        <v>119</v>
      </c>
      <c r="AS14" s="498" t="s">
        <v>133</v>
      </c>
      <c r="AT14" s="622" t="s">
        <v>1477</v>
      </c>
      <c r="AU14" s="622" t="s">
        <v>1478</v>
      </c>
      <c r="AV14" s="623" t="s">
        <v>1479</v>
      </c>
      <c r="AZ14" s="506" t="s">
        <v>1470</v>
      </c>
      <c r="BA14" s="1999" t="str">
        <f>IF(AX27="仅显示1890_2012","",VLOOKUP(AX27,AZ25:BB29,3,FALSE))</f>
        <v>广播电台
茶包</v>
      </c>
    </row>
    <row r="15" spans="1:53" ht="31" customHeight="1">
      <c r="B15" s="498" t="s">
        <v>93</v>
      </c>
      <c r="C15" s="343"/>
      <c r="O15" s="1992" t="s">
        <v>1480</v>
      </c>
      <c r="P15" s="1993"/>
      <c r="Q15" s="1994"/>
      <c r="U15" s="499">
        <v>1</v>
      </c>
      <c r="V15" s="575">
        <f>人物卡!H39</f>
        <v>0</v>
      </c>
      <c r="W15" s="525">
        <f t="shared" ref="W15:W17" si="2">IF(V15="步枪/霰弹枪",1,0)</f>
        <v>0</v>
      </c>
      <c r="Z15" s="1791"/>
      <c r="AA15" s="589" t="b">
        <f>IF(人物卡!M54=AA14,"")</f>
        <v>0</v>
      </c>
      <c r="AB15" s="485" t="b">
        <f>IF(人物卡!M54=人物卡!AB43,人物卡!AN43)</f>
        <v>0</v>
      </c>
      <c r="AC15" s="485" t="b">
        <f>IF(人物卡!M54=人物卡!F31,人物卡!R31)</f>
        <v>0</v>
      </c>
      <c r="AD15" s="485" t="b">
        <f>IF(人物卡!M54=人物卡!AB46,人物卡!AN46)</f>
        <v>0</v>
      </c>
      <c r="AE15" s="485" t="b">
        <f>IF(人物卡!M54=人物卡!AB39,人物卡!AN39)</f>
        <v>0</v>
      </c>
      <c r="AF15" s="485">
        <f>IF(人物卡!M54=人物卡!H35,人物卡!R35)</f>
        <v>0</v>
      </c>
      <c r="AG15" s="485"/>
      <c r="AH15" s="485"/>
      <c r="AI15" s="485">
        <f>IF(人物卡!M54=人物卡!H36,人物卡!R36)</f>
        <v>0</v>
      </c>
      <c r="AJ15" s="485"/>
      <c r="AK15" s="485"/>
      <c r="AL15" s="485">
        <f>IF(人物卡!M54=人物卡!H37,人物卡!R37)</f>
        <v>0</v>
      </c>
      <c r="AM15" s="485"/>
      <c r="AN15" s="485"/>
      <c r="AO15" s="620">
        <f>IF(人物卡!M54=人物卡!H39,人物卡!R39)</f>
        <v>0</v>
      </c>
      <c r="AP15" s="620">
        <f>IF(人物卡!M54=人物卡!H40,人物卡!R40)</f>
        <v>0</v>
      </c>
      <c r="AQ15" s="620">
        <f>IF(人物卡!M54=人物卡!H41,人物卡!R41)</f>
        <v>0</v>
      </c>
      <c r="AR15" s="485" t="b">
        <f>IF(人物卡!M54=人物卡!H34,人物卡!R34)</f>
        <v>0</v>
      </c>
      <c r="AS15" s="485" t="b">
        <f>IF(人物卡!M54=人物卡!H38,人物卡!R38)</f>
        <v>0</v>
      </c>
      <c r="AT15" s="624" t="str">
        <f>IF(AU15=0,IF(人物卡!M54=附表!U220,附表!V220,IF(人物卡!M54=附表!U221,附表!V221,IF(人物卡!M54=附表!U219,附表!V219,IF(人物卡!M54=附表!U224,附表!V224,IF(人物卡!M54=附表!U225,附表!V225,IF(人物卡!M54=附表!U223,附表!V223,IF(人物卡!M54=附表!U222,附表!V222,IF(人物卡!M54=附表!U226,#REF!,IF(人物卡!M54=附表!Q220,附表!R220,IF(人物卡!M54=附表!Q221,附表!R221,IF(人物卡!M54=附表!Q222,附表!R222,IF(人物卡!M54=附表!Q223,附表!R223,IF(人物卡!M54=附表!Q224,附表!R224,IF(人物卡!M54=附表!Q219,附表!R219,IF(人物卡!M54=附表!Q225,附表!R225,""))))))))))))))))</f>
        <v/>
      </c>
      <c r="AU15" s="624">
        <f t="shared" ref="AU15:AU17" si="3">MAX(AA15:AS15)</f>
        <v>0</v>
      </c>
      <c r="AV15" s="625" t="str">
        <f t="shared" ref="AV15:AV17" si="4">IF(AU15=0,AT15,AU15)</f>
        <v/>
      </c>
      <c r="BA15" s="1999"/>
    </row>
    <row r="16" spans="1:53" ht="34" customHeight="1">
      <c r="B16" s="485"/>
      <c r="C16" s="340"/>
      <c r="H16" s="340"/>
      <c r="K16" s="332"/>
      <c r="L16" s="530" t="s">
        <v>1481</v>
      </c>
      <c r="M16" s="545"/>
      <c r="O16" s="499" t="s">
        <v>1482</v>
      </c>
      <c r="P16" s="500"/>
      <c r="Q16" s="525"/>
      <c r="U16" s="492">
        <v>2</v>
      </c>
      <c r="V16" s="343">
        <f>人物卡!H40</f>
        <v>0</v>
      </c>
      <c r="W16" s="526">
        <f t="shared" si="2"/>
        <v>0</v>
      </c>
      <c r="Z16" s="1791"/>
      <c r="AA16" s="589" t="b">
        <f>IF(人物卡!M55=AA14,"")</f>
        <v>0</v>
      </c>
      <c r="AB16" s="485" t="b">
        <f>IF(人物卡!M55=AB14,人物卡!AN43)</f>
        <v>0</v>
      </c>
      <c r="AC16" s="485" t="b">
        <f>IF(人物卡!M55=AC14,人物卡!R31)</f>
        <v>0</v>
      </c>
      <c r="AD16" s="485" t="b">
        <f>IF(人物卡!M55=AD14,人物卡!AN46)</f>
        <v>0</v>
      </c>
      <c r="AE16" s="485" t="b">
        <f>IF(人物卡!M55=AE14,人物卡!AN39)</f>
        <v>0</v>
      </c>
      <c r="AF16" s="485" t="b">
        <f>IF(ISBLANK(人物卡!H35),FALSE,IF(人物卡!M55=人物卡!H35,人物卡!R35))</f>
        <v>0</v>
      </c>
      <c r="AG16" s="485"/>
      <c r="AH16" s="485"/>
      <c r="AI16" s="485" t="b">
        <f>IF(ISBLANK(人物卡!H36),FALSE,IF(人物卡!M55=人物卡!H36,人物卡!R36))</f>
        <v>0</v>
      </c>
      <c r="AJ16" s="485"/>
      <c r="AK16" s="485"/>
      <c r="AL16" s="485" t="b">
        <f>IF(ISBLANK(人物卡!H37),FALSE,IF(人物卡!M55=人物卡!H37,人物卡!R37))</f>
        <v>0</v>
      </c>
      <c r="AM16" s="485"/>
      <c r="AN16" s="485"/>
      <c r="AO16" s="620" t="b">
        <f>IF(ISBLANK(人物卡!H39),FALSE,IF(人物卡!M55=人物卡!H39,人物卡!R39))</f>
        <v>0</v>
      </c>
      <c r="AP16" s="620" t="b">
        <f>IF(ISBLANK(人物卡!H40),FALSE,IF(人物卡!M55=人物卡!H40,人物卡!R40))</f>
        <v>0</v>
      </c>
      <c r="AQ16" s="620" t="b">
        <f>IF(ISBLANK(人物卡!H41),FALSE,IF(人物卡!M55=人物卡!H41,人物卡!R41))</f>
        <v>0</v>
      </c>
      <c r="AR16" s="485">
        <f>IF(人物卡!M55=AR14,人物卡!R34)</f>
        <v>65</v>
      </c>
      <c r="AS16" s="485" t="b">
        <f>IF(人物卡!M55=AS14,人物卡!R38)</f>
        <v>0</v>
      </c>
      <c r="AT16" s="626" t="b">
        <f>IF(AU16=0,IF(人物卡!M55=附表!U220,附表!V220,IF(人物卡!M55=附表!U221,附表!V221,IF(人物卡!M55=附表!U219,附表!V219,IF(人物卡!M55=附表!U224,附表!V224,IF(人物卡!M55=附表!U225,附表!V225,IF(人物卡!M55=附表!U223,附表!V223,IF(人物卡!M55=附表!U222,附表!V222,IF(人物卡!M55=附表!U226,#REF!,IF(人物卡!M55=附表!Q220,附表!R220,IF(人物卡!M55=附表!Q221,附表!R221,IF(人物卡!M55=附表!Q222,附表!R222,IF(人物卡!M55=附表!Q223,附表!R223,IF(人物卡!M55=附表!Q224,附表!R224,IF(人物卡!M55=附表!Q219,附表!R219,IF(人物卡!M55=附表!Q225,附表!R225,""))))))))))))))))</f>
        <v>0</v>
      </c>
      <c r="AU16" s="626">
        <f t="shared" si="3"/>
        <v>65</v>
      </c>
      <c r="AV16" s="627">
        <f t="shared" si="4"/>
        <v>65</v>
      </c>
      <c r="BA16" s="1999"/>
    </row>
    <row r="17" spans="2:54" ht="17.25" customHeight="1">
      <c r="L17" s="531" t="s">
        <v>384</v>
      </c>
      <c r="M17" s="523" t="s">
        <v>1478</v>
      </c>
      <c r="O17" s="492" t="s">
        <v>1483</v>
      </c>
      <c r="R17" s="499" t="s">
        <v>38</v>
      </c>
      <c r="S17" s="525" t="s">
        <v>39</v>
      </c>
      <c r="U17" s="492">
        <v>3</v>
      </c>
      <c r="V17" s="343">
        <f>人物卡!H41</f>
        <v>0</v>
      </c>
      <c r="W17" s="526">
        <f t="shared" si="2"/>
        <v>0</v>
      </c>
      <c r="Z17" s="1791"/>
      <c r="AA17" s="589" t="b">
        <f>IF(人物卡!M56=AA14,"")</f>
        <v>0</v>
      </c>
      <c r="AB17" s="485" t="b">
        <f>IF(人物卡!M56=AB14,人物卡!AN43)</f>
        <v>0</v>
      </c>
      <c r="AC17" s="485" t="b">
        <f>IF(人物卡!M56=AC14,人物卡!R31)</f>
        <v>0</v>
      </c>
      <c r="AD17" s="485" t="b">
        <f>IF(人物卡!M56=AD14,人物卡!AN46)</f>
        <v>0</v>
      </c>
      <c r="AE17" s="485" t="b">
        <f>IF(人物卡!M56=AE14,人物卡!AN39)</f>
        <v>0</v>
      </c>
      <c r="AF17" s="485" t="b">
        <f>IF(ISBLANK(人物卡!H35),FALSE,IF(人物卡!M56=人物卡!H35,人物卡!R35))</f>
        <v>0</v>
      </c>
      <c r="AG17" s="485"/>
      <c r="AH17" s="485"/>
      <c r="AI17" s="485" t="b">
        <f>IF(ISBLANK(人物卡!H36),FALSE,IF(人物卡!M56=人物卡!H36,人物卡!R36))</f>
        <v>0</v>
      </c>
      <c r="AJ17" s="485"/>
      <c r="AK17" s="485"/>
      <c r="AL17" s="485" t="b">
        <f>IF(ISBLANK(人物卡!H37),FALSE,IF(人物卡!M56=人物卡!H37,人物卡!R37))</f>
        <v>0</v>
      </c>
      <c r="AM17" s="485"/>
      <c r="AN17" s="485"/>
      <c r="AO17" s="620" t="b">
        <f>IF(ISBLANK(人物卡!H39),FALSE,IF(人物卡!M56=人物卡!H39,人物卡!R39))</f>
        <v>0</v>
      </c>
      <c r="AP17" s="620" t="b">
        <f>IF(ISBLANK(人物卡!H40),FALSE,IF(人物卡!M56=人物卡!H40,人物卡!R40))</f>
        <v>0</v>
      </c>
      <c r="AQ17" s="620" t="b">
        <f>IF(ISBLANK(人物卡!H41),FALSE,IF(人物卡!M56=人物卡!H41,人物卡!R41))</f>
        <v>0</v>
      </c>
      <c r="AR17" s="485" t="b">
        <f>IF(人物卡!M56=AR14,人物卡!R34)</f>
        <v>0</v>
      </c>
      <c r="AS17" s="485">
        <f>IF(人物卡!M56=AS14,人物卡!R38)</f>
        <v>70</v>
      </c>
      <c r="AT17" s="626" t="b">
        <f>IF(AU17=0,IF(人物卡!M56=附表!U220,附表!V220,IF(人物卡!M56=附表!U221,附表!V221,IF(人物卡!M56=附表!U219,附表!V219,IF(人物卡!M56=附表!U224,附表!V224,IF(人物卡!M56=附表!U225,附表!V225,IF(人物卡!M56=附表!U223,附表!V223,IF(人物卡!M56=附表!U222,附表!V222,IF(人物卡!M56=附表!U226,#REF!,IF(人物卡!M56=附表!Q220,附表!R220,IF(人物卡!M56=附表!Q221,附表!R221,IF(人物卡!M56=附表!Q222,附表!R222,IF(人物卡!M56=附表!Q223,附表!R223,IF(人物卡!M56=附表!Q224,附表!R224,IF(人物卡!M56=附表!Q219,附表!R219,IF(人物卡!M56=附表!Q225,附表!R225,""))))))))))))))))</f>
        <v>0</v>
      </c>
      <c r="AU17" s="626">
        <f t="shared" si="3"/>
        <v>70</v>
      </c>
      <c r="AV17" s="627">
        <f t="shared" si="4"/>
        <v>70</v>
      </c>
      <c r="BA17" s="1999"/>
    </row>
    <row r="18" spans="2:54" ht="17.25" customHeight="1">
      <c r="B18" s="1354" t="s">
        <v>399</v>
      </c>
      <c r="C18" s="1722"/>
      <c r="D18" s="1722"/>
      <c r="E18" s="1722"/>
      <c r="F18" s="1722"/>
      <c r="G18" s="1722"/>
      <c r="H18" s="500"/>
      <c r="I18" s="500"/>
      <c r="J18" s="500"/>
      <c r="K18" s="525"/>
      <c r="L18" s="532">
        <f>M14</f>
        <v>75</v>
      </c>
      <c r="M18" s="546">
        <f>人物卡!P10</f>
        <v>99</v>
      </c>
      <c r="O18" s="492" t="s">
        <v>1484</v>
      </c>
      <c r="R18" s="492" t="s">
        <v>260</v>
      </c>
      <c r="S18" s="526" t="s">
        <v>287</v>
      </c>
      <c r="U18" s="576" t="s">
        <v>1485</v>
      </c>
      <c r="V18" s="497" t="str">
        <f>人物卡!AB48</f>
        <v>自定义技能</v>
      </c>
      <c r="W18" s="527">
        <f>IF(V18="自定义技能",1,0)</f>
        <v>1</v>
      </c>
      <c r="Z18" s="1791"/>
      <c r="AA18" s="591"/>
      <c r="AB18" s="591"/>
      <c r="AC18" s="591"/>
      <c r="AD18" s="591"/>
      <c r="AE18" s="591"/>
      <c r="AF18" s="591"/>
      <c r="AG18" s="591"/>
      <c r="AH18" s="591"/>
      <c r="AI18" s="591"/>
      <c r="AJ18" s="591"/>
      <c r="AK18" s="591"/>
      <c r="AL18" s="618"/>
      <c r="AM18" s="607"/>
      <c r="AN18" s="607"/>
      <c r="AO18" s="607"/>
      <c r="AP18" s="607"/>
      <c r="AQ18" s="607"/>
      <c r="AR18" s="607"/>
      <c r="AS18" s="607"/>
      <c r="AT18" s="607"/>
      <c r="AU18" s="626"/>
      <c r="AV18" s="627"/>
      <c r="BA18" s="1999"/>
    </row>
    <row r="19" spans="2:54" ht="17.25" customHeight="1">
      <c r="B19" s="492" t="s">
        <v>1486</v>
      </c>
      <c r="C19" s="481" t="s">
        <v>368</v>
      </c>
      <c r="D19" s="481" t="s">
        <v>311</v>
      </c>
      <c r="E19" s="1315" t="s">
        <v>108</v>
      </c>
      <c r="F19" s="1315"/>
      <c r="G19" s="1315"/>
      <c r="I19" s="360"/>
      <c r="K19" s="526"/>
      <c r="L19" s="533" t="s">
        <v>1460</v>
      </c>
      <c r="M19" s="547"/>
      <c r="O19" s="492" t="s">
        <v>208</v>
      </c>
      <c r="R19" s="492" t="s">
        <v>258</v>
      </c>
      <c r="S19" s="526" t="s">
        <v>289</v>
      </c>
      <c r="BA19" s="1999"/>
    </row>
    <row r="20" spans="2:54" ht="17.25" customHeight="1">
      <c r="B20" s="492" t="s">
        <v>401</v>
      </c>
      <c r="C20" s="481" t="s">
        <v>1487</v>
      </c>
      <c r="D20" s="481">
        <v>70</v>
      </c>
      <c r="E20" s="481" t="s">
        <v>403</v>
      </c>
      <c r="K20" s="526"/>
      <c r="L20" s="534">
        <f>IF(L18&gt;M18,M18,L18)</f>
        <v>75</v>
      </c>
      <c r="M20" s="548"/>
      <c r="O20" s="492" t="s">
        <v>1488</v>
      </c>
      <c r="R20" s="492" t="s">
        <v>1489</v>
      </c>
      <c r="S20" s="526" t="s">
        <v>291</v>
      </c>
      <c r="AA20" s="1315" t="s">
        <v>1490</v>
      </c>
      <c r="AB20" s="1315"/>
      <c r="AC20" s="1315"/>
      <c r="AD20" s="1315"/>
      <c r="AR20" s="506" t="s">
        <v>1491</v>
      </c>
      <c r="BA20" s="1999"/>
    </row>
    <row r="21" spans="2:54" ht="17.25" customHeight="1">
      <c r="B21" s="492" t="s">
        <v>404</v>
      </c>
      <c r="C21" s="481" t="s">
        <v>1492</v>
      </c>
      <c r="D21" s="481">
        <v>60</v>
      </c>
      <c r="E21" s="481" t="s">
        <v>1493</v>
      </c>
      <c r="I21" s="360"/>
      <c r="K21" s="526"/>
      <c r="L21" s="535"/>
      <c r="M21" s="549"/>
      <c r="O21" s="492" t="s">
        <v>1494</v>
      </c>
      <c r="R21" s="495" t="str">
        <f>IF(ISBLANK(人物卡!BK26),"",人物卡!BK26)</f>
        <v/>
      </c>
      <c r="S21" s="527" t="str">
        <f>IF(ISBLANK(人物卡!BO26),"",人物卡!BO26)</f>
        <v/>
      </c>
      <c r="AA21" s="499">
        <f>IF(ISBLANK(人物卡!BA18),0,1)</f>
        <v>0</v>
      </c>
      <c r="AB21" s="525">
        <f>IF(ISBLANK(人物卡!BJ18),0,1)</f>
        <v>0</v>
      </c>
      <c r="AC21" s="500"/>
      <c r="AD21" s="500" t="s">
        <v>1433</v>
      </c>
      <c r="AE21" s="601" t="s">
        <v>1460</v>
      </c>
      <c r="AF21" s="602"/>
      <c r="AG21" s="602"/>
      <c r="AH21" s="602"/>
      <c r="AI21" s="602"/>
      <c r="AJ21" s="602"/>
      <c r="AK21" s="602"/>
      <c r="AL21" s="602"/>
      <c r="AM21" s="602"/>
      <c r="AN21" s="602"/>
      <c r="AO21" s="602"/>
      <c r="AP21" s="602"/>
      <c r="AQ21" s="602"/>
      <c r="AR21" s="506">
        <f>人物卡!BL129</f>
        <v>1920</v>
      </c>
      <c r="AS21" s="481" t="str">
        <f>IF(AR21="仅显示1890_2020","",VLOOKUP(AR21,AE33:AS163,15,FALSE))</f>
        <v>广播电台
茶包</v>
      </c>
      <c r="BA21" s="1999"/>
    </row>
    <row r="22" spans="2:54" ht="17.25" customHeight="1">
      <c r="B22" s="492" t="s">
        <v>407</v>
      </c>
      <c r="C22" s="481" t="s">
        <v>1492</v>
      </c>
      <c r="D22" s="481">
        <v>60</v>
      </c>
      <c r="E22" s="481" t="s">
        <v>408</v>
      </c>
      <c r="K22" s="526"/>
      <c r="M22" s="38"/>
      <c r="O22" s="492" t="s">
        <v>1495</v>
      </c>
      <c r="Q22" s="526"/>
      <c r="AA22" s="492">
        <f>IF(ISBLANK(人物卡!BA19),0,1)</f>
        <v>0</v>
      </c>
      <c r="AB22" s="526">
        <f>IF(ISBLANK(人物卡!BJ19),0,1)</f>
        <v>0</v>
      </c>
      <c r="AD22" s="481">
        <f>AA21+AA23+AA22+AA25+AA24+AB21+AB22+AB24+AB23+AB25</f>
        <v>0</v>
      </c>
      <c r="AE22" s="603">
        <f>IF(AD32=1,"仅显示1890_2020",AE28)</f>
        <v>1980</v>
      </c>
      <c r="AF22" s="1999" t="str">
        <f>IF(AE22="仅显示1890_2020","",VLOOKUP(AE22,AE33:AS163,2,FALSE))</f>
        <v>莫斯科奥运会</v>
      </c>
      <c r="AG22" s="1999">
        <f>IF(AE22="仅显示1890～2020","",VLOOKUP(AE22,AE33:AS163,3,FALSE))</f>
        <v>0</v>
      </c>
      <c r="AH22" s="1999">
        <f>IF(AE22="仅显示1890～2020","",VLOOKUP(AE22,AE33:AS163,4,FALSE))</f>
        <v>0</v>
      </c>
      <c r="AI22" s="1999" t="str">
        <f>IF(AE22="仅显示1890_2020","",VLOOKUP(AE22,AE33:AS163,5,FALSE))</f>
        <v>——</v>
      </c>
      <c r="AJ22" s="1999">
        <f>IF(AE22="仅显示1890_2020","",VLOOKUP(AE22,AE33:AS163,6,FALSE))</f>
        <v>0</v>
      </c>
      <c r="AK22" s="1999">
        <f>IF(AE22="仅显示1890_2020","",VLOOKUP(AE22,AE33:AS163,7,FALSE))</f>
        <v>0</v>
      </c>
      <c r="AL22" s="1999" t="str">
        <f>IF(AE22="仅显示1890_2020","",VLOOKUP(AE22,AE33:AS163,8,FALSE))</f>
        <v>二十世纪 八十年代</v>
      </c>
      <c r="AM22" s="1999" t="str">
        <f>IF(AE22="仅显示1890_2820","",VLOOKUP(AE22,AE33:AS163,9,FALSE))</f>
        <v>庚申猴年</v>
      </c>
      <c r="AN22" s="1999" t="str">
        <f>IF(AE22="仅显示1890_2020","",VLOOKUP(AE22,AE33:AS163,10,FALSE))</f>
        <v>中华人民共和国31周年</v>
      </c>
      <c r="AO22" s="1999" t="str">
        <f>IF(AE22="仅显示1890_2020","",VLOOKUP(AE22,AE33:AS163,11,FALSE))</f>
        <v>美国每盎司黄金达到802 美元
美国通胀率33 年来最高
银行业放松管制
圣海伦火山喷发死亡超过50 人
伊朗人质解救失败
波兰团结公会成立
亚马逊淘金热
杜比C型降噪器
美国公债9080 亿美元
美国人口2.265 亿</v>
      </c>
      <c r="AP22" s="1999" t="str">
        <f>IF(AE22="仅显示1890_2020","",VLOOKUP(AE22,AE33:AS163,12,FALSE))</f>
        <v>总统：
   吉米·卡特（民主党）</v>
      </c>
      <c r="AQ22" s="1315" t="str">
        <f>IF(AE22="仅显示1890_2020","",VLOOKUP(AE22,AE33:AS163,13,FALSE))</f>
        <v>艾滋病毒 强效可卡因 温室效应 CD 暗物质 暗能量 太阳能飞行器 甲型H1N1 流感 希格斯玻色子 引力波</v>
      </c>
      <c r="AR22" s="1315" t="str">
        <f>IF(AE22="仅显示1890_2020","",VLOOKUP(AE22,AE33:AS163,14,FALSE))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v>
      </c>
      <c r="AS22" s="1315" t="str">
        <f>IF(AE22="仅显示1890_2020","",VLOOKUP(AE22,AE33:AS163,15,FALSE))</f>
        <v>杜比C型降噪器</v>
      </c>
      <c r="BA22" s="1999"/>
    </row>
    <row r="23" spans="2:54" ht="17.25" customHeight="1">
      <c r="B23" s="492" t="s">
        <v>409</v>
      </c>
      <c r="C23" s="481" t="s">
        <v>1492</v>
      </c>
      <c r="D23" s="481">
        <v>60</v>
      </c>
      <c r="E23" s="481" t="s">
        <v>410</v>
      </c>
      <c r="I23" s="360"/>
      <c r="K23" s="526"/>
      <c r="M23" s="38"/>
      <c r="O23" s="492" t="s">
        <v>207</v>
      </c>
      <c r="Q23" s="561" t="s">
        <v>206</v>
      </c>
      <c r="AA23" s="492">
        <f>IF(ISBLANK(人物卡!BA20),0,1)</f>
        <v>0</v>
      </c>
      <c r="AB23" s="526">
        <f>IF(ISBLANK(人物卡!BJ20),0,1)</f>
        <v>0</v>
      </c>
      <c r="AD23" s="481" t="s">
        <v>1496</v>
      </c>
      <c r="AE23" s="604" t="s">
        <v>1497</v>
      </c>
      <c r="AF23" s="1999"/>
      <c r="AG23" s="1999"/>
      <c r="AH23" s="1999"/>
      <c r="AI23" s="1999"/>
      <c r="AJ23" s="1999"/>
      <c r="AK23" s="1999"/>
      <c r="AL23" s="1999"/>
      <c r="AM23" s="1999"/>
      <c r="AN23" s="1999"/>
      <c r="AO23" s="1999"/>
      <c r="AP23" s="1999"/>
      <c r="AQ23" s="1315"/>
      <c r="AR23" s="1315"/>
      <c r="AS23" s="1315"/>
      <c r="BA23" s="1999"/>
    </row>
    <row r="24" spans="2:54" ht="17.25" customHeight="1">
      <c r="B24" s="492" t="s">
        <v>411</v>
      </c>
      <c r="C24" s="481" t="s">
        <v>412</v>
      </c>
      <c r="D24" s="481">
        <v>0</v>
      </c>
      <c r="E24" s="481" t="s">
        <v>413</v>
      </c>
      <c r="I24" s="360"/>
      <c r="K24" s="526"/>
      <c r="M24" s="38"/>
      <c r="O24" s="492" t="s">
        <v>1498</v>
      </c>
      <c r="Q24" s="526" t="s">
        <v>209</v>
      </c>
      <c r="S24" s="1999"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v>
      </c>
      <c r="T24" s="1999"/>
      <c r="U24" s="1999"/>
      <c r="V24" s="1999"/>
      <c r="AA24" s="492">
        <f>IF(ISBLANK(人物卡!BA21),0,1)</f>
        <v>0</v>
      </c>
      <c r="AB24" s="526">
        <f>IF(ISBLANK(人物卡!BJ21),0,1)</f>
        <v>0</v>
      </c>
      <c r="AD24" s="481">
        <f>人物卡!F9-AD22</f>
        <v>0</v>
      </c>
      <c r="AE24" s="605">
        <f>人物卡!G8</f>
        <v>1980</v>
      </c>
      <c r="AF24" s="1999"/>
      <c r="AG24" s="1999"/>
      <c r="AH24" s="1999"/>
      <c r="AI24" s="1999"/>
      <c r="AJ24" s="1999"/>
      <c r="AK24" s="1999"/>
      <c r="AL24" s="1999"/>
      <c r="AM24" s="1999"/>
      <c r="AN24" s="1999"/>
      <c r="AO24" s="1999"/>
      <c r="AP24" s="1999"/>
      <c r="AQ24" s="1315"/>
      <c r="AR24" s="1315"/>
      <c r="AS24" s="1315"/>
      <c r="AT24" s="499"/>
      <c r="AU24" s="500"/>
      <c r="AV24" s="500"/>
      <c r="AW24" s="500"/>
      <c r="AX24" s="630" t="s">
        <v>1453</v>
      </c>
      <c r="AY24" s="631"/>
      <c r="AZ24" s="1995" t="s">
        <v>1499</v>
      </c>
      <c r="BA24" s="1996"/>
      <c r="BB24" s="1997"/>
    </row>
    <row r="25" spans="2:54" ht="17.25" customHeight="1">
      <c r="B25" s="492" t="str">
        <f>IF(ISBLANK(人物卡!BC26),"自定义经历包",人物卡!BC26)</f>
        <v>自定义经历包</v>
      </c>
      <c r="C25" s="481" t="str">
        <f>'简化卡 骰娘导入'!E90</f>
        <v/>
      </c>
      <c r="D25" s="481" t="str">
        <f>'简化卡 骰娘导入'!H90</f>
        <v/>
      </c>
      <c r="E25" s="481" t="str">
        <f>'简化卡 骰娘导入'!J90</f>
        <v/>
      </c>
      <c r="H25" s="340"/>
      <c r="K25" s="526"/>
      <c r="M25" s="38"/>
      <c r="O25" s="492" t="s">
        <v>1500</v>
      </c>
      <c r="Q25" s="526" t="s">
        <v>456</v>
      </c>
      <c r="S25" s="1999"/>
      <c r="T25" s="1999"/>
      <c r="U25" s="1999"/>
      <c r="V25" s="1999"/>
      <c r="X25" s="577" t="s">
        <v>60</v>
      </c>
      <c r="Y25" s="525"/>
      <c r="AA25" s="495">
        <f>IF(ISBLANK(人物卡!BA22),0,1)</f>
        <v>0</v>
      </c>
      <c r="AB25" s="527">
        <f>IF(ISBLANK(人物卡!BJ22),0,1)</f>
        <v>0</v>
      </c>
      <c r="AC25" s="606" t="s">
        <v>1501</v>
      </c>
      <c r="AD25" s="606" t="str">
        <f>IF(AD24=0,"无",IF(AD24&lt;0,"过多！",AD24))</f>
        <v>无</v>
      </c>
      <c r="AE25" s="605" t="s">
        <v>1502</v>
      </c>
      <c r="AF25" s="1999"/>
      <c r="AG25" s="1999"/>
      <c r="AH25" s="1999"/>
      <c r="AI25" s="1999"/>
      <c r="AJ25" s="1999"/>
      <c r="AK25" s="1999"/>
      <c r="AL25" s="1999"/>
      <c r="AM25" s="1999"/>
      <c r="AN25" s="1999"/>
      <c r="AO25" s="1999"/>
      <c r="AP25" s="1999"/>
      <c r="AQ25" s="1315"/>
      <c r="AR25" s="1315"/>
      <c r="AS25" s="1315"/>
      <c r="AT25" s="492" t="s">
        <v>1503</v>
      </c>
      <c r="AV25" s="481">
        <f>IF(AT25=人物卡!AZ129,1,0)</f>
        <v>0</v>
      </c>
      <c r="AX25" s="633"/>
      <c r="AY25" s="634"/>
      <c r="AZ25" s="481">
        <v>1</v>
      </c>
      <c r="BA25" s="481" t="s">
        <v>1504</v>
      </c>
      <c r="BB25" s="526" t="str">
        <f>AQ22</f>
        <v>艾滋病毒 强效可卡因 温室效应 CD 暗物质 暗能量 太阳能飞行器 甲型H1N1 流感 希格斯玻色子 引力波</v>
      </c>
    </row>
    <row r="26" spans="2:54" ht="17.25" customHeight="1">
      <c r="B26" s="492" t="s">
        <v>200</v>
      </c>
      <c r="K26" s="526"/>
      <c r="M26" s="38"/>
      <c r="O26" s="492" t="s">
        <v>1505</v>
      </c>
      <c r="Q26" s="526"/>
      <c r="S26" s="1999"/>
      <c r="T26" s="1999"/>
      <c r="U26" s="1999"/>
      <c r="V26" s="1999"/>
      <c r="X26" s="578" t="s">
        <v>62</v>
      </c>
      <c r="Y26" s="526"/>
      <c r="AE26" s="605">
        <f>IF(人物卡!E8="公元前",人物卡!G8*2,0)</f>
        <v>0</v>
      </c>
      <c r="AF26" s="1999"/>
      <c r="AG26" s="1999"/>
      <c r="AH26" s="1999"/>
      <c r="AI26" s="1999"/>
      <c r="AJ26" s="1999"/>
      <c r="AK26" s="1999"/>
      <c r="AL26" s="1999"/>
      <c r="AM26" s="1999"/>
      <c r="AN26" s="1999"/>
      <c r="AO26" s="1999"/>
      <c r="AP26" s="1999"/>
      <c r="AQ26" s="1315"/>
      <c r="AR26" s="1315"/>
      <c r="AS26" s="1315"/>
      <c r="AT26" s="492" t="s">
        <v>1506</v>
      </c>
      <c r="AV26" s="481">
        <f>IF(AT26=人物卡!AZ129,2,0)</f>
        <v>0</v>
      </c>
      <c r="AX26" s="633"/>
      <c r="AY26" s="634"/>
      <c r="AZ26" s="481">
        <v>2</v>
      </c>
      <c r="BA26" s="481" t="s">
        <v>1507</v>
      </c>
      <c r="BB26" s="526"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v>
      </c>
    </row>
    <row r="27" spans="2:54" ht="17.25" customHeight="1">
      <c r="B27" s="492"/>
      <c r="C27" s="499">
        <f>IF(人物卡!F113=B20,C20,0)</f>
        <v>0</v>
      </c>
      <c r="D27" s="500">
        <f>IF(人物卡!F113=B20,D20,0)</f>
        <v>0</v>
      </c>
      <c r="E27" s="1990">
        <f>IF(人物卡!F113=B20,E20,0)</f>
        <v>0</v>
      </c>
      <c r="F27" s="1990"/>
      <c r="G27" s="1990"/>
      <c r="H27" s="1990"/>
      <c r="I27" s="1990"/>
      <c r="J27" s="1990"/>
      <c r="K27" s="1991"/>
      <c r="M27" s="38"/>
      <c r="O27" s="492" t="s">
        <v>1508</v>
      </c>
      <c r="Q27" s="526"/>
      <c r="S27" s="1999"/>
      <c r="T27" s="1999"/>
      <c r="U27" s="1999"/>
      <c r="V27" s="1999"/>
      <c r="X27" s="578" t="s">
        <v>66</v>
      </c>
      <c r="Y27" s="526"/>
      <c r="AB27" s="592" t="s">
        <v>1509</v>
      </c>
      <c r="AC27" s="607">
        <f>D34-SUM(人物卡!L16:L49,人物卡!AH16:AH49)</f>
        <v>0</v>
      </c>
      <c r="AD27" s="500" t="s">
        <v>1460</v>
      </c>
      <c r="AE27" s="605" t="s">
        <v>1510</v>
      </c>
      <c r="AF27" s="1999"/>
      <c r="AG27" s="1999"/>
      <c r="AH27" s="1999"/>
      <c r="AI27" s="1999"/>
      <c r="AJ27" s="1999"/>
      <c r="AK27" s="1999"/>
      <c r="AL27" s="1999"/>
      <c r="AM27" s="1999"/>
      <c r="AN27" s="1999"/>
      <c r="AO27" s="1999"/>
      <c r="AP27" s="1999"/>
      <c r="AQ27" s="1315"/>
      <c r="AR27" s="1315"/>
      <c r="AS27" s="1315"/>
      <c r="AT27" s="492"/>
      <c r="AX27" s="633">
        <f>AV25+AV26+AV28+AV29+AV30</f>
        <v>4</v>
      </c>
      <c r="AY27" s="634"/>
      <c r="AZ27" s="481">
        <v>3</v>
      </c>
      <c r="BA27" s="481" t="s">
        <v>1511</v>
      </c>
      <c r="BB27" s="526" t="str">
        <f>AS22</f>
        <v>杜比C型降噪器</v>
      </c>
    </row>
    <row r="28" spans="2:54" ht="17.25" customHeight="1">
      <c r="B28" s="492"/>
      <c r="C28" s="492">
        <f>IF(人物卡!F113=B21,C21,0)</f>
        <v>0</v>
      </c>
      <c r="D28" s="481">
        <f>IF(人物卡!F113=B21,D21,0)</f>
        <v>0</v>
      </c>
      <c r="E28" s="1315">
        <f>IF(人物卡!F113=B21,E21,0)</f>
        <v>0</v>
      </c>
      <c r="F28" s="1315"/>
      <c r="G28" s="1315"/>
      <c r="H28" s="1315"/>
      <c r="I28" s="1315"/>
      <c r="J28" s="1315"/>
      <c r="K28" s="1344"/>
      <c r="M28" s="38"/>
      <c r="O28" s="492" t="s">
        <v>1512</v>
      </c>
      <c r="Q28" s="526"/>
      <c r="S28" s="1999"/>
      <c r="T28" s="1999"/>
      <c r="U28" s="1999"/>
      <c r="V28" s="1999"/>
      <c r="X28" s="578" t="s">
        <v>70</v>
      </c>
      <c r="Y28" s="526"/>
      <c r="AB28" s="593" t="s">
        <v>1447</v>
      </c>
      <c r="AC28" s="497" t="b">
        <f>ISNUMBER(AC27)</f>
        <v>1</v>
      </c>
      <c r="AD28" s="497">
        <f>IF(AC28=FALSE,"0",AC27)</f>
        <v>0</v>
      </c>
      <c r="AE28" s="608">
        <f>AE24-AE26</f>
        <v>1980</v>
      </c>
      <c r="AF28" s="1999"/>
      <c r="AG28" s="1999"/>
      <c r="AH28" s="1999"/>
      <c r="AI28" s="1999"/>
      <c r="AJ28" s="1999"/>
      <c r="AK28" s="1999"/>
      <c r="AL28" s="1999"/>
      <c r="AM28" s="1999"/>
      <c r="AN28" s="1999"/>
      <c r="AO28" s="1999"/>
      <c r="AP28" s="1999"/>
      <c r="AQ28" s="1315"/>
      <c r="AR28" s="1315"/>
      <c r="AS28" s="1315"/>
      <c r="AT28" s="492" t="s">
        <v>1511</v>
      </c>
      <c r="AV28" s="481">
        <f>IF(AT28=人物卡!AZ129,3,0)</f>
        <v>0</v>
      </c>
      <c r="AX28" s="633"/>
      <c r="AY28" s="634"/>
      <c r="AZ28" s="481">
        <v>4</v>
      </c>
      <c r="BA28" s="481" t="s">
        <v>272</v>
      </c>
      <c r="BB28" s="526" t="str">
        <f>AS21</f>
        <v>广播电台
茶包</v>
      </c>
    </row>
    <row r="29" spans="2:54" ht="17.25" customHeight="1">
      <c r="B29" s="492"/>
      <c r="C29" s="492">
        <f>IF(人物卡!F113=B22,C22,0)</f>
        <v>0</v>
      </c>
      <c r="D29" s="481">
        <f>IF(人物卡!F113=B22,D22,0)</f>
        <v>0</v>
      </c>
      <c r="E29" s="1315">
        <f>IF(人物卡!F113=B22,E22,0)</f>
        <v>0</v>
      </c>
      <c r="F29" s="1315"/>
      <c r="G29" s="1315"/>
      <c r="H29" s="1315"/>
      <c r="I29" s="1315"/>
      <c r="J29" s="1315"/>
      <c r="K29" s="1344"/>
      <c r="M29" s="38"/>
      <c r="O29" s="492" t="s">
        <v>1513</v>
      </c>
      <c r="Q29" s="526"/>
      <c r="S29" s="1999"/>
      <c r="T29" s="1999"/>
      <c r="U29" s="1999"/>
      <c r="V29" s="1999"/>
      <c r="X29" s="579" t="s">
        <v>72</v>
      </c>
      <c r="Y29" s="526"/>
      <c r="AB29" s="591" t="s">
        <v>1514</v>
      </c>
      <c r="AC29" s="584">
        <f>IF(人物卡!M5=0," ",LOOKUP(人物卡!M5,职业列表!A2:C232,职业列表!F2:F232))</f>
        <v>310</v>
      </c>
      <c r="AD29" s="1354" t="s">
        <v>1515</v>
      </c>
      <c r="AE29" s="1998"/>
      <c r="AF29" s="1999"/>
      <c r="AG29" s="1999"/>
      <c r="AH29" s="1999"/>
      <c r="AI29" s="1999"/>
      <c r="AJ29" s="1999"/>
      <c r="AK29" s="1999"/>
      <c r="AL29" s="1999"/>
      <c r="AM29" s="1999"/>
      <c r="AN29" s="1999"/>
      <c r="AO29" s="1999"/>
      <c r="AP29" s="1999"/>
      <c r="AQ29" s="1315"/>
      <c r="AR29" s="1315"/>
      <c r="AS29" s="1315"/>
      <c r="AT29" s="492" t="s">
        <v>272</v>
      </c>
      <c r="AV29" s="481">
        <f>IF(AT29=人物卡!AZ129,4,0)</f>
        <v>4</v>
      </c>
      <c r="AX29" s="633"/>
      <c r="AY29" s="635"/>
      <c r="AZ29" s="636">
        <v>5</v>
      </c>
      <c r="BA29" s="636" t="s">
        <v>1516</v>
      </c>
      <c r="BB29" s="640" t="s">
        <v>1517</v>
      </c>
    </row>
    <row r="30" spans="2:54" ht="17.25" customHeight="1">
      <c r="B30" s="492"/>
      <c r="C30" s="492">
        <f>IF(人物卡!F113=B23,C23,0)</f>
        <v>0</v>
      </c>
      <c r="D30" s="481">
        <f>IF(人物卡!F113=B23,D23,0)</f>
        <v>0</v>
      </c>
      <c r="E30" s="1315">
        <f>IF(人物卡!F113=B23,E23,0)</f>
        <v>0</v>
      </c>
      <c r="F30" s="1315"/>
      <c r="G30" s="1315"/>
      <c r="H30" s="1315"/>
      <c r="I30" s="1315"/>
      <c r="J30" s="1315"/>
      <c r="K30" s="1344"/>
      <c r="M30" s="38"/>
      <c r="O30" s="492" t="s">
        <v>1518</v>
      </c>
      <c r="Q30" s="526"/>
      <c r="S30" s="1999"/>
      <c r="T30" s="1999"/>
      <c r="U30" s="1999"/>
      <c r="V30" s="1999"/>
      <c r="X30" s="580" t="s">
        <v>74</v>
      </c>
      <c r="Y30" s="526"/>
      <c r="AD30" s="609">
        <f>IF(AE30="大",1,0)</f>
        <v>0</v>
      </c>
      <c r="AE30" s="610" t="b">
        <f>IF(AE28&gt;2020,"大")</f>
        <v>0</v>
      </c>
      <c r="AF30" s="1999"/>
      <c r="AG30" s="1999"/>
      <c r="AH30" s="1999"/>
      <c r="AI30" s="1999"/>
      <c r="AJ30" s="1999"/>
      <c r="AK30" s="1999"/>
      <c r="AL30" s="1999"/>
      <c r="AM30" s="1999"/>
      <c r="AN30" s="1999"/>
      <c r="AO30" s="1999"/>
      <c r="AP30" s="1999"/>
      <c r="AQ30" s="1315"/>
      <c r="AR30" s="1315"/>
      <c r="AS30" s="1315"/>
      <c r="AT30" s="481" t="s">
        <v>1519</v>
      </c>
      <c r="AU30" s="495" t="s">
        <v>1516</v>
      </c>
      <c r="AV30" s="497">
        <f>IF(AU30=人物卡!AZ129,5,0)</f>
        <v>0</v>
      </c>
      <c r="AW30" s="497"/>
      <c r="AX30" s="637"/>
      <c r="AY30" s="497"/>
      <c r="AZ30" s="497"/>
      <c r="BA30" s="497"/>
      <c r="BB30" s="527"/>
    </row>
    <row r="31" spans="2:54" ht="17.25" customHeight="1">
      <c r="B31" s="492"/>
      <c r="C31" s="495">
        <f>IF(人物卡!F113=B24,C24,0)</f>
        <v>0</v>
      </c>
      <c r="D31" s="497">
        <f>IF(人物卡!F113=B24,D24,0)</f>
        <v>0</v>
      </c>
      <c r="E31" s="1351">
        <f>IF(人物卡!F113=B24,E24,0)</f>
        <v>0</v>
      </c>
      <c r="F31" s="1351"/>
      <c r="G31" s="1351"/>
      <c r="H31" s="1351"/>
      <c r="I31" s="1351"/>
      <c r="J31" s="1351"/>
      <c r="K31" s="1353"/>
      <c r="M31" s="38"/>
      <c r="O31" s="492" t="s">
        <v>1520</v>
      </c>
      <c r="Q31" s="526"/>
      <c r="S31" s="1999"/>
      <c r="T31" s="1999"/>
      <c r="U31" s="1999"/>
      <c r="V31" s="1999"/>
      <c r="X31" s="579" t="s">
        <v>76</v>
      </c>
      <c r="Y31" s="526"/>
      <c r="AD31" s="611">
        <f>IF(AE31="小",1,0)</f>
        <v>0</v>
      </c>
      <c r="AE31" s="612" t="b">
        <f>IF(AE28&lt;1890,"小")</f>
        <v>0</v>
      </c>
      <c r="AF31" s="2000"/>
      <c r="AG31" s="2000"/>
      <c r="AH31" s="2000"/>
      <c r="AI31" s="2000"/>
      <c r="AJ31" s="1999"/>
      <c r="AK31" s="1999"/>
      <c r="AL31" s="2000"/>
      <c r="AM31" s="1999"/>
      <c r="AN31" s="1999"/>
      <c r="AO31" s="2000"/>
      <c r="AP31" s="2000"/>
      <c r="AQ31" s="1315"/>
      <c r="AR31" s="1315"/>
      <c r="AS31" s="1315"/>
    </row>
    <row r="32" spans="2:54" ht="17.25" customHeight="1">
      <c r="B32" s="492"/>
      <c r="C32" s="481">
        <f>IF(人物卡!F113=B25,C25,0)</f>
        <v>0</v>
      </c>
      <c r="D32" s="481">
        <f>IF(人物卡!F113=B25,D25,0)</f>
        <v>0</v>
      </c>
      <c r="E32" s="1315">
        <f>IF(人物卡!F113=B25,E25,0)</f>
        <v>0</v>
      </c>
      <c r="F32" s="1315"/>
      <c r="G32" s="1315"/>
      <c r="H32" s="1315"/>
      <c r="I32" s="1315"/>
      <c r="J32" s="1315"/>
      <c r="K32" s="1344"/>
      <c r="M32" s="38"/>
      <c r="O32" s="492" t="s">
        <v>1521</v>
      </c>
      <c r="Q32" s="526"/>
      <c r="S32" s="1999"/>
      <c r="T32" s="1999"/>
      <c r="U32" s="1999"/>
      <c r="V32" s="1999"/>
      <c r="X32" s="578" t="s">
        <v>78</v>
      </c>
      <c r="Y32" s="526"/>
      <c r="AD32" s="613">
        <f>AD30+AD31</f>
        <v>0</v>
      </c>
      <c r="AE32" s="614" t="s">
        <v>1522</v>
      </c>
      <c r="AF32" s="615" t="s">
        <v>1523</v>
      </c>
      <c r="AG32" s="615">
        <v>2</v>
      </c>
      <c r="AH32" s="615">
        <v>3</v>
      </c>
      <c r="AI32" s="615" t="s">
        <v>1524</v>
      </c>
      <c r="AJ32" s="615"/>
      <c r="AK32" s="615"/>
      <c r="AL32" s="615" t="s">
        <v>184</v>
      </c>
      <c r="AM32" s="615"/>
      <c r="AN32" s="615"/>
      <c r="AO32" s="615" t="s">
        <v>1525</v>
      </c>
      <c r="AP32" s="615" t="s">
        <v>1526</v>
      </c>
      <c r="AQ32" s="621" t="s">
        <v>1504</v>
      </c>
      <c r="AR32" s="621" t="s">
        <v>1507</v>
      </c>
      <c r="AS32" s="621" t="s">
        <v>1527</v>
      </c>
      <c r="AT32" s="15"/>
    </row>
    <row r="33" spans="2:54" ht="17.25" customHeight="1">
      <c r="B33" s="492"/>
      <c r="K33" s="526"/>
      <c r="M33" s="38"/>
      <c r="O33" s="492" t="s">
        <v>212</v>
      </c>
      <c r="Q33" s="526"/>
      <c r="S33" s="1999"/>
      <c r="T33" s="1999"/>
      <c r="U33" s="1999"/>
      <c r="V33" s="1999"/>
      <c r="X33" s="578" t="s">
        <v>81</v>
      </c>
      <c r="Y33" s="526"/>
      <c r="AE33" s="616">
        <v>1890</v>
      </c>
      <c r="AF33" s="331" t="s">
        <v>1528</v>
      </c>
      <c r="AG33" s="331" t="s">
        <v>1529</v>
      </c>
      <c r="AH33" s="331"/>
      <c r="AI33" s="331" t="s">
        <v>92</v>
      </c>
      <c r="AJ33" s="331"/>
      <c r="AK33" s="331"/>
      <c r="AL33" s="331" t="s">
        <v>1530</v>
      </c>
      <c r="AM33" s="331" t="s">
        <v>1531</v>
      </c>
      <c r="AN33" s="331" t="s">
        <v>1532</v>
      </c>
      <c r="AO33" s="331" t="s">
        <v>1533</v>
      </c>
      <c r="AP33" s="617" t="s">
        <v>1534</v>
      </c>
      <c r="AQ33" s="332" t="s">
        <v>1535</v>
      </c>
      <c r="AR33" s="481" t="s">
        <v>1536</v>
      </c>
      <c r="AS33" s="15" t="s">
        <v>1537</v>
      </c>
      <c r="AT33" s="616">
        <v>1890</v>
      </c>
    </row>
    <row r="34" spans="2:54" ht="17.25" customHeight="1">
      <c r="B34" s="495"/>
      <c r="C34" s="497" t="str">
        <f>IF(C27=0,IF(C28=0,IF(C29=0,IF(C30=0,IF(C31=0,IF(C32=0,"",C32),C31),C30),C29),C28),C27)</f>
        <v/>
      </c>
      <c r="D34" s="497">
        <f>IF(D27=0,IF(D28=0,IF(D29=0,IF(D30=0,IF(D31=0,IF(D32=0,0,D32),D31),D30),D29),D28),D27)</f>
        <v>0</v>
      </c>
      <c r="E34" s="1351" t="str">
        <f>IF(E27=0,IF(E28=0,IF(E29=0,IF(E30=0,IF(E31=0,IF(E32=0,"",E32),E31),E30),E29),E28),E27)</f>
        <v/>
      </c>
      <c r="F34" s="1351"/>
      <c r="G34" s="1351"/>
      <c r="H34" s="1351"/>
      <c r="I34" s="1351"/>
      <c r="J34" s="1351"/>
      <c r="K34" s="1353"/>
      <c r="O34" s="492" t="s">
        <v>1538</v>
      </c>
      <c r="Q34" s="526"/>
      <c r="S34" s="1999"/>
      <c r="T34" s="1999"/>
      <c r="U34" s="1999"/>
      <c r="V34" s="1999"/>
      <c r="X34" s="578" t="s">
        <v>86</v>
      </c>
      <c r="Y34" s="526"/>
      <c r="AE34" s="616">
        <v>1891</v>
      </c>
      <c r="AF34" s="331" t="s">
        <v>1539</v>
      </c>
      <c r="AG34" s="331"/>
      <c r="AH34" s="331"/>
      <c r="AI34" s="331" t="s">
        <v>92</v>
      </c>
      <c r="AJ34" s="331"/>
      <c r="AK34" s="331"/>
      <c r="AL34" s="331" t="s">
        <v>1530</v>
      </c>
      <c r="AM34" s="331" t="s">
        <v>1540</v>
      </c>
      <c r="AN34" s="331" t="s">
        <v>1541</v>
      </c>
      <c r="AO34" s="331" t="s">
        <v>1542</v>
      </c>
      <c r="AP34" s="617" t="s">
        <v>1534</v>
      </c>
      <c r="AQ34" s="332" t="s">
        <v>1543</v>
      </c>
      <c r="AR34" s="332" t="s">
        <v>1544</v>
      </c>
      <c r="AS34" s="617" t="s">
        <v>1545</v>
      </c>
      <c r="AT34" s="616">
        <v>1891</v>
      </c>
    </row>
    <row r="35" spans="2:54" ht="17.25" customHeight="1">
      <c r="O35" s="492" t="s">
        <v>210</v>
      </c>
      <c r="Q35" s="526"/>
      <c r="S35" s="1999"/>
      <c r="T35" s="1999"/>
      <c r="U35" s="1999"/>
      <c r="V35" s="1999"/>
      <c r="X35" s="578" t="s">
        <v>94</v>
      </c>
      <c r="Y35" s="526"/>
      <c r="AE35" s="616">
        <v>1892</v>
      </c>
      <c r="AF35" s="331" t="s">
        <v>92</v>
      </c>
      <c r="AG35" s="331"/>
      <c r="AH35" s="331"/>
      <c r="AI35" s="331" t="s">
        <v>92</v>
      </c>
      <c r="AJ35" s="331"/>
      <c r="AK35" s="331"/>
      <c r="AL35" s="331" t="s">
        <v>1530</v>
      </c>
      <c r="AM35" s="331" t="s">
        <v>1546</v>
      </c>
      <c r="AN35" s="331" t="s">
        <v>1547</v>
      </c>
      <c r="AO35" s="331" t="s">
        <v>1548</v>
      </c>
      <c r="AP35" s="331" t="s">
        <v>1549</v>
      </c>
      <c r="AQ35" s="332" t="s">
        <v>1550</v>
      </c>
      <c r="AR35" s="332" t="s">
        <v>1551</v>
      </c>
      <c r="AS35" s="617" t="s">
        <v>1552</v>
      </c>
      <c r="AT35" s="616">
        <v>1892</v>
      </c>
    </row>
    <row r="36" spans="2:54" ht="17.25" customHeight="1">
      <c r="B36" s="501"/>
      <c r="C36" s="502" t="s">
        <v>18</v>
      </c>
      <c r="D36" s="502" t="s">
        <v>1460</v>
      </c>
      <c r="E36" s="500"/>
      <c r="F36" s="520"/>
      <c r="I36" s="2001" t="s">
        <v>1553</v>
      </c>
      <c r="J36" s="2002"/>
      <c r="K36" s="2002"/>
      <c r="L36" s="2002"/>
      <c r="M36" s="2002"/>
      <c r="O36" s="492" t="s">
        <v>211</v>
      </c>
      <c r="Q36" s="526"/>
      <c r="S36" s="343"/>
      <c r="T36" s="343"/>
      <c r="U36" s="343"/>
      <c r="V36" s="343"/>
      <c r="X36" s="578" t="s">
        <v>96</v>
      </c>
      <c r="Y36" s="526"/>
      <c r="AE36" s="616">
        <v>1893</v>
      </c>
      <c r="AF36" s="331" t="s">
        <v>1554</v>
      </c>
      <c r="AG36" s="331" t="s">
        <v>1555</v>
      </c>
      <c r="AH36" s="331"/>
      <c r="AI36" s="331" t="s">
        <v>92</v>
      </c>
      <c r="AJ36" s="331"/>
      <c r="AK36" s="331"/>
      <c r="AL36" s="331" t="s">
        <v>1530</v>
      </c>
      <c r="AM36" s="331" t="s">
        <v>1556</v>
      </c>
      <c r="AN36" s="331" t="s">
        <v>1557</v>
      </c>
      <c r="AO36" s="617" t="s">
        <v>1558</v>
      </c>
      <c r="AP36" s="617" t="s">
        <v>1559</v>
      </c>
      <c r="AQ36" s="332" t="s">
        <v>1560</v>
      </c>
      <c r="AR36" s="332" t="s">
        <v>1561</v>
      </c>
      <c r="AS36" s="617" t="s">
        <v>1562</v>
      </c>
      <c r="AT36" s="616">
        <v>1893</v>
      </c>
      <c r="AV36" s="332" t="s">
        <v>1563</v>
      </c>
      <c r="AZ36" s="638"/>
      <c r="BA36" s="638"/>
      <c r="BB36" s="638"/>
    </row>
    <row r="37" spans="2:54" ht="17.25" customHeight="1">
      <c r="B37" s="503"/>
      <c r="C37" s="360">
        <f>ABS(人物卡!E6)</f>
        <v>31</v>
      </c>
      <c r="D37" s="360" t="str">
        <f>IF(ISBLANK(人物卡!AU37),IF(AND(C37&gt;=15,C37&lt;=19),D39,IF(AND(C37&gt;=20,C37&lt;=39),D40,IF(AND(C37&gt;=40,C37&lt;=49),D41,IF(AND(C37&gt;=50,C37&lt;=59),D42,IF(AND(C37&gt;=60,C37&lt;=69),D43,IF(AND(C37&gt;=70,C37&lt;=79),D44,IF(AND(C37&gt;=80,C37&lt;=89),D45,IF(ABS(C37)&gt;=90,D48,"请和kp商议")))))))),人物卡!AU37)</f>
        <v>教育进步*1</v>
      </c>
      <c r="F37" s="521"/>
      <c r="I37" s="537" t="s">
        <v>1564</v>
      </c>
      <c r="J37" s="537" t="s">
        <v>1565</v>
      </c>
      <c r="K37" s="537" t="s">
        <v>1566</v>
      </c>
      <c r="L37" s="537" t="s">
        <v>164</v>
      </c>
      <c r="M37" s="537" t="s">
        <v>108</v>
      </c>
      <c r="O37" s="492" t="s">
        <v>1567</v>
      </c>
      <c r="Q37" s="526"/>
      <c r="S37" s="1999"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职业:探险家	年龄31 性别:男	住地:法国 里昂	出身:法国 格勒诺布尔	</v>
      </c>
      <c r="T37" s="1999"/>
      <c r="U37" s="1999"/>
      <c r="V37" s="1999"/>
      <c r="X37" s="578" t="s">
        <v>103</v>
      </c>
      <c r="Y37" s="526"/>
      <c r="AE37" s="616">
        <v>1894</v>
      </c>
      <c r="AF37" s="331" t="s">
        <v>1568</v>
      </c>
      <c r="AG37" s="331" t="s">
        <v>1569</v>
      </c>
      <c r="AH37" s="331"/>
      <c r="AI37" s="331" t="s">
        <v>1570</v>
      </c>
      <c r="AJ37" s="331" t="s">
        <v>1571</v>
      </c>
      <c r="AK37" s="331"/>
      <c r="AL37" s="331" t="s">
        <v>1530</v>
      </c>
      <c r="AM37" s="331" t="s">
        <v>1572</v>
      </c>
      <c r="AN37" s="331" t="s">
        <v>1573</v>
      </c>
      <c r="AO37" s="331" t="s">
        <v>1574</v>
      </c>
      <c r="AP37" s="617" t="s">
        <v>1575</v>
      </c>
      <c r="AQ37" s="332" t="s">
        <v>1576</v>
      </c>
      <c r="AR37" s="332" t="s">
        <v>1577</v>
      </c>
      <c r="AS37" s="331" t="s">
        <v>1563</v>
      </c>
      <c r="AT37" s="616">
        <v>1894</v>
      </c>
      <c r="AZ37" s="638"/>
      <c r="BA37" s="638"/>
      <c r="BB37" s="638"/>
    </row>
    <row r="38" spans="2:54" ht="17.25" customHeight="1">
      <c r="B38" s="503"/>
      <c r="C38" s="2003" t="s">
        <v>1578</v>
      </c>
      <c r="D38" s="2004"/>
      <c r="E38" s="2005"/>
      <c r="F38" s="521"/>
      <c r="I38" s="317" t="s">
        <v>1579</v>
      </c>
      <c r="J38" s="170" t="s">
        <v>1580</v>
      </c>
      <c r="K38" s="170" t="s">
        <v>1581</v>
      </c>
      <c r="L38" s="170" t="s">
        <v>405</v>
      </c>
      <c r="M38" s="550" t="s">
        <v>1582</v>
      </c>
      <c r="O38" s="492" t="s">
        <v>1583</v>
      </c>
      <c r="Q38" s="526"/>
      <c r="S38" s="1999"/>
      <c r="T38" s="1999"/>
      <c r="U38" s="1999"/>
      <c r="V38" s="1999"/>
      <c r="X38" s="578" t="s">
        <v>105</v>
      </c>
      <c r="Y38" s="526"/>
      <c r="AE38" s="616">
        <v>1895</v>
      </c>
      <c r="AF38" s="331" t="s">
        <v>1584</v>
      </c>
      <c r="AG38" s="331" t="s">
        <v>1585</v>
      </c>
      <c r="AH38" s="331"/>
      <c r="AI38" s="331" t="s">
        <v>1586</v>
      </c>
      <c r="AJ38" s="331" t="s">
        <v>1587</v>
      </c>
      <c r="AK38" s="331"/>
      <c r="AL38" s="331" t="s">
        <v>1530</v>
      </c>
      <c r="AM38" s="331" t="s">
        <v>1588</v>
      </c>
      <c r="AN38" s="331" t="s">
        <v>1589</v>
      </c>
      <c r="AO38" s="331" t="s">
        <v>1590</v>
      </c>
      <c r="AP38" s="617" t="s">
        <v>1575</v>
      </c>
      <c r="AQ38" s="332" t="s">
        <v>1591</v>
      </c>
      <c r="AR38" s="332" t="s">
        <v>1592</v>
      </c>
      <c r="AS38" s="617" t="s">
        <v>1593</v>
      </c>
      <c r="AT38" s="616">
        <v>1895</v>
      </c>
      <c r="AV38" s="1315">
        <f>IF(AV36="仅显示1890_2012","",VLOOKUP(AV36,AS33:AT155,2,FALSE))</f>
        <v>1894</v>
      </c>
      <c r="AZ38" s="638"/>
      <c r="BA38" s="638"/>
      <c r="BB38" s="638"/>
    </row>
    <row r="39" spans="2:54" ht="17.25" customHeight="1">
      <c r="B39" s="503">
        <v>15</v>
      </c>
      <c r="C39" s="38">
        <v>19</v>
      </c>
      <c r="D39" s="360" t="s">
        <v>1594</v>
      </c>
      <c r="E39" s="360"/>
      <c r="F39" s="521"/>
      <c r="I39" s="538" t="s">
        <v>1595</v>
      </c>
      <c r="J39" s="539" t="s">
        <v>1596</v>
      </c>
      <c r="K39" s="540" t="s">
        <v>1597</v>
      </c>
      <c r="L39" s="540" t="s">
        <v>1598</v>
      </c>
      <c r="M39" s="551" t="s">
        <v>1599</v>
      </c>
      <c r="O39" s="492" t="s">
        <v>1600</v>
      </c>
      <c r="Q39" s="526"/>
      <c r="S39" s="1999" t="str">
        <f>IF(人物卡!I11="",""," 身体状态:"&amp;人物卡!I11&amp;CHAR(9))&amp;IF(人物卡!R11="",""," 精神状态:"&amp;人物卡!R11&amp;CHAR(9))</f>
        <v xml:space="preserve"> 身体状态:健康	 精神状态:清醒	</v>
      </c>
      <c r="T39" s="1999"/>
      <c r="U39" s="1999"/>
      <c r="V39" s="1999"/>
      <c r="X39" s="578" t="s">
        <v>109</v>
      </c>
      <c r="Y39" s="526"/>
      <c r="AE39" s="616">
        <v>1896</v>
      </c>
      <c r="AF39" s="331" t="s">
        <v>1601</v>
      </c>
      <c r="AG39" s="331"/>
      <c r="AH39" s="331"/>
      <c r="AI39" s="331" t="s">
        <v>1602</v>
      </c>
      <c r="AJ39" s="331"/>
      <c r="AK39" s="331"/>
      <c r="AL39" s="331" t="s">
        <v>1530</v>
      </c>
      <c r="AM39" s="331" t="s">
        <v>1603</v>
      </c>
      <c r="AN39" s="331" t="s">
        <v>1604</v>
      </c>
      <c r="AO39" s="617" t="s">
        <v>1605</v>
      </c>
      <c r="AP39" s="617" t="s">
        <v>1575</v>
      </c>
      <c r="AQ39" s="332" t="s">
        <v>1606</v>
      </c>
      <c r="AR39" s="332" t="s">
        <v>1607</v>
      </c>
      <c r="AS39" s="617" t="s">
        <v>1608</v>
      </c>
      <c r="AT39" s="616">
        <v>1896</v>
      </c>
      <c r="AV39" s="1315"/>
      <c r="AZ39" s="638"/>
      <c r="BA39" s="638"/>
      <c r="BB39" s="638"/>
    </row>
    <row r="40" spans="2:54" ht="17.25" customHeight="1">
      <c r="B40" s="503">
        <v>20</v>
      </c>
      <c r="C40" s="38">
        <v>39</v>
      </c>
      <c r="D40" s="360" t="s">
        <v>1609</v>
      </c>
      <c r="E40" s="360"/>
      <c r="F40" s="521"/>
      <c r="I40" s="317" t="s">
        <v>1610</v>
      </c>
      <c r="J40" s="170" t="s">
        <v>1611</v>
      </c>
      <c r="K40" s="160" t="s">
        <v>1612</v>
      </c>
      <c r="L40" s="170" t="s">
        <v>1598</v>
      </c>
      <c r="M40" s="550" t="s">
        <v>1613</v>
      </c>
      <c r="O40" s="492" t="s">
        <v>1614</v>
      </c>
      <c r="Q40" s="526"/>
      <c r="S40" s="1999" t="str">
        <f>IF(人物卡!AP52="","","&amp;DB="&amp;人物卡!AP52&amp;" 体格:"&amp;人物卡!AP55)&amp;IF(OR(人物卡!AP57="",,人物卡!R29&lt;&gt;人物卡!J29),""," 闪避:"&amp;人物卡!AP57)&amp;IF(人物卡!AN10="",""," 护甲:"&amp;人物卡!AN10)</f>
        <v>&amp;DB=+1D4 体格:1 护甲:0</v>
      </c>
      <c r="T40" s="1999"/>
      <c r="U40" s="1999"/>
      <c r="V40" s="1999"/>
      <c r="X40" s="578" t="s">
        <v>111</v>
      </c>
      <c r="Y40" s="526"/>
      <c r="AE40" s="616">
        <v>1897</v>
      </c>
      <c r="AF40" s="331" t="s">
        <v>92</v>
      </c>
      <c r="AG40" s="331"/>
      <c r="AH40" s="331"/>
      <c r="AI40" s="331" t="s">
        <v>92</v>
      </c>
      <c r="AJ40" s="331"/>
      <c r="AK40" s="331"/>
      <c r="AL40" s="331" t="s">
        <v>1530</v>
      </c>
      <c r="AM40" s="331" t="s">
        <v>1615</v>
      </c>
      <c r="AN40" s="331" t="s">
        <v>1616</v>
      </c>
      <c r="AO40" s="617" t="s">
        <v>1617</v>
      </c>
      <c r="AP40" s="617" t="s">
        <v>1618</v>
      </c>
      <c r="AQ40" s="332" t="s">
        <v>1619</v>
      </c>
      <c r="AR40" s="332" t="s">
        <v>1620</v>
      </c>
      <c r="AS40" s="617" t="s">
        <v>1621</v>
      </c>
      <c r="AT40" s="616">
        <v>1897</v>
      </c>
      <c r="AV40" s="1315"/>
    </row>
    <row r="41" spans="2:54" ht="17.25" customHeight="1">
      <c r="B41" s="503">
        <v>40</v>
      </c>
      <c r="C41" s="38">
        <v>49</v>
      </c>
      <c r="D41" s="360" t="s">
        <v>1622</v>
      </c>
      <c r="E41" s="360"/>
      <c r="F41" s="521"/>
      <c r="I41" s="538" t="s">
        <v>1623</v>
      </c>
      <c r="J41" s="540" t="s">
        <v>1624</v>
      </c>
      <c r="K41" s="539" t="s">
        <v>1625</v>
      </c>
      <c r="L41" s="540" t="s">
        <v>405</v>
      </c>
      <c r="M41" s="552" t="s">
        <v>1626</v>
      </c>
      <c r="O41" s="492" t="s">
        <v>1627</v>
      </c>
      <c r="Q41" s="526"/>
      <c r="S41" s="1999" t="str">
        <f>IF(人物卡!G54="",IF(人物卡!B54="",""," &amp;"&amp;人物卡!B54&amp;"="&amp;人物卡!W54)," &amp;"&amp;人物卡!B54&amp;"="&amp;VLOOKUP(人物卡!G54,'武器列表 战斗'!B2:T105,19,FALSE))</f>
        <v/>
      </c>
      <c r="T41" s="1999"/>
      <c r="U41" s="1999"/>
      <c r="V41" s="1999"/>
      <c r="X41" s="578" t="s">
        <v>114</v>
      </c>
      <c r="Y41" s="526"/>
      <c r="AE41" s="616">
        <v>1898</v>
      </c>
      <c r="AF41" s="331" t="s">
        <v>1628</v>
      </c>
      <c r="AG41" s="263" t="s">
        <v>1629</v>
      </c>
      <c r="AH41" s="331"/>
      <c r="AI41" s="331" t="s">
        <v>1630</v>
      </c>
      <c r="AJ41" s="331"/>
      <c r="AK41" s="619"/>
      <c r="AL41" s="331" t="s">
        <v>1631</v>
      </c>
      <c r="AM41" s="331" t="s">
        <v>1632</v>
      </c>
      <c r="AN41" s="331" t="s">
        <v>1633</v>
      </c>
      <c r="AO41" s="331" t="s">
        <v>1634</v>
      </c>
      <c r="AP41" s="617" t="s">
        <v>1635</v>
      </c>
      <c r="AQ41" s="332" t="s">
        <v>1636</v>
      </c>
      <c r="AR41" s="332" t="s">
        <v>1637</v>
      </c>
      <c r="AS41" s="617" t="s">
        <v>1638</v>
      </c>
      <c r="AT41" s="616">
        <v>1898</v>
      </c>
      <c r="AV41" s="1315"/>
    </row>
    <row r="42" spans="2:54" ht="17.25" customHeight="1">
      <c r="B42" s="503">
        <v>50</v>
      </c>
      <c r="C42" s="38">
        <v>59</v>
      </c>
      <c r="D42" s="360" t="s">
        <v>1639</v>
      </c>
      <c r="E42" s="360"/>
      <c r="F42" s="521"/>
      <c r="I42" s="317" t="s">
        <v>1640</v>
      </c>
      <c r="J42" s="170" t="s">
        <v>1641</v>
      </c>
      <c r="K42" s="160" t="s">
        <v>1642</v>
      </c>
      <c r="L42" s="170" t="s">
        <v>1643</v>
      </c>
      <c r="M42" s="550" t="s">
        <v>1644</v>
      </c>
      <c r="O42" s="492" t="s">
        <v>1645</v>
      </c>
      <c r="Q42" s="526"/>
      <c r="S42" s="1999" t="str">
        <f>IF(人物卡!G55="",IF(人物卡!B55="",""," &amp;"&amp;人物卡!B55&amp;"="&amp;人物卡!W55)," &amp;"&amp;人物卡!B55&amp;"="&amp;VLOOKUP(人物卡!G55,'武器列表 战斗'!B2:T105,19,FALSE))</f>
        <v xml:space="preserve"> &amp;好用的刀=1D4+[DB]</v>
      </c>
      <c r="T42" s="1999"/>
      <c r="U42" s="1999"/>
      <c r="V42" s="1999"/>
      <c r="X42" s="578" t="s">
        <v>116</v>
      </c>
      <c r="Y42" s="526"/>
      <c r="AE42" s="616">
        <v>1899</v>
      </c>
      <c r="AF42" s="481" t="s">
        <v>1646</v>
      </c>
      <c r="AG42" s="331"/>
      <c r="AH42" s="331"/>
      <c r="AI42" s="331" t="s">
        <v>92</v>
      </c>
      <c r="AJ42" s="331"/>
      <c r="AK42" s="331"/>
      <c r="AL42" s="331" t="s">
        <v>1530</v>
      </c>
      <c r="AM42" s="331" t="s">
        <v>1647</v>
      </c>
      <c r="AN42" s="331" t="s">
        <v>1648</v>
      </c>
      <c r="AO42" s="617" t="s">
        <v>1649</v>
      </c>
      <c r="AP42" s="617" t="s">
        <v>1635</v>
      </c>
      <c r="AQ42" s="332" t="s">
        <v>1650</v>
      </c>
      <c r="AR42" s="332" t="s">
        <v>1651</v>
      </c>
      <c r="AS42" s="617" t="s">
        <v>1652</v>
      </c>
      <c r="AT42" s="616">
        <v>1899</v>
      </c>
      <c r="AV42" s="1315"/>
    </row>
    <row r="43" spans="2:54" ht="17.25" customHeight="1">
      <c r="B43" s="503">
        <v>60</v>
      </c>
      <c r="C43" s="38">
        <v>69</v>
      </c>
      <c r="D43" s="360" t="s">
        <v>1653</v>
      </c>
      <c r="E43" s="360"/>
      <c r="F43" s="521"/>
      <c r="I43" s="538" t="s">
        <v>1654</v>
      </c>
      <c r="J43" s="540" t="s">
        <v>1655</v>
      </c>
      <c r="K43" s="541" t="s">
        <v>1656</v>
      </c>
      <c r="L43" s="539" t="s">
        <v>1598</v>
      </c>
      <c r="M43" s="552" t="s">
        <v>1657</v>
      </c>
      <c r="O43" s="492" t="s">
        <v>1658</v>
      </c>
      <c r="Q43" s="526"/>
      <c r="S43" s="1999" t="str">
        <f>IF(人物卡!G56="",IF(人物卡!B56="",""," &amp;"&amp;人物卡!B56&amp;"="&amp;人物卡!W56)," &amp;"&amp;人物卡!B56&amp;"="&amp;VLOOKUP(人物卡!G56,'武器列表 战斗'!B2:T105,19,FALSE))</f>
        <v xml:space="preserve"> &amp;好用的枪=1D8+1D4</v>
      </c>
      <c r="T43" s="1999"/>
      <c r="U43" s="1999"/>
      <c r="V43" s="1999"/>
      <c r="X43" s="578" t="s">
        <v>69</v>
      </c>
      <c r="Y43" s="526"/>
      <c r="AE43" s="616">
        <v>1900</v>
      </c>
      <c r="AF43" s="331" t="s">
        <v>1659</v>
      </c>
      <c r="AG43" s="331" t="s">
        <v>1660</v>
      </c>
      <c r="AH43" s="331"/>
      <c r="AI43" s="331" t="s">
        <v>1661</v>
      </c>
      <c r="AJ43" s="331" t="s">
        <v>1662</v>
      </c>
      <c r="AK43" s="331"/>
      <c r="AL43" s="331" t="s">
        <v>1663</v>
      </c>
      <c r="AM43" s="331" t="s">
        <v>1664</v>
      </c>
      <c r="AN43" s="331" t="s">
        <v>1665</v>
      </c>
      <c r="AO43" s="617" t="s">
        <v>1666</v>
      </c>
      <c r="AP43" s="617" t="s">
        <v>1635</v>
      </c>
      <c r="AQ43" s="332" t="s">
        <v>1667</v>
      </c>
      <c r="AR43" s="332" t="s">
        <v>1668</v>
      </c>
      <c r="AS43" s="617" t="s">
        <v>1669</v>
      </c>
      <c r="AT43" s="616">
        <v>1900</v>
      </c>
      <c r="AV43" s="1315"/>
    </row>
    <row r="44" spans="2:54" ht="17.25" customHeight="1">
      <c r="B44" s="503">
        <v>70</v>
      </c>
      <c r="C44" s="38">
        <v>79</v>
      </c>
      <c r="D44" s="360" t="s">
        <v>1670</v>
      </c>
      <c r="E44" s="360"/>
      <c r="F44" s="521"/>
      <c r="I44" s="317" t="s">
        <v>1671</v>
      </c>
      <c r="J44" s="170" t="s">
        <v>1641</v>
      </c>
      <c r="K44" s="481" t="s">
        <v>1672</v>
      </c>
      <c r="L44" s="160" t="s">
        <v>1598</v>
      </c>
      <c r="M44" s="550" t="s">
        <v>1673</v>
      </c>
      <c r="O44" s="492" t="s">
        <v>1674</v>
      </c>
      <c r="Q44" s="526"/>
      <c r="S44" s="1999" t="str">
        <f>S41&amp;S42&amp;S43</f>
        <v xml:space="preserve"> &amp;好用的刀=1D4+[DB] &amp;好用的枪=1D8+1D4</v>
      </c>
      <c r="T44" s="1999"/>
      <c r="U44" s="1999"/>
      <c r="V44" s="1999"/>
      <c r="X44" s="580" t="s">
        <v>121</v>
      </c>
      <c r="Y44" s="526"/>
      <c r="AE44" s="616">
        <v>1901</v>
      </c>
      <c r="AF44" s="331" t="s">
        <v>1675</v>
      </c>
      <c r="AG44" s="331"/>
      <c r="AH44" s="331"/>
      <c r="AI44" s="331" t="s">
        <v>1676</v>
      </c>
      <c r="AJ44" s="331"/>
      <c r="AK44" s="331"/>
      <c r="AL44" s="331" t="s">
        <v>1663</v>
      </c>
      <c r="AM44" s="331" t="s">
        <v>1677</v>
      </c>
      <c r="AN44" s="331" t="s">
        <v>1678</v>
      </c>
      <c r="AO44" s="617" t="s">
        <v>1679</v>
      </c>
      <c r="AP44" s="617" t="s">
        <v>1680</v>
      </c>
      <c r="AQ44" s="332" t="s">
        <v>1681</v>
      </c>
      <c r="AR44" s="332" t="s">
        <v>1682</v>
      </c>
      <c r="AS44" s="617" t="s">
        <v>1683</v>
      </c>
      <c r="AT44" s="616">
        <v>1901</v>
      </c>
      <c r="AV44" s="1315"/>
    </row>
    <row r="45" spans="2:54" ht="17.25" customHeight="1">
      <c r="B45" s="503">
        <v>80</v>
      </c>
      <c r="C45" s="38">
        <v>89</v>
      </c>
      <c r="D45" s="360" t="s">
        <v>1684</v>
      </c>
      <c r="E45" s="360"/>
      <c r="F45" s="521"/>
      <c r="I45" s="538" t="s">
        <v>1685</v>
      </c>
      <c r="J45" s="540" t="s">
        <v>1686</v>
      </c>
      <c r="K45" s="539" t="s">
        <v>1687</v>
      </c>
      <c r="L45" s="540" t="s">
        <v>1598</v>
      </c>
      <c r="M45" s="552" t="s">
        <v>1688</v>
      </c>
      <c r="O45" s="492" t="s">
        <v>1689</v>
      </c>
      <c r="Q45" s="526"/>
      <c r="S45" s="343"/>
      <c r="T45" s="343"/>
      <c r="U45" s="343"/>
      <c r="V45" s="343"/>
      <c r="X45" s="578" t="s">
        <v>125</v>
      </c>
      <c r="Y45" s="526"/>
      <c r="AE45" s="616">
        <v>1902</v>
      </c>
      <c r="AF45" s="331" t="s">
        <v>1690</v>
      </c>
      <c r="AG45" s="331"/>
      <c r="AH45" s="331"/>
      <c r="AI45" s="331" t="s">
        <v>92</v>
      </c>
      <c r="AJ45" s="331"/>
      <c r="AK45" s="331"/>
      <c r="AL45" s="331" t="s">
        <v>1663</v>
      </c>
      <c r="AM45" s="331" t="s">
        <v>1691</v>
      </c>
      <c r="AN45" s="331" t="s">
        <v>1692</v>
      </c>
      <c r="AO45" s="617" t="s">
        <v>1693</v>
      </c>
      <c r="AP45" s="617" t="s">
        <v>1694</v>
      </c>
      <c r="AQ45" s="332" t="s">
        <v>1695</v>
      </c>
      <c r="AR45" s="332" t="s">
        <v>1696</v>
      </c>
      <c r="AS45" s="617" t="s">
        <v>1697</v>
      </c>
      <c r="AT45" s="616">
        <v>1902</v>
      </c>
      <c r="AV45" s="1315"/>
    </row>
    <row r="46" spans="2:54" ht="17.25" customHeight="1">
      <c r="B46" s="503"/>
      <c r="C46" s="504" t="s">
        <v>1698</v>
      </c>
      <c r="D46" s="505" t="s">
        <v>1699</v>
      </c>
      <c r="E46" s="522" t="s">
        <v>1700</v>
      </c>
      <c r="F46" s="521"/>
      <c r="I46" s="317" t="s">
        <v>1701</v>
      </c>
      <c r="J46" s="481" t="s">
        <v>1655</v>
      </c>
      <c r="K46" s="160" t="s">
        <v>1702</v>
      </c>
      <c r="L46" s="481" t="s">
        <v>1703</v>
      </c>
      <c r="M46" s="553" t="s">
        <v>1704</v>
      </c>
      <c r="O46" s="492" t="s">
        <v>1705</v>
      </c>
      <c r="Q46" s="526"/>
      <c r="S46" s="1999" t="str">
        <f>S24&amp;S37&amp;S39&amp;S40&amp;S44</f>
        <v>.st 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时代:1920s	职业:探险家	年龄31 性别:男	住地:法国 里昂	出身:法国 格勒诺布尔	 身体状态:健康	 精神状态:清醒	&amp;DB=+1D4 体格:1 护甲:0 &amp;好用的刀=1D4+[DB] &amp;好用的枪=1D8+1D4</v>
      </c>
      <c r="T46" s="1999"/>
      <c r="U46" s="1999"/>
      <c r="V46" s="1999"/>
      <c r="X46" s="578" t="s">
        <v>130</v>
      </c>
      <c r="Y46" s="526"/>
      <c r="AE46" s="616">
        <v>1903</v>
      </c>
      <c r="AF46" s="331" t="s">
        <v>92</v>
      </c>
      <c r="AG46" s="331"/>
      <c r="AH46" s="331"/>
      <c r="AI46" s="331" t="s">
        <v>92</v>
      </c>
      <c r="AJ46" s="331"/>
      <c r="AK46" s="331"/>
      <c r="AL46" s="331" t="s">
        <v>1663</v>
      </c>
      <c r="AM46" s="331" t="s">
        <v>1706</v>
      </c>
      <c r="AN46" s="331" t="s">
        <v>1707</v>
      </c>
      <c r="AO46" s="331" t="s">
        <v>1708</v>
      </c>
      <c r="AP46" s="617" t="s">
        <v>1694</v>
      </c>
      <c r="AQ46" s="332" t="s">
        <v>1709</v>
      </c>
      <c r="AR46" s="332" t="s">
        <v>1710</v>
      </c>
      <c r="AS46" s="617" t="s">
        <v>1711</v>
      </c>
      <c r="AT46" s="616">
        <v>1903</v>
      </c>
      <c r="AV46" s="1315"/>
      <c r="BB46" s="332"/>
    </row>
    <row r="47" spans="2:54" ht="17.25" customHeight="1">
      <c r="B47" s="503"/>
      <c r="C47" s="337">
        <f>INT((C37-B45)/10)</f>
        <v>-5</v>
      </c>
      <c r="D47" s="506">
        <f>80+80*C47</f>
        <v>-320</v>
      </c>
      <c r="E47" s="523">
        <v>25</v>
      </c>
      <c r="F47" s="521"/>
      <c r="I47" s="541" t="s">
        <v>1712</v>
      </c>
      <c r="J47" s="539" t="s">
        <v>1713</v>
      </c>
      <c r="K47" s="539" t="s">
        <v>1714</v>
      </c>
      <c r="L47" s="540" t="s">
        <v>1643</v>
      </c>
      <c r="M47" s="552" t="s">
        <v>1715</v>
      </c>
      <c r="O47" s="492" t="s">
        <v>1716</v>
      </c>
      <c r="Q47" s="526"/>
      <c r="S47" s="1999"/>
      <c r="T47" s="1999"/>
      <c r="U47" s="1999"/>
      <c r="V47" s="1999"/>
      <c r="X47" s="579" t="s">
        <v>132</v>
      </c>
      <c r="Y47" s="526"/>
      <c r="AE47" s="616">
        <v>1904</v>
      </c>
      <c r="AF47" s="331" t="s">
        <v>1717</v>
      </c>
      <c r="AG47" s="331" t="s">
        <v>1718</v>
      </c>
      <c r="AH47" s="331"/>
      <c r="AI47" s="331" t="s">
        <v>92</v>
      </c>
      <c r="AJ47" s="331"/>
      <c r="AK47" s="331"/>
      <c r="AL47" s="331" t="s">
        <v>1663</v>
      </c>
      <c r="AM47" s="331" t="s">
        <v>1719</v>
      </c>
      <c r="AN47" s="331" t="s">
        <v>1720</v>
      </c>
      <c r="AO47" s="617" t="s">
        <v>1721</v>
      </c>
      <c r="AP47" s="617" t="s">
        <v>1694</v>
      </c>
      <c r="AQ47" s="332" t="s">
        <v>1722</v>
      </c>
      <c r="AR47" s="332" t="s">
        <v>1723</v>
      </c>
      <c r="AS47" s="481" t="s">
        <v>1724</v>
      </c>
      <c r="AT47" s="616">
        <v>1904</v>
      </c>
      <c r="AV47" s="1315"/>
      <c r="BB47" s="332"/>
    </row>
    <row r="48" spans="2:54" ht="17.25" customHeight="1">
      <c r="B48" s="507"/>
      <c r="C48" s="507">
        <f>C37</f>
        <v>31</v>
      </c>
      <c r="D48" s="508" t="str">
        <f>"进步*4,SCD共-"&amp;D47&amp;" A-"&amp;E47</f>
        <v>进步*4,SCD共--320 A-25</v>
      </c>
      <c r="E48" s="524"/>
      <c r="F48" s="524"/>
      <c r="G48" s="360"/>
      <c r="I48" s="481" t="s">
        <v>1725</v>
      </c>
      <c r="J48" s="481" t="s">
        <v>1726</v>
      </c>
      <c r="K48" s="160" t="s">
        <v>1727</v>
      </c>
      <c r="L48" s="481" t="s">
        <v>1598</v>
      </c>
      <c r="M48" s="553" t="s">
        <v>1728</v>
      </c>
      <c r="O48" s="492" t="s">
        <v>1729</v>
      </c>
      <c r="Q48" s="526"/>
      <c r="S48" s="1999"/>
      <c r="T48" s="1999"/>
      <c r="U48" s="1999"/>
      <c r="V48" s="1999"/>
      <c r="X48" s="580" t="s">
        <v>136</v>
      </c>
      <c r="Y48" s="526"/>
      <c r="AE48" s="616">
        <v>1905</v>
      </c>
      <c r="AF48" s="331" t="s">
        <v>1730</v>
      </c>
      <c r="AG48" s="331"/>
      <c r="AH48" s="331"/>
      <c r="AI48" s="331" t="s">
        <v>92</v>
      </c>
      <c r="AJ48" s="331"/>
      <c r="AK48" s="331"/>
      <c r="AL48" s="331" t="s">
        <v>1663</v>
      </c>
      <c r="AM48" s="331" t="s">
        <v>1731</v>
      </c>
      <c r="AN48" s="331" t="s">
        <v>1732</v>
      </c>
      <c r="AO48" s="617" t="s">
        <v>1733</v>
      </c>
      <c r="AP48" s="617" t="s">
        <v>1694</v>
      </c>
      <c r="AQ48" s="332" t="s">
        <v>1734</v>
      </c>
      <c r="AR48" s="332" t="s">
        <v>1735</v>
      </c>
      <c r="AS48" s="481" t="s">
        <v>1736</v>
      </c>
      <c r="AT48" s="616">
        <v>1905</v>
      </c>
      <c r="BB48" s="332"/>
    </row>
    <row r="49" spans="5:54" ht="17.25" customHeight="1">
      <c r="I49" s="481" t="s">
        <v>1737</v>
      </c>
      <c r="J49" s="160" t="s">
        <v>456</v>
      </c>
      <c r="K49" s="160" t="s">
        <v>456</v>
      </c>
      <c r="L49" s="160" t="s">
        <v>456</v>
      </c>
      <c r="M49" s="160" t="s">
        <v>456</v>
      </c>
      <c r="O49" s="492" t="s">
        <v>1738</v>
      </c>
      <c r="Q49" s="526"/>
      <c r="S49" s="1999"/>
      <c r="T49" s="1999"/>
      <c r="U49" s="1999"/>
      <c r="V49" s="1999"/>
      <c r="X49" s="579" t="s">
        <v>138</v>
      </c>
      <c r="Y49" s="526"/>
      <c r="AE49" s="616">
        <v>1906</v>
      </c>
      <c r="AF49" s="331" t="s">
        <v>1739</v>
      </c>
      <c r="AG49" s="331" t="s">
        <v>1740</v>
      </c>
      <c r="AH49" s="331"/>
      <c r="AI49" s="331" t="s">
        <v>92</v>
      </c>
      <c r="AJ49" s="331"/>
      <c r="AK49" s="331"/>
      <c r="AL49" s="331" t="s">
        <v>1663</v>
      </c>
      <c r="AM49" s="331" t="s">
        <v>1741</v>
      </c>
      <c r="AN49" s="331" t="s">
        <v>1742</v>
      </c>
      <c r="AO49" s="617" t="s">
        <v>1743</v>
      </c>
      <c r="AP49" s="617" t="s">
        <v>1694</v>
      </c>
      <c r="AQ49" s="332" t="s">
        <v>1744</v>
      </c>
      <c r="AR49" s="332" t="s">
        <v>1745</v>
      </c>
      <c r="AS49" s="481" t="s">
        <v>1746</v>
      </c>
      <c r="AT49" s="616">
        <v>1906</v>
      </c>
      <c r="BB49" s="332"/>
    </row>
    <row r="50" spans="5:54" ht="17.25" customHeight="1">
      <c r="O50" s="492" t="s">
        <v>1747</v>
      </c>
      <c r="Q50" s="526"/>
      <c r="S50" s="1999"/>
      <c r="T50" s="1999"/>
      <c r="U50" s="1999"/>
      <c r="V50" s="1999"/>
      <c r="X50" s="579" t="s">
        <v>140</v>
      </c>
      <c r="Y50" s="526"/>
      <c r="AE50" s="616">
        <v>1907</v>
      </c>
      <c r="AF50" s="331" t="s">
        <v>92</v>
      </c>
      <c r="AG50" s="331"/>
      <c r="AH50" s="331"/>
      <c r="AI50" s="331" t="s">
        <v>92</v>
      </c>
      <c r="AJ50" s="331"/>
      <c r="AK50" s="331"/>
      <c r="AL50" s="331" t="s">
        <v>1663</v>
      </c>
      <c r="AM50" s="331" t="s">
        <v>1748</v>
      </c>
      <c r="AN50" s="331" t="s">
        <v>1749</v>
      </c>
      <c r="AO50" s="617" t="s">
        <v>1750</v>
      </c>
      <c r="AP50" s="617" t="s">
        <v>1694</v>
      </c>
      <c r="AQ50" s="332" t="s">
        <v>1751</v>
      </c>
      <c r="AR50" s="332" t="s">
        <v>1752</v>
      </c>
      <c r="AS50" s="481" t="s">
        <v>1753</v>
      </c>
      <c r="AT50" s="616">
        <v>1907</v>
      </c>
      <c r="BB50" s="332"/>
    </row>
    <row r="51" spans="5:54" ht="17.25" customHeight="1">
      <c r="O51" s="492" t="s">
        <v>1754</v>
      </c>
      <c r="Q51" s="526"/>
      <c r="S51" s="1999"/>
      <c r="T51" s="1999"/>
      <c r="U51" s="1999"/>
      <c r="V51" s="1999"/>
      <c r="X51" s="578" t="s">
        <v>142</v>
      </c>
      <c r="Y51" s="526"/>
      <c r="AE51" s="616">
        <v>1908</v>
      </c>
      <c r="AF51" s="331" t="s">
        <v>1755</v>
      </c>
      <c r="AG51" s="331"/>
      <c r="AH51" s="331"/>
      <c r="AI51" s="331" t="s">
        <v>92</v>
      </c>
      <c r="AJ51" s="331"/>
      <c r="AK51" s="331"/>
      <c r="AL51" s="331" t="s">
        <v>1663</v>
      </c>
      <c r="AM51" s="331" t="s">
        <v>1756</v>
      </c>
      <c r="AN51" s="331" t="s">
        <v>1757</v>
      </c>
      <c r="AO51" s="617" t="s">
        <v>1758</v>
      </c>
      <c r="AP51" s="617" t="s">
        <v>1694</v>
      </c>
      <c r="AQ51" s="332" t="s">
        <v>1759</v>
      </c>
      <c r="AR51" s="332" t="s">
        <v>1760</v>
      </c>
      <c r="AS51" s="481" t="s">
        <v>1761</v>
      </c>
      <c r="AT51" s="616">
        <v>1908</v>
      </c>
      <c r="BA51" s="641"/>
      <c r="BB51" s="332"/>
    </row>
    <row r="52" spans="5:54" ht="17.25" customHeight="1">
      <c r="E52" s="1715" t="str">
        <f>IF(人物卡!M5=0," ","["&amp;LOOKUP(人物卡!M5,职业列表!A2:A232,职业列表!B2:B232)&amp;"]")</f>
        <v>[探险家]</v>
      </c>
      <c r="F52" s="2006"/>
      <c r="G52" s="2006"/>
      <c r="H52" s="2007" t="s">
        <v>1762</v>
      </c>
      <c r="I52" s="2008"/>
      <c r="J52" s="2009" t="str">
        <f>IF(人物卡!M5=0," ","["&amp;LOOKUP(人物卡!M5,职业列表!A2:C232,职业列表!E2:E232)&amp;"]")</f>
        <v>[教育×2＋外貌或敏捷或力量×2]</v>
      </c>
      <c r="K52" s="2010"/>
      <c r="O52" s="492" t="s">
        <v>1763</v>
      </c>
      <c r="Q52" s="526"/>
      <c r="S52" s="1999"/>
      <c r="T52" s="1999"/>
      <c r="U52" s="1999"/>
      <c r="V52" s="1999"/>
      <c r="X52" s="578" t="s">
        <v>144</v>
      </c>
      <c r="Y52" s="526"/>
      <c r="AE52" s="616">
        <v>1909</v>
      </c>
      <c r="AF52" s="331" t="s">
        <v>92</v>
      </c>
      <c r="AG52" s="331"/>
      <c r="AH52" s="331"/>
      <c r="AI52" s="331" t="s">
        <v>92</v>
      </c>
      <c r="AJ52" s="331"/>
      <c r="AK52" s="331"/>
      <c r="AL52" s="331" t="s">
        <v>1764</v>
      </c>
      <c r="AM52" s="331" t="s">
        <v>1765</v>
      </c>
      <c r="AN52" s="331" t="s">
        <v>1766</v>
      </c>
      <c r="AO52" s="617" t="s">
        <v>1767</v>
      </c>
      <c r="AP52" s="617" t="s">
        <v>1768</v>
      </c>
      <c r="AQ52" s="332" t="s">
        <v>1769</v>
      </c>
      <c r="AR52" s="332" t="s">
        <v>1770</v>
      </c>
      <c r="AS52" s="481" t="s">
        <v>1771</v>
      </c>
      <c r="AT52" s="616">
        <v>1909</v>
      </c>
      <c r="BA52" s="451"/>
      <c r="BB52" s="332"/>
    </row>
    <row r="53" spans="5:54" ht="17.25" customHeight="1">
      <c r="E53" s="2053" t="str">
        <f>IF(人物卡!M5=0," ","["&amp;LOOKUP(人物卡!M5,职业列表!A2:A232,职业列表!B2:B232)&amp;"]的本职技能："&amp;LOOKUP(人物卡!M5,职业列表!A2:A232,职业列表!G2:G232))</f>
        <v>[探险家]的本职技能：人类学，考古学，估价，科学（生物学），攀爬，急救，射击（手枪、来复枪），格斗（斗殴），博物学，导航，其他语言（任意），驾驶（小艇，船，热气球），骑术，潜行，侦查，游泳，追踪</v>
      </c>
      <c r="F53" s="2054"/>
      <c r="G53" s="2054"/>
      <c r="H53" s="2054"/>
      <c r="I53" s="2055"/>
      <c r="J53" s="2062">
        <f>IF(人物卡!M5=0," ",LOOKUP(人物卡!M5,职业列表!A2:C232,职业列表!F2:F232))</f>
        <v>310</v>
      </c>
      <c r="K53" s="2063"/>
      <c r="O53" s="492" t="s">
        <v>1772</v>
      </c>
      <c r="Q53" s="526"/>
      <c r="S53" s="1999"/>
      <c r="T53" s="1999"/>
      <c r="U53" s="1999"/>
      <c r="V53" s="1999"/>
      <c r="X53" s="578" t="s">
        <v>147</v>
      </c>
      <c r="Y53" s="526"/>
      <c r="AE53" s="616">
        <v>1910</v>
      </c>
      <c r="AF53" s="331" t="s">
        <v>92</v>
      </c>
      <c r="AG53" s="331"/>
      <c r="AH53" s="331"/>
      <c r="AI53" s="331" t="s">
        <v>92</v>
      </c>
      <c r="AJ53" s="331"/>
      <c r="AK53" s="331"/>
      <c r="AL53" s="331" t="s">
        <v>1773</v>
      </c>
      <c r="AM53" s="331" t="s">
        <v>1774</v>
      </c>
      <c r="AN53" s="331" t="s">
        <v>1775</v>
      </c>
      <c r="AO53" s="617" t="s">
        <v>1776</v>
      </c>
      <c r="AP53" s="617" t="s">
        <v>1777</v>
      </c>
      <c r="AQ53" s="332" t="s">
        <v>1778</v>
      </c>
      <c r="AR53" s="332" t="s">
        <v>1779</v>
      </c>
      <c r="AS53" s="481" t="s">
        <v>1780</v>
      </c>
      <c r="AT53" s="616">
        <v>1910</v>
      </c>
      <c r="BA53" s="451"/>
      <c r="BB53" s="332"/>
    </row>
    <row r="54" spans="5:54" ht="17.25" customHeight="1">
      <c r="E54" s="2056"/>
      <c r="F54" s="2057"/>
      <c r="G54" s="2057"/>
      <c r="H54" s="2057"/>
      <c r="I54" s="2058"/>
      <c r="J54" s="2064"/>
      <c r="K54" s="2065"/>
      <c r="O54" s="492" t="s">
        <v>1781</v>
      </c>
      <c r="Q54" s="526"/>
      <c r="S54" s="1999"/>
      <c r="T54" s="1999"/>
      <c r="U54" s="1999"/>
      <c r="V54" s="1999"/>
      <c r="X54" s="578" t="s">
        <v>149</v>
      </c>
      <c r="Y54" s="526"/>
      <c r="AE54" s="616">
        <v>1911</v>
      </c>
      <c r="AF54" s="331" t="s">
        <v>92</v>
      </c>
      <c r="AG54" s="331"/>
      <c r="AH54" s="331"/>
      <c r="AI54" s="331" t="s">
        <v>1782</v>
      </c>
      <c r="AJ54" s="331"/>
      <c r="AK54" s="331"/>
      <c r="AL54" s="331" t="s">
        <v>1783</v>
      </c>
      <c r="AM54" s="331" t="s">
        <v>1784</v>
      </c>
      <c r="AN54" s="331" t="s">
        <v>1785</v>
      </c>
      <c r="AO54" s="617" t="s">
        <v>1786</v>
      </c>
      <c r="AP54" s="331" t="s">
        <v>1787</v>
      </c>
      <c r="AQ54" s="332" t="s">
        <v>1788</v>
      </c>
      <c r="AR54" s="332" t="s">
        <v>1789</v>
      </c>
      <c r="AS54" s="481" t="s">
        <v>1790</v>
      </c>
      <c r="AT54" s="616">
        <v>1911</v>
      </c>
      <c r="BA54" s="451"/>
      <c r="BB54" s="332"/>
    </row>
    <row r="55" spans="5:54" ht="17.25" customHeight="1">
      <c r="E55" s="2056"/>
      <c r="F55" s="2057"/>
      <c r="G55" s="2057"/>
      <c r="H55" s="2057"/>
      <c r="I55" s="2058"/>
      <c r="J55" s="2064"/>
      <c r="K55" s="2065"/>
      <c r="O55" s="492" t="s">
        <v>1791</v>
      </c>
      <c r="Q55" s="526"/>
      <c r="S55" s="1999"/>
      <c r="T55" s="1999"/>
      <c r="U55" s="1999"/>
      <c r="V55" s="1999"/>
      <c r="X55" s="579" t="s">
        <v>151</v>
      </c>
      <c r="Y55" s="526"/>
      <c r="AE55" s="616">
        <v>1912</v>
      </c>
      <c r="AF55" s="331" t="s">
        <v>1792</v>
      </c>
      <c r="AG55" s="331" t="s">
        <v>1793</v>
      </c>
      <c r="AH55" s="331"/>
      <c r="AI55" s="331" t="s">
        <v>1794</v>
      </c>
      <c r="AJ55" s="331" t="s">
        <v>1795</v>
      </c>
      <c r="AK55" s="331"/>
      <c r="AL55" s="331" t="s">
        <v>1796</v>
      </c>
      <c r="AM55" s="331" t="s">
        <v>1797</v>
      </c>
      <c r="AN55" s="331" t="s">
        <v>1798</v>
      </c>
      <c r="AO55" s="617" t="s">
        <v>1799</v>
      </c>
      <c r="AP55" s="617" t="s">
        <v>1777</v>
      </c>
      <c r="AQ55" s="332" t="s">
        <v>1800</v>
      </c>
      <c r="AR55" s="481" t="s">
        <v>1801</v>
      </c>
      <c r="AS55" s="481" t="s">
        <v>1802</v>
      </c>
      <c r="AT55" s="616">
        <v>1912</v>
      </c>
      <c r="AZ55" s="451"/>
      <c r="BB55" s="332"/>
    </row>
    <row r="56" spans="5:54" ht="17.25" customHeight="1">
      <c r="E56" s="2056"/>
      <c r="F56" s="2057"/>
      <c r="G56" s="2057"/>
      <c r="H56" s="2057"/>
      <c r="I56" s="2058"/>
      <c r="J56" s="2064"/>
      <c r="K56" s="2065"/>
      <c r="O56" s="492" t="s">
        <v>1803</v>
      </c>
      <c r="Q56" s="526"/>
      <c r="S56" s="1999"/>
      <c r="T56" s="1999"/>
      <c r="U56" s="1999"/>
      <c r="V56" s="1999"/>
      <c r="X56" s="580" t="s">
        <v>153</v>
      </c>
      <c r="Y56" s="526"/>
      <c r="AE56" s="616">
        <v>1913</v>
      </c>
      <c r="AF56" s="331" t="s">
        <v>1804</v>
      </c>
      <c r="AG56" s="331"/>
      <c r="AH56" s="331"/>
      <c r="AI56" s="331" t="s">
        <v>92</v>
      </c>
      <c r="AJ56" s="331"/>
      <c r="AK56" s="331"/>
      <c r="AL56" s="617" t="s">
        <v>1805</v>
      </c>
      <c r="AM56" s="331" t="s">
        <v>1806</v>
      </c>
      <c r="AN56" s="331" t="s">
        <v>1807</v>
      </c>
      <c r="AO56" s="617" t="s">
        <v>1808</v>
      </c>
      <c r="AP56" s="617" t="s">
        <v>1809</v>
      </c>
      <c r="AQ56" s="332" t="s">
        <v>1800</v>
      </c>
      <c r="AR56" s="481" t="s">
        <v>1810</v>
      </c>
      <c r="AT56" s="616">
        <v>1913</v>
      </c>
      <c r="AZ56" s="451"/>
      <c r="BB56" s="332"/>
    </row>
    <row r="57" spans="5:54" ht="17.25" customHeight="1">
      <c r="E57" s="2056"/>
      <c r="F57" s="2057"/>
      <c r="G57" s="2057"/>
      <c r="H57" s="2057"/>
      <c r="I57" s="2058"/>
      <c r="J57" s="2064"/>
      <c r="K57" s="2065"/>
      <c r="O57" s="492" t="s">
        <v>195</v>
      </c>
      <c r="Q57" s="526"/>
      <c r="S57" s="1999"/>
      <c r="T57" s="1999"/>
      <c r="U57" s="1999"/>
      <c r="V57" s="1999"/>
      <c r="X57" s="579" t="s">
        <v>155</v>
      </c>
      <c r="Y57" s="526"/>
      <c r="AE57" s="616">
        <v>1914</v>
      </c>
      <c r="AF57" s="617" t="s">
        <v>1811</v>
      </c>
      <c r="AG57" s="617"/>
      <c r="AH57" s="617"/>
      <c r="AI57" s="331" t="s">
        <v>92</v>
      </c>
      <c r="AJ57" s="331"/>
      <c r="AK57" s="331"/>
      <c r="AL57" s="617" t="s">
        <v>1805</v>
      </c>
      <c r="AM57" s="331" t="s">
        <v>1812</v>
      </c>
      <c r="AN57" s="331" t="s">
        <v>1813</v>
      </c>
      <c r="AO57" s="331" t="s">
        <v>1814</v>
      </c>
      <c r="AP57" s="617" t="s">
        <v>1815</v>
      </c>
      <c r="AQ57" s="332" t="s">
        <v>1800</v>
      </c>
      <c r="AR57" s="481" t="s">
        <v>1810</v>
      </c>
      <c r="AT57" s="616">
        <v>1914</v>
      </c>
      <c r="AZ57" s="639"/>
      <c r="BB57" s="332"/>
    </row>
    <row r="58" spans="5:54" ht="17.25" customHeight="1">
      <c r="E58" s="2059"/>
      <c r="F58" s="2060"/>
      <c r="G58" s="2060"/>
      <c r="H58" s="2060"/>
      <c r="I58" s="2061"/>
      <c r="J58" s="2066"/>
      <c r="K58" s="2067"/>
      <c r="O58" s="495" t="s">
        <v>456</v>
      </c>
      <c r="P58" s="497"/>
      <c r="Q58" s="527"/>
      <c r="S58" s="1999"/>
      <c r="T58" s="1999"/>
      <c r="U58" s="1999"/>
      <c r="V58" s="1999"/>
      <c r="X58" s="578" t="s">
        <v>157</v>
      </c>
      <c r="Y58" s="526"/>
      <c r="AE58" s="616">
        <v>1915</v>
      </c>
      <c r="AF58" s="617" t="s">
        <v>1811</v>
      </c>
      <c r="AG58" s="617"/>
      <c r="AH58" s="617"/>
      <c r="AI58" s="331" t="s">
        <v>1816</v>
      </c>
      <c r="AJ58" s="331"/>
      <c r="AK58" s="331"/>
      <c r="AL58" s="617" t="s">
        <v>1805</v>
      </c>
      <c r="AM58" s="331" t="s">
        <v>1817</v>
      </c>
      <c r="AN58" s="331" t="s">
        <v>1818</v>
      </c>
      <c r="AO58" s="617" t="s">
        <v>1819</v>
      </c>
      <c r="AP58" s="617" t="s">
        <v>1815</v>
      </c>
      <c r="AQ58" s="332" t="s">
        <v>1820</v>
      </c>
      <c r="AR58" s="481" t="s">
        <v>1810</v>
      </c>
      <c r="AS58" s="481" t="s">
        <v>1821</v>
      </c>
      <c r="AT58" s="616">
        <v>1915</v>
      </c>
      <c r="BA58" s="628"/>
      <c r="BB58" s="332"/>
    </row>
    <row r="59" spans="5:54" ht="17.25" customHeight="1">
      <c r="E59" s="481" t="str">
        <f>IF(人物卡!M5=0," ",LOOKUP(人物卡!M5,职业列表!A2:C232,职业列表!E2:E232))</f>
        <v>教育×2＋外貌或敏捷或力量×2</v>
      </c>
      <c r="S59" s="1999"/>
      <c r="T59" s="1999"/>
      <c r="U59" s="1999"/>
      <c r="V59" s="1999"/>
      <c r="X59" s="578" t="s">
        <v>61</v>
      </c>
      <c r="Y59" s="526"/>
      <c r="AE59" s="616">
        <v>1916</v>
      </c>
      <c r="AF59" s="331" t="s">
        <v>1811</v>
      </c>
      <c r="AG59" s="331" t="s">
        <v>1822</v>
      </c>
      <c r="AH59" s="331"/>
      <c r="AI59" s="331" t="s">
        <v>1823</v>
      </c>
      <c r="AJ59" s="331"/>
      <c r="AK59" s="331"/>
      <c r="AL59" s="617" t="s">
        <v>1805</v>
      </c>
      <c r="AM59" s="331" t="s">
        <v>1824</v>
      </c>
      <c r="AN59" s="331" t="s">
        <v>1825</v>
      </c>
      <c r="AO59" s="617" t="s">
        <v>1826</v>
      </c>
      <c r="AP59" s="617" t="s">
        <v>1815</v>
      </c>
      <c r="AQ59" s="332" t="s">
        <v>1827</v>
      </c>
      <c r="AR59" s="481" t="s">
        <v>1828</v>
      </c>
      <c r="AS59" s="481" t="s">
        <v>1829</v>
      </c>
      <c r="AT59" s="616">
        <v>1916</v>
      </c>
      <c r="BA59" s="628"/>
      <c r="BB59" s="332"/>
    </row>
    <row r="60" spans="5:54" ht="17.25" customHeight="1">
      <c r="S60" s="1999"/>
      <c r="T60" s="1999"/>
      <c r="U60" s="1999"/>
      <c r="V60" s="1999"/>
      <c r="X60" s="578" t="s">
        <v>63</v>
      </c>
      <c r="Y60" s="526"/>
      <c r="AB60" s="481" t="s">
        <v>1830</v>
      </c>
      <c r="AE60" s="616">
        <v>1917</v>
      </c>
      <c r="AF60" s="331" t="s">
        <v>1811</v>
      </c>
      <c r="AG60" s="331" t="s">
        <v>1831</v>
      </c>
      <c r="AH60" s="331"/>
      <c r="AI60" s="331" t="s">
        <v>1832</v>
      </c>
      <c r="AJ60" s="331" t="s">
        <v>1833</v>
      </c>
      <c r="AK60" s="331"/>
      <c r="AL60" s="617" t="s">
        <v>1805</v>
      </c>
      <c r="AM60" s="331" t="s">
        <v>1834</v>
      </c>
      <c r="AN60" s="331" t="s">
        <v>1835</v>
      </c>
      <c r="AO60" s="617" t="s">
        <v>1836</v>
      </c>
      <c r="AP60" s="617" t="s">
        <v>1815</v>
      </c>
      <c r="AQ60" s="332" t="s">
        <v>1837</v>
      </c>
      <c r="AR60" s="481" t="s">
        <v>1838</v>
      </c>
      <c r="AS60" s="481" t="s">
        <v>1839</v>
      </c>
      <c r="AT60" s="616">
        <v>1917</v>
      </c>
      <c r="AV60" s="628"/>
      <c r="AW60" s="628"/>
      <c r="AX60" s="628"/>
      <c r="AY60" s="628"/>
      <c r="AZ60" s="628"/>
      <c r="BA60" s="639"/>
      <c r="BB60" s="332"/>
    </row>
    <row r="61" spans="5:54" ht="17.25" customHeight="1">
      <c r="S61" s="1999"/>
      <c r="T61" s="1999"/>
      <c r="U61" s="1999"/>
      <c r="V61" s="1999"/>
      <c r="X61" s="578" t="s">
        <v>67</v>
      </c>
      <c r="Y61" s="526"/>
      <c r="AA61" s="481" t="s">
        <v>1830</v>
      </c>
      <c r="AB61" s="481" t="e">
        <f>IF(ISBLANK(#REF!),"",#REF!)</f>
        <v>#REF!</v>
      </c>
      <c r="AC61" s="481" t="s">
        <v>1830</v>
      </c>
      <c r="AE61" s="616">
        <v>1918</v>
      </c>
      <c r="AF61" s="617" t="s">
        <v>1811</v>
      </c>
      <c r="AG61" s="617"/>
      <c r="AH61" s="617"/>
      <c r="AI61" s="331" t="s">
        <v>92</v>
      </c>
      <c r="AJ61" s="331"/>
      <c r="AK61" s="331"/>
      <c r="AL61" s="617" t="s">
        <v>1805</v>
      </c>
      <c r="AM61" s="331" t="s">
        <v>1840</v>
      </c>
      <c r="AN61" s="331" t="s">
        <v>1841</v>
      </c>
      <c r="AO61" s="617" t="s">
        <v>1842</v>
      </c>
      <c r="AP61" s="617" t="s">
        <v>1815</v>
      </c>
      <c r="AQ61" s="332" t="s">
        <v>1843</v>
      </c>
      <c r="AR61" s="481" t="s">
        <v>1844</v>
      </c>
      <c r="AS61" s="481" t="s">
        <v>1845</v>
      </c>
      <c r="AT61" s="616">
        <v>1918</v>
      </c>
      <c r="AV61" s="628"/>
      <c r="AW61" s="628"/>
      <c r="AX61" s="628"/>
      <c r="AY61" s="628"/>
      <c r="AZ61" s="628"/>
      <c r="BA61" s="628"/>
      <c r="BB61" s="332"/>
    </row>
    <row r="62" spans="5:54" ht="17.25" customHeight="1">
      <c r="X62" s="578" t="s">
        <v>71</v>
      </c>
      <c r="Y62" s="526"/>
      <c r="AB62" s="481" t="s">
        <v>1830</v>
      </c>
      <c r="AE62" s="616">
        <v>1919</v>
      </c>
      <c r="AF62" s="331" t="s">
        <v>1846</v>
      </c>
      <c r="AG62" s="331"/>
      <c r="AH62" s="331"/>
      <c r="AI62" s="331" t="s">
        <v>1847</v>
      </c>
      <c r="AJ62" s="331"/>
      <c r="AK62" s="331"/>
      <c r="AL62" s="617" t="s">
        <v>1805</v>
      </c>
      <c r="AM62" s="331" t="s">
        <v>1848</v>
      </c>
      <c r="AN62" s="331" t="s">
        <v>1849</v>
      </c>
      <c r="AO62" s="617" t="s">
        <v>1850</v>
      </c>
      <c r="AP62" s="331" t="s">
        <v>1851</v>
      </c>
      <c r="AQ62" s="332" t="s">
        <v>1852</v>
      </c>
      <c r="AR62" s="481" t="s">
        <v>1853</v>
      </c>
      <c r="AS62" s="481" t="s">
        <v>1854</v>
      </c>
      <c r="AT62" s="616">
        <v>1919</v>
      </c>
      <c r="AV62" s="628"/>
      <c r="AW62" s="628"/>
      <c r="AX62" s="628"/>
      <c r="AY62" s="628"/>
      <c r="AZ62" s="628"/>
      <c r="BA62" s="628"/>
      <c r="BB62" s="332"/>
    </row>
    <row r="63" spans="5:54" ht="17.25" customHeight="1">
      <c r="S63" s="2000"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艾迪安·多雷-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v>
      </c>
      <c r="T63" s="2000"/>
      <c r="U63" s="2000"/>
      <c r="V63" s="2000"/>
      <c r="X63" s="578" t="s">
        <v>73</v>
      </c>
      <c r="Y63" s="526"/>
      <c r="AE63" s="616">
        <v>1920</v>
      </c>
      <c r="AF63" s="331" t="s">
        <v>1855</v>
      </c>
      <c r="AG63" s="331" t="s">
        <v>1856</v>
      </c>
      <c r="AH63" s="331"/>
      <c r="AI63" s="331" t="s">
        <v>1857</v>
      </c>
      <c r="AJ63" s="331"/>
      <c r="AK63" s="331"/>
      <c r="AL63" s="331" t="s">
        <v>1858</v>
      </c>
      <c r="AM63" s="331" t="s">
        <v>1859</v>
      </c>
      <c r="AN63" s="331" t="s">
        <v>1860</v>
      </c>
      <c r="AO63" s="617" t="s">
        <v>1861</v>
      </c>
      <c r="AP63" s="617" t="s">
        <v>1862</v>
      </c>
      <c r="AQ63" s="332" t="s">
        <v>1863</v>
      </c>
      <c r="AR63" s="481" t="s">
        <v>1864</v>
      </c>
      <c r="AS63" s="481" t="s">
        <v>1865</v>
      </c>
      <c r="AT63" s="616">
        <v>1920</v>
      </c>
      <c r="AW63" s="629"/>
      <c r="BB63" s="332"/>
    </row>
    <row r="64" spans="5:54" ht="17.25" customHeight="1">
      <c r="S64" s="2000"/>
      <c r="T64" s="2000"/>
      <c r="U64" s="2000"/>
      <c r="V64" s="2000"/>
      <c r="X64" s="578" t="s">
        <v>75</v>
      </c>
      <c r="Y64" s="526"/>
      <c r="AE64" s="616">
        <v>1921</v>
      </c>
      <c r="AF64" s="331" t="s">
        <v>1855</v>
      </c>
      <c r="AG64" s="331"/>
      <c r="AH64" s="331"/>
      <c r="AI64" s="331" t="s">
        <v>1866</v>
      </c>
      <c r="AJ64" s="331"/>
      <c r="AK64" s="331"/>
      <c r="AL64" s="331" t="s">
        <v>1858</v>
      </c>
      <c r="AM64" s="331" t="s">
        <v>1867</v>
      </c>
      <c r="AN64" s="331" t="s">
        <v>1868</v>
      </c>
      <c r="AO64" s="617" t="s">
        <v>1869</v>
      </c>
      <c r="AP64" s="617" t="s">
        <v>1870</v>
      </c>
      <c r="AQ64" s="332" t="s">
        <v>1871</v>
      </c>
      <c r="AR64" s="481" t="s">
        <v>1872</v>
      </c>
      <c r="AS64" s="481" t="s">
        <v>1873</v>
      </c>
      <c r="AT64" s="616">
        <v>1921</v>
      </c>
      <c r="AV64" s="629"/>
      <c r="AW64" s="629"/>
      <c r="BB64" s="332"/>
    </row>
    <row r="65" spans="2:54" ht="17.25" customHeight="1">
      <c r="S65" s="2000"/>
      <c r="T65" s="2000"/>
      <c r="U65" s="2000"/>
      <c r="V65" s="2000"/>
      <c r="X65" s="578" t="s">
        <v>77</v>
      </c>
      <c r="Y65" s="526"/>
      <c r="AE65" s="616">
        <v>1922</v>
      </c>
      <c r="AF65" s="331" t="s">
        <v>1855</v>
      </c>
      <c r="AG65" s="331"/>
      <c r="AH65" s="331"/>
      <c r="AI65" s="331" t="s">
        <v>92</v>
      </c>
      <c r="AJ65" s="331"/>
      <c r="AK65" s="331"/>
      <c r="AL65" s="331" t="s">
        <v>1858</v>
      </c>
      <c r="AM65" s="331" t="s">
        <v>1874</v>
      </c>
      <c r="AN65" s="331" t="s">
        <v>1875</v>
      </c>
      <c r="AO65" s="617" t="s">
        <v>1876</v>
      </c>
      <c r="AP65" s="331" t="s">
        <v>1877</v>
      </c>
      <c r="AQ65" s="332" t="s">
        <v>1878</v>
      </c>
      <c r="AR65" s="481" t="s">
        <v>1879</v>
      </c>
      <c r="AS65" s="481" t="s">
        <v>1880</v>
      </c>
      <c r="AT65" s="616">
        <v>1922</v>
      </c>
      <c r="AV65" s="629"/>
      <c r="AW65" s="629"/>
      <c r="BB65" s="332"/>
    </row>
    <row r="66" spans="2:54" ht="17.25" customHeight="1">
      <c r="B66" s="332"/>
      <c r="C66" s="332"/>
      <c r="D66" s="332"/>
      <c r="E66" s="332"/>
      <c r="F66" s="332"/>
      <c r="G66" s="332"/>
      <c r="H66" s="332"/>
      <c r="I66" s="332"/>
      <c r="J66" s="332"/>
      <c r="K66" s="332"/>
      <c r="L66" s="332"/>
      <c r="S66" s="2000"/>
      <c r="T66" s="2000"/>
      <c r="U66" s="2000"/>
      <c r="V66" s="2000"/>
      <c r="X66" s="578" t="s">
        <v>79</v>
      </c>
      <c r="Y66" s="526"/>
      <c r="AE66" s="616">
        <v>1923</v>
      </c>
      <c r="AF66" s="331" t="s">
        <v>1855</v>
      </c>
      <c r="AG66" s="331"/>
      <c r="AH66" s="331"/>
      <c r="AI66" s="331" t="s">
        <v>92</v>
      </c>
      <c r="AJ66" s="331"/>
      <c r="AK66" s="331"/>
      <c r="AL66" s="331" t="s">
        <v>1858</v>
      </c>
      <c r="AM66" s="331" t="s">
        <v>1881</v>
      </c>
      <c r="AN66" s="331" t="s">
        <v>1882</v>
      </c>
      <c r="AO66" s="617" t="s">
        <v>1883</v>
      </c>
      <c r="AP66" s="617" t="s">
        <v>1884</v>
      </c>
      <c r="AQ66" s="332" t="s">
        <v>1885</v>
      </c>
      <c r="AR66" s="481" t="s">
        <v>1886</v>
      </c>
      <c r="AS66" s="481" t="s">
        <v>1887</v>
      </c>
      <c r="AT66" s="616">
        <v>1923</v>
      </c>
      <c r="AV66" s="629"/>
      <c r="AW66" s="629"/>
      <c r="BB66" s="332"/>
    </row>
    <row r="67" spans="2:54" ht="17.25" customHeight="1">
      <c r="G67" s="646"/>
      <c r="H67" s="646"/>
      <c r="I67" s="646"/>
      <c r="S67" s="2000"/>
      <c r="T67" s="2000"/>
      <c r="U67" s="2000"/>
      <c r="V67" s="2000"/>
      <c r="X67" s="578" t="s">
        <v>82</v>
      </c>
      <c r="Y67" s="526"/>
      <c r="AE67" s="616">
        <v>1924</v>
      </c>
      <c r="AF67" s="331" t="s">
        <v>1855</v>
      </c>
      <c r="AG67" s="331" t="s">
        <v>1659</v>
      </c>
      <c r="AH67" s="331"/>
      <c r="AI67" s="331" t="s">
        <v>1888</v>
      </c>
      <c r="AJ67" s="331"/>
      <c r="AK67" s="331"/>
      <c r="AL67" s="331" t="s">
        <v>1858</v>
      </c>
      <c r="AM67" s="331" t="s">
        <v>1889</v>
      </c>
      <c r="AN67" s="331" t="s">
        <v>1890</v>
      </c>
      <c r="AO67" s="617" t="s">
        <v>1891</v>
      </c>
      <c r="AP67" s="617" t="s">
        <v>1892</v>
      </c>
      <c r="AQ67" s="332" t="s">
        <v>1893</v>
      </c>
      <c r="AR67" s="481" t="s">
        <v>1894</v>
      </c>
      <c r="AS67" s="481" t="s">
        <v>1895</v>
      </c>
      <c r="AT67" s="616">
        <v>1924</v>
      </c>
      <c r="BB67" s="332"/>
    </row>
    <row r="68" spans="2:54" ht="17.25" customHeight="1">
      <c r="G68" s="317"/>
      <c r="S68" s="2000"/>
      <c r="T68" s="2000"/>
      <c r="U68" s="2000"/>
      <c r="V68" s="2000"/>
      <c r="X68" s="578" t="s">
        <v>87</v>
      </c>
      <c r="Y68" s="526"/>
      <c r="AE68" s="616">
        <v>1925</v>
      </c>
      <c r="AF68" s="331" t="s">
        <v>1855</v>
      </c>
      <c r="AG68" s="331"/>
      <c r="AH68" s="331"/>
      <c r="AI68" s="331" t="s">
        <v>1896</v>
      </c>
      <c r="AJ68" s="331"/>
      <c r="AK68" s="331"/>
      <c r="AL68" s="331" t="s">
        <v>1858</v>
      </c>
      <c r="AM68" s="331" t="s">
        <v>1897</v>
      </c>
      <c r="AN68" s="331" t="s">
        <v>1898</v>
      </c>
      <c r="AO68" s="331" t="s">
        <v>1899</v>
      </c>
      <c r="AP68" s="617" t="s">
        <v>1900</v>
      </c>
      <c r="AQ68" s="332" t="s">
        <v>1901</v>
      </c>
      <c r="AR68" s="481" t="s">
        <v>1902</v>
      </c>
      <c r="AS68" s="481" t="s">
        <v>1903</v>
      </c>
      <c r="AT68" s="616">
        <v>1925</v>
      </c>
      <c r="AV68" s="629"/>
      <c r="AW68" s="629"/>
      <c r="BB68" s="332"/>
    </row>
    <row r="69" spans="2:54" ht="17.25" customHeight="1">
      <c r="G69" s="170"/>
      <c r="S69" s="2000"/>
      <c r="T69" s="2000"/>
      <c r="U69" s="2000"/>
      <c r="V69" s="2000"/>
      <c r="X69" s="578" t="s">
        <v>95</v>
      </c>
      <c r="Y69" s="526"/>
      <c r="AE69" s="616">
        <v>1926</v>
      </c>
      <c r="AF69" s="331" t="s">
        <v>1855</v>
      </c>
      <c r="AG69" s="331" t="s">
        <v>1904</v>
      </c>
      <c r="AH69" s="331"/>
      <c r="AI69" s="331" t="s">
        <v>1905</v>
      </c>
      <c r="AJ69" s="331"/>
      <c r="AK69" s="331"/>
      <c r="AL69" s="331" t="s">
        <v>1858</v>
      </c>
      <c r="AM69" s="331" t="s">
        <v>1906</v>
      </c>
      <c r="AN69" s="331" t="s">
        <v>1907</v>
      </c>
      <c r="AO69" s="617" t="s">
        <v>1908</v>
      </c>
      <c r="AP69" s="331" t="s">
        <v>1909</v>
      </c>
      <c r="AQ69" s="332" t="s">
        <v>1910</v>
      </c>
      <c r="AR69" s="481" t="s">
        <v>1911</v>
      </c>
      <c r="AS69" s="481" t="s">
        <v>1912</v>
      </c>
      <c r="AT69" s="616">
        <v>1926</v>
      </c>
      <c r="AV69" s="629"/>
      <c r="AW69" s="629"/>
      <c r="BB69" s="332"/>
    </row>
    <row r="70" spans="2:54" ht="17.25" customHeight="1">
      <c r="G70" s="170"/>
      <c r="S70" s="2000"/>
      <c r="T70" s="2000"/>
      <c r="U70" s="2000"/>
      <c r="V70" s="2000"/>
      <c r="X70" s="578" t="s">
        <v>97</v>
      </c>
      <c r="Y70" s="526"/>
      <c r="AE70" s="616">
        <v>1927</v>
      </c>
      <c r="AF70" s="331" t="s">
        <v>1855</v>
      </c>
      <c r="AG70" s="331"/>
      <c r="AH70" s="331"/>
      <c r="AI70" s="331" t="s">
        <v>1913</v>
      </c>
      <c r="AJ70" s="331" t="s">
        <v>1914</v>
      </c>
      <c r="AK70" s="331"/>
      <c r="AL70" s="331" t="s">
        <v>1858</v>
      </c>
      <c r="AM70" s="331" t="s">
        <v>1915</v>
      </c>
      <c r="AN70" s="331" t="s">
        <v>1916</v>
      </c>
      <c r="AO70" s="617" t="s">
        <v>1917</v>
      </c>
      <c r="AP70" s="331" t="s">
        <v>1918</v>
      </c>
      <c r="AQ70" s="332" t="s">
        <v>1919</v>
      </c>
      <c r="AR70" s="481" t="s">
        <v>1920</v>
      </c>
      <c r="AS70" s="481" t="s">
        <v>1921</v>
      </c>
      <c r="AT70" s="616">
        <v>1927</v>
      </c>
      <c r="AV70" s="629"/>
      <c r="AW70" s="629"/>
      <c r="BB70" s="332"/>
    </row>
    <row r="71" spans="2:54" ht="17.25" customHeight="1">
      <c r="G71" s="170"/>
      <c r="S71" s="2000"/>
      <c r="T71" s="2000"/>
      <c r="U71" s="2000"/>
      <c r="V71" s="2000"/>
      <c r="X71" s="578" t="s">
        <v>104</v>
      </c>
      <c r="Y71" s="526"/>
      <c r="AE71" s="616">
        <v>1928</v>
      </c>
      <c r="AF71" s="331" t="s">
        <v>1855</v>
      </c>
      <c r="AG71" s="331" t="s">
        <v>1922</v>
      </c>
      <c r="AH71" s="331"/>
      <c r="AI71" s="331" t="s">
        <v>1923</v>
      </c>
      <c r="AJ71" s="331"/>
      <c r="AK71" s="331"/>
      <c r="AL71" s="331" t="s">
        <v>1858</v>
      </c>
      <c r="AM71" s="331" t="s">
        <v>1924</v>
      </c>
      <c r="AN71" s="331" t="s">
        <v>1925</v>
      </c>
      <c r="AO71" s="331" t="s">
        <v>1926</v>
      </c>
      <c r="AP71" s="617" t="s">
        <v>1927</v>
      </c>
      <c r="AQ71" s="332" t="s">
        <v>1928</v>
      </c>
      <c r="AR71" s="481" t="s">
        <v>1929</v>
      </c>
      <c r="AS71" s="481" t="s">
        <v>1930</v>
      </c>
      <c r="AT71" s="616">
        <v>1928</v>
      </c>
      <c r="AW71" s="656"/>
      <c r="AY71" s="656"/>
      <c r="BA71" s="656"/>
      <c r="BB71" s="332"/>
    </row>
    <row r="72" spans="2:54" ht="17.25" customHeight="1">
      <c r="S72" s="2000"/>
      <c r="T72" s="2000"/>
      <c r="U72" s="2000"/>
      <c r="V72" s="2000"/>
      <c r="X72" s="578" t="s">
        <v>106</v>
      </c>
      <c r="Y72" s="526"/>
      <c r="AA72" s="15"/>
      <c r="AB72" s="15"/>
      <c r="AE72" s="616">
        <v>1929</v>
      </c>
      <c r="AF72" s="331" t="s">
        <v>1855</v>
      </c>
      <c r="AG72" s="331" t="s">
        <v>1931</v>
      </c>
      <c r="AH72" s="331"/>
      <c r="AI72" s="331" t="s">
        <v>92</v>
      </c>
      <c r="AJ72" s="331"/>
      <c r="AK72" s="331"/>
      <c r="AL72" s="331" t="s">
        <v>1858</v>
      </c>
      <c r="AM72" s="331" t="s">
        <v>1932</v>
      </c>
      <c r="AN72" s="331" t="s">
        <v>1933</v>
      </c>
      <c r="AO72" s="617" t="s">
        <v>1934</v>
      </c>
      <c r="AP72" s="331" t="s">
        <v>1935</v>
      </c>
      <c r="AQ72" s="332" t="s">
        <v>1936</v>
      </c>
      <c r="AR72" s="481" t="s">
        <v>1937</v>
      </c>
      <c r="AS72" s="481" t="s">
        <v>1938</v>
      </c>
      <c r="AT72" s="616">
        <v>1929</v>
      </c>
      <c r="AV72" s="656"/>
      <c r="AW72" s="656"/>
      <c r="AX72" s="656"/>
      <c r="AY72" s="656"/>
      <c r="AZ72" s="656"/>
      <c r="BA72" s="656"/>
      <c r="BB72" s="332"/>
    </row>
    <row r="73" spans="2:54" ht="17.25" customHeight="1">
      <c r="S73" s="2000"/>
      <c r="T73" s="2000"/>
      <c r="U73" s="2000"/>
      <c r="V73" s="2000"/>
      <c r="X73" s="578" t="s">
        <v>110</v>
      </c>
      <c r="Y73" s="526"/>
      <c r="AA73" s="15"/>
      <c r="AB73" s="15"/>
      <c r="AE73" s="616">
        <v>1930</v>
      </c>
      <c r="AF73" s="331" t="s">
        <v>92</v>
      </c>
      <c r="AG73" s="331"/>
      <c r="AH73" s="331"/>
      <c r="AI73" s="331" t="s">
        <v>92</v>
      </c>
      <c r="AJ73" s="331"/>
      <c r="AK73" s="331"/>
      <c r="AL73" s="331" t="s">
        <v>1939</v>
      </c>
      <c r="AM73" s="331" t="s">
        <v>1940</v>
      </c>
      <c r="AN73" s="331" t="s">
        <v>1941</v>
      </c>
      <c r="AO73" s="617" t="s">
        <v>1942</v>
      </c>
      <c r="AP73" s="331" t="s">
        <v>1943</v>
      </c>
      <c r="AQ73" s="332" t="s">
        <v>1944</v>
      </c>
      <c r="AR73" s="481" t="s">
        <v>1945</v>
      </c>
      <c r="AS73" s="481" t="s">
        <v>1946</v>
      </c>
      <c r="AT73" s="616">
        <v>1930</v>
      </c>
      <c r="AV73" s="656"/>
      <c r="AW73" s="656"/>
      <c r="AX73" s="656"/>
      <c r="AY73" s="656"/>
      <c r="AZ73" s="656"/>
      <c r="BA73" s="656"/>
      <c r="BB73" s="332"/>
    </row>
    <row r="74" spans="2:54" ht="17.25" customHeight="1">
      <c r="S74" s="2000"/>
      <c r="T74" s="2000"/>
      <c r="U74" s="2000"/>
      <c r="V74" s="2000"/>
      <c r="X74" s="580" t="s">
        <v>112</v>
      </c>
      <c r="Y74" s="526"/>
      <c r="AA74" s="15"/>
      <c r="AB74" s="15"/>
      <c r="AE74" s="616">
        <v>1931</v>
      </c>
      <c r="AF74" s="331" t="s">
        <v>92</v>
      </c>
      <c r="AG74" s="331"/>
      <c r="AH74" s="331"/>
      <c r="AI74" s="655" t="s">
        <v>1947</v>
      </c>
      <c r="AJ74" s="655" t="s">
        <v>1948</v>
      </c>
      <c r="AK74" s="655"/>
      <c r="AL74" s="331" t="s">
        <v>1939</v>
      </c>
      <c r="AM74" s="331" t="s">
        <v>1949</v>
      </c>
      <c r="AN74" s="331" t="s">
        <v>1950</v>
      </c>
      <c r="AO74" s="617" t="s">
        <v>1951</v>
      </c>
      <c r="AP74" s="331" t="s">
        <v>1952</v>
      </c>
      <c r="AQ74" s="332" t="s">
        <v>1953</v>
      </c>
      <c r="AR74" s="481" t="s">
        <v>1954</v>
      </c>
      <c r="AS74" s="481" t="s">
        <v>1955</v>
      </c>
      <c r="AT74" s="616">
        <v>1931</v>
      </c>
      <c r="AV74" s="656"/>
      <c r="AW74" s="656"/>
      <c r="AX74" s="656"/>
      <c r="AY74" s="656"/>
      <c r="AZ74" s="656"/>
      <c r="BA74" s="656"/>
      <c r="BB74" s="332"/>
    </row>
    <row r="75" spans="2:54" ht="17.25" customHeight="1">
      <c r="M75" s="343"/>
      <c r="N75" s="343"/>
      <c r="O75" s="343"/>
      <c r="P75" s="343"/>
      <c r="S75" s="332"/>
      <c r="T75" s="332"/>
      <c r="U75" s="332"/>
      <c r="V75" s="332"/>
      <c r="X75" s="580" t="s">
        <v>115</v>
      </c>
      <c r="Y75" s="526"/>
      <c r="AA75" s="15"/>
      <c r="AB75" s="15"/>
      <c r="AE75" s="616">
        <v>1932</v>
      </c>
      <c r="AF75" s="653" t="s">
        <v>1956</v>
      </c>
      <c r="AG75" s="331" t="s">
        <v>1957</v>
      </c>
      <c r="AH75" s="653"/>
      <c r="AI75" s="331" t="s">
        <v>1958</v>
      </c>
      <c r="AK75" s="331"/>
      <c r="AL75" s="331" t="s">
        <v>1939</v>
      </c>
      <c r="AM75" s="331" t="s">
        <v>1959</v>
      </c>
      <c r="AN75" s="331" t="s">
        <v>1960</v>
      </c>
      <c r="AO75" s="617" t="s">
        <v>1961</v>
      </c>
      <c r="AP75" s="331" t="s">
        <v>1962</v>
      </c>
      <c r="AQ75" s="332" t="s">
        <v>1963</v>
      </c>
      <c r="AR75" s="481" t="s">
        <v>1964</v>
      </c>
      <c r="AS75" s="481" t="s">
        <v>1965</v>
      </c>
      <c r="AT75" s="616">
        <v>1932</v>
      </c>
      <c r="AV75" s="656"/>
      <c r="AW75" s="656"/>
      <c r="AX75" s="656"/>
      <c r="AY75" s="656"/>
      <c r="AZ75" s="656"/>
      <c r="BA75" s="656"/>
      <c r="BB75" s="332"/>
    </row>
    <row r="76" spans="2:54" ht="17.25" customHeight="1">
      <c r="M76" s="343"/>
      <c r="N76" s="343"/>
      <c r="O76" s="343"/>
      <c r="P76" s="343"/>
      <c r="S76" s="1999"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艾迪安·多雷？力量90str90敏捷40dex40意志75pow75体质50con50外貌65app65教育65edu65体型70siz70智力80灵感80int80san75san值75理智75理智值75幸运70运气70mp15魔法15hp12体力12会计5人类学1估价5考古学1取悦49魅惑49攀爬20计算机5计算机使用5电脑5信用50信誉50信用评级50克苏鲁0克苏鲁神话0cm0乔装5闪避44汽车20驾驶20汽车驾驶20电气维修10电子学1话术5斗殴65手枪70急救30历史5恐吓15跳跃20母语65法律5图书馆20图书馆使用20聆听49开锁1撬锁1锁匠1机械维修10医学1博物学50自然学50领航10导航10神秘学5重型操作1重型机械1操作重型机械1重型1说服49精神分析1心理学49骑术5妙手10侦查70潜行60生存10游泳20投掷20追踪50驯兽5潜水1爆破1读唇1催眠1炮术1</v>
      </c>
      <c r="T76" s="1999"/>
      <c r="U76" s="1999"/>
      <c r="V76" s="1999"/>
      <c r="X76" s="578" t="s">
        <v>117</v>
      </c>
      <c r="Y76" s="526"/>
      <c r="AA76" s="15"/>
      <c r="AB76" s="15"/>
      <c r="AE76" s="616">
        <v>1933</v>
      </c>
      <c r="AF76" s="653" t="s">
        <v>1966</v>
      </c>
      <c r="AG76" s="653"/>
      <c r="AH76" s="653"/>
      <c r="AI76" s="331" t="s">
        <v>1967</v>
      </c>
      <c r="AJ76" s="331"/>
      <c r="AK76" s="331"/>
      <c r="AL76" s="331" t="s">
        <v>1939</v>
      </c>
      <c r="AM76" s="331" t="s">
        <v>1968</v>
      </c>
      <c r="AN76" s="331" t="s">
        <v>1969</v>
      </c>
      <c r="AO76" s="617" t="s">
        <v>1970</v>
      </c>
      <c r="AP76" s="331" t="s">
        <v>1971</v>
      </c>
      <c r="AQ76" s="332" t="s">
        <v>1972</v>
      </c>
      <c r="AR76" s="481" t="s">
        <v>1973</v>
      </c>
      <c r="AS76" s="481" t="s">
        <v>1974</v>
      </c>
      <c r="AT76" s="616">
        <v>1933</v>
      </c>
      <c r="AV76" s="656"/>
      <c r="AW76" s="656"/>
      <c r="AX76" s="656"/>
      <c r="AY76" s="656"/>
      <c r="AZ76" s="656"/>
      <c r="BA76" s="656"/>
      <c r="BB76" s="332"/>
    </row>
    <row r="77" spans="2:54" ht="17.25" customHeight="1">
      <c r="M77" s="343"/>
      <c r="N77" s="343"/>
      <c r="O77" s="343"/>
      <c r="P77" s="343"/>
      <c r="S77" s="1999"/>
      <c r="T77" s="1999"/>
      <c r="U77" s="1999"/>
      <c r="V77" s="1999"/>
      <c r="X77" s="578" t="s">
        <v>120</v>
      </c>
      <c r="Y77" s="526"/>
      <c r="AA77" s="15"/>
      <c r="AB77" s="15"/>
      <c r="AE77" s="616">
        <v>1934</v>
      </c>
      <c r="AF77" s="331" t="s">
        <v>92</v>
      </c>
      <c r="AG77" s="331"/>
      <c r="AH77" s="331"/>
      <c r="AI77" s="655" t="s">
        <v>1975</v>
      </c>
      <c r="AJ77" s="655"/>
      <c r="AK77" s="655"/>
      <c r="AL77" s="331" t="s">
        <v>1939</v>
      </c>
      <c r="AM77" s="331" t="s">
        <v>1976</v>
      </c>
      <c r="AN77" s="331" t="s">
        <v>1977</v>
      </c>
      <c r="AO77" s="617" t="s">
        <v>1978</v>
      </c>
      <c r="AP77" s="617" t="s">
        <v>1979</v>
      </c>
      <c r="AQ77" s="332" t="s">
        <v>1980</v>
      </c>
      <c r="AR77" s="481" t="s">
        <v>1981</v>
      </c>
      <c r="AS77" s="481" t="s">
        <v>1982</v>
      </c>
      <c r="AT77" s="616">
        <v>1934</v>
      </c>
      <c r="AV77" s="656"/>
      <c r="AW77" s="656"/>
      <c r="AX77" s="656"/>
      <c r="AY77" s="656"/>
      <c r="AZ77" s="656"/>
      <c r="BA77" s="656"/>
      <c r="BB77" s="332"/>
    </row>
    <row r="78" spans="2:54" ht="17.25" customHeight="1">
      <c r="M78" s="343"/>
      <c r="N78" s="343"/>
      <c r="O78" s="343"/>
      <c r="P78" s="343"/>
      <c r="S78" s="1999"/>
      <c r="T78" s="1999"/>
      <c r="U78" s="1999"/>
      <c r="V78" s="1999"/>
      <c r="X78" s="578" t="s">
        <v>122</v>
      </c>
      <c r="Y78" s="526"/>
      <c r="AA78" s="15"/>
      <c r="AB78" s="15"/>
      <c r="AE78" s="616">
        <v>1935</v>
      </c>
      <c r="AF78" s="331" t="s">
        <v>92</v>
      </c>
      <c r="AG78" s="331"/>
      <c r="AH78" s="331"/>
      <c r="AI78" s="655" t="s">
        <v>1983</v>
      </c>
      <c r="AJ78" s="655" t="s">
        <v>1984</v>
      </c>
      <c r="AK78" s="655"/>
      <c r="AL78" s="331" t="s">
        <v>1939</v>
      </c>
      <c r="AM78" s="331" t="s">
        <v>1985</v>
      </c>
      <c r="AN78" s="331" t="s">
        <v>1986</v>
      </c>
      <c r="AO78" s="617" t="s">
        <v>1987</v>
      </c>
      <c r="AP78" s="617" t="s">
        <v>1979</v>
      </c>
      <c r="AQ78" s="332" t="s">
        <v>1988</v>
      </c>
      <c r="AR78" s="481" t="s">
        <v>1989</v>
      </c>
      <c r="AS78" s="481" t="s">
        <v>1990</v>
      </c>
      <c r="AT78" s="616">
        <v>1935</v>
      </c>
      <c r="AV78" s="639"/>
      <c r="AW78" s="639"/>
      <c r="AX78" s="658"/>
      <c r="AY78" s="658"/>
      <c r="AZ78" s="658"/>
      <c r="BA78" s="658"/>
      <c r="BB78" s="332"/>
    </row>
    <row r="79" spans="2:54" ht="17.25" customHeight="1">
      <c r="G79" s="160"/>
      <c r="H79" s="160"/>
      <c r="I79" s="170"/>
      <c r="M79" s="343"/>
      <c r="N79" s="343"/>
      <c r="O79" s="343"/>
      <c r="P79" s="343"/>
      <c r="S79" s="1999"/>
      <c r="T79" s="1999"/>
      <c r="U79" s="1999"/>
      <c r="V79" s="1999"/>
      <c r="X79" s="578" t="s">
        <v>126</v>
      </c>
      <c r="Y79" s="526"/>
      <c r="AA79" s="15"/>
      <c r="AB79" s="15"/>
      <c r="AE79" s="616">
        <v>1936</v>
      </c>
      <c r="AF79" s="654" t="s">
        <v>1991</v>
      </c>
      <c r="AG79" s="654"/>
      <c r="AH79" s="654"/>
      <c r="AI79" s="655" t="s">
        <v>1992</v>
      </c>
      <c r="AJ79" s="655" t="s">
        <v>1993</v>
      </c>
      <c r="AK79" s="655"/>
      <c r="AL79" s="331" t="s">
        <v>1939</v>
      </c>
      <c r="AM79" s="331" t="s">
        <v>1994</v>
      </c>
      <c r="AN79" s="331" t="s">
        <v>1995</v>
      </c>
      <c r="AO79" s="617" t="s">
        <v>1996</v>
      </c>
      <c r="AP79" s="617" t="s">
        <v>1979</v>
      </c>
      <c r="AQ79" s="332" t="s">
        <v>1997</v>
      </c>
      <c r="AR79" s="481" t="s">
        <v>1998</v>
      </c>
      <c r="AS79" s="481" t="s">
        <v>1999</v>
      </c>
      <c r="AT79" s="616">
        <v>1936</v>
      </c>
      <c r="AV79" s="639"/>
      <c r="AW79" s="639"/>
      <c r="AX79" s="658"/>
      <c r="AY79" s="658"/>
      <c r="AZ79" s="658"/>
      <c r="BA79" s="658"/>
      <c r="BB79" s="332"/>
    </row>
    <row r="80" spans="2:54" ht="17.25" customHeight="1">
      <c r="G80" s="160"/>
      <c r="H80" s="160"/>
      <c r="I80" s="160"/>
      <c r="M80" s="343"/>
      <c r="N80" s="343"/>
      <c r="O80" s="343"/>
      <c r="P80" s="343"/>
      <c r="S80" s="1999"/>
      <c r="T80" s="1999"/>
      <c r="U80" s="1999"/>
      <c r="V80" s="1999"/>
      <c r="X80" s="578" t="s">
        <v>131</v>
      </c>
      <c r="Y80" s="526"/>
      <c r="AA80" s="15"/>
      <c r="AB80" s="15"/>
      <c r="AE80" s="616">
        <v>1937</v>
      </c>
      <c r="AF80" s="331" t="s">
        <v>92</v>
      </c>
      <c r="AG80" s="331"/>
      <c r="AH80" s="331"/>
      <c r="AI80" s="655" t="s">
        <v>2000</v>
      </c>
      <c r="AJ80" s="655" t="s">
        <v>2001</v>
      </c>
      <c r="AK80" s="655" t="s">
        <v>2002</v>
      </c>
      <c r="AL80" s="331" t="s">
        <v>1939</v>
      </c>
      <c r="AM80" s="331" t="s">
        <v>2003</v>
      </c>
      <c r="AN80" s="331" t="s">
        <v>2004</v>
      </c>
      <c r="AO80" s="617" t="s">
        <v>2005</v>
      </c>
      <c r="AP80" s="617" t="s">
        <v>1979</v>
      </c>
      <c r="AQ80" s="332" t="s">
        <v>2006</v>
      </c>
      <c r="AR80" s="481" t="s">
        <v>2007</v>
      </c>
      <c r="AS80" s="481" t="s">
        <v>2008</v>
      </c>
      <c r="AT80" s="616">
        <v>1937</v>
      </c>
      <c r="AV80" s="639"/>
      <c r="AW80" s="639"/>
      <c r="AX80" s="658"/>
      <c r="AY80" s="658"/>
      <c r="AZ80" s="658"/>
      <c r="BA80" s="658"/>
      <c r="BB80" s="332"/>
    </row>
    <row r="81" spans="2:54" ht="17.25" customHeight="1">
      <c r="F81" s="160"/>
      <c r="G81" s="160"/>
      <c r="H81" s="160"/>
      <c r="I81" s="170"/>
      <c r="M81" s="343"/>
      <c r="N81" s="343"/>
      <c r="O81" s="343"/>
      <c r="P81" s="343"/>
      <c r="S81" s="1999"/>
      <c r="T81" s="1999"/>
      <c r="U81" s="1999"/>
      <c r="V81" s="1999"/>
      <c r="X81" s="578" t="s">
        <v>134</v>
      </c>
      <c r="Y81" s="526"/>
      <c r="AA81" s="15"/>
      <c r="AB81" s="15"/>
      <c r="AE81" s="616">
        <v>1938</v>
      </c>
      <c r="AF81" s="331" t="s">
        <v>92</v>
      </c>
      <c r="AG81" s="331"/>
      <c r="AH81" s="331"/>
      <c r="AI81" s="655" t="s">
        <v>2009</v>
      </c>
      <c r="AJ81" s="655" t="s">
        <v>2010</v>
      </c>
      <c r="AK81" s="655"/>
      <c r="AL81" s="331" t="s">
        <v>1939</v>
      </c>
      <c r="AM81" s="331" t="s">
        <v>2011</v>
      </c>
      <c r="AN81" s="331" t="s">
        <v>2012</v>
      </c>
      <c r="AO81" s="617" t="s">
        <v>2013</v>
      </c>
      <c r="AP81" s="617" t="s">
        <v>1979</v>
      </c>
      <c r="AQ81" s="332" t="s">
        <v>2014</v>
      </c>
      <c r="AR81" s="481" t="s">
        <v>2015</v>
      </c>
      <c r="AS81" s="481" t="s">
        <v>2016</v>
      </c>
      <c r="AT81" s="616">
        <v>1938</v>
      </c>
      <c r="AV81" s="639"/>
      <c r="AW81" s="639"/>
      <c r="AX81" s="658"/>
      <c r="AY81" s="658"/>
      <c r="AZ81" s="658"/>
      <c r="BA81" s="658"/>
      <c r="BB81" s="332"/>
    </row>
    <row r="82" spans="2:54" ht="17.25" customHeight="1">
      <c r="C82" s="170"/>
      <c r="E82" s="160"/>
      <c r="F82" s="160"/>
      <c r="G82" s="160"/>
      <c r="H82" s="160"/>
      <c r="I82" s="160"/>
      <c r="M82" s="343"/>
      <c r="N82" s="343"/>
      <c r="O82" s="343"/>
      <c r="P82" s="343"/>
      <c r="S82" s="1999"/>
      <c r="T82" s="1999"/>
      <c r="U82" s="1999"/>
      <c r="V82" s="1999"/>
      <c r="X82" s="578" t="s">
        <v>137</v>
      </c>
      <c r="Y82" s="526"/>
      <c r="AA82" s="15"/>
      <c r="AB82" s="15"/>
      <c r="AE82" s="616">
        <v>1939</v>
      </c>
      <c r="AF82" s="655" t="s">
        <v>2017</v>
      </c>
      <c r="AG82" s="655"/>
      <c r="AH82" s="655"/>
      <c r="AI82" s="331" t="s">
        <v>92</v>
      </c>
      <c r="AJ82" s="331"/>
      <c r="AK82" s="331"/>
      <c r="AL82" s="331" t="s">
        <v>1939</v>
      </c>
      <c r="AM82" s="331" t="s">
        <v>2018</v>
      </c>
      <c r="AN82" s="331" t="s">
        <v>2019</v>
      </c>
      <c r="AO82" s="617" t="s">
        <v>2020</v>
      </c>
      <c r="AP82" s="617" t="s">
        <v>1979</v>
      </c>
      <c r="AQ82" s="332" t="s">
        <v>2021</v>
      </c>
      <c r="AR82" s="481" t="s">
        <v>2022</v>
      </c>
      <c r="AS82" s="481" t="s">
        <v>2023</v>
      </c>
      <c r="AT82" s="616">
        <v>1939</v>
      </c>
      <c r="AV82" s="639"/>
      <c r="AW82" s="639"/>
      <c r="AX82" s="658"/>
      <c r="AY82" s="658"/>
      <c r="AZ82" s="658"/>
      <c r="BA82" s="658"/>
      <c r="BB82" s="332"/>
    </row>
    <row r="83" spans="2:54" ht="17.25" customHeight="1">
      <c r="C83" s="170"/>
      <c r="F83" s="160"/>
      <c r="G83" s="160"/>
      <c r="H83" s="160"/>
      <c r="I83" s="170"/>
      <c r="M83" s="343"/>
      <c r="N83" s="343"/>
      <c r="O83" s="343"/>
      <c r="P83" s="343"/>
      <c r="S83" s="1999"/>
      <c r="T83" s="1999"/>
      <c r="U83" s="1999"/>
      <c r="V83" s="1999"/>
      <c r="X83" s="578" t="s">
        <v>139</v>
      </c>
      <c r="Y83" s="526"/>
      <c r="AA83" s="15"/>
      <c r="AB83" s="15"/>
      <c r="AC83" s="15"/>
      <c r="AD83" s="340"/>
      <c r="AE83" s="616">
        <v>1940</v>
      </c>
      <c r="AF83" s="655" t="s">
        <v>2017</v>
      </c>
      <c r="AG83" s="655" t="s">
        <v>1822</v>
      </c>
      <c r="AH83" s="655"/>
      <c r="AI83" s="331" t="s">
        <v>2024</v>
      </c>
      <c r="AJ83" s="331"/>
      <c r="AK83" s="331"/>
      <c r="AL83" s="331" t="s">
        <v>2025</v>
      </c>
      <c r="AM83" s="331" t="s">
        <v>2026</v>
      </c>
      <c r="AN83" s="331" t="s">
        <v>2027</v>
      </c>
      <c r="AO83" s="617" t="s">
        <v>2028</v>
      </c>
      <c r="AP83" s="331" t="s">
        <v>2029</v>
      </c>
      <c r="AQ83" s="332" t="s">
        <v>2030</v>
      </c>
      <c r="AR83" s="481" t="s">
        <v>2031</v>
      </c>
      <c r="AS83" s="481" t="s">
        <v>2032</v>
      </c>
      <c r="AT83" s="616">
        <v>1940</v>
      </c>
      <c r="AV83" s="639"/>
      <c r="AW83" s="639"/>
      <c r="AX83" s="658"/>
      <c r="AY83" s="658"/>
      <c r="AZ83" s="658"/>
      <c r="BA83" s="658"/>
      <c r="BB83" s="332"/>
    </row>
    <row r="84" spans="2:54" ht="17.25" customHeight="1">
      <c r="B84" s="170"/>
      <c r="C84" s="160"/>
      <c r="E84" s="170"/>
      <c r="F84" s="170"/>
      <c r="G84" s="170"/>
      <c r="H84" s="170"/>
      <c r="I84" s="170"/>
      <c r="M84" s="343"/>
      <c r="N84" s="343"/>
      <c r="O84" s="343"/>
      <c r="P84" s="343"/>
      <c r="S84" s="1999"/>
      <c r="T84" s="1999"/>
      <c r="U84" s="1999"/>
      <c r="V84" s="1999"/>
      <c r="X84" s="580" t="s">
        <v>141</v>
      </c>
      <c r="Y84" s="526"/>
      <c r="AA84" s="15"/>
      <c r="AB84" s="15"/>
      <c r="AE84" s="616">
        <v>1941</v>
      </c>
      <c r="AF84" s="655" t="s">
        <v>2017</v>
      </c>
      <c r="AG84" s="655"/>
      <c r="AH84" s="655"/>
      <c r="AI84" s="331" t="s">
        <v>2033</v>
      </c>
      <c r="AJ84" s="331"/>
      <c r="AK84" s="331"/>
      <c r="AL84" s="331" t="s">
        <v>2025</v>
      </c>
      <c r="AM84" s="331" t="s">
        <v>2034</v>
      </c>
      <c r="AN84" s="331" t="s">
        <v>2035</v>
      </c>
      <c r="AO84" s="617" t="s">
        <v>2036</v>
      </c>
      <c r="AP84" s="617" t="s">
        <v>1979</v>
      </c>
      <c r="AQ84" s="332" t="s">
        <v>2037</v>
      </c>
      <c r="AR84" s="481" t="s">
        <v>2038</v>
      </c>
      <c r="AS84" s="481" t="s">
        <v>2039</v>
      </c>
      <c r="AT84" s="616">
        <v>1941</v>
      </c>
      <c r="AV84" s="639"/>
      <c r="AW84" s="639"/>
      <c r="AX84" s="658"/>
      <c r="AY84" s="658"/>
      <c r="AZ84" s="658"/>
      <c r="BA84" s="658"/>
      <c r="BB84" s="332"/>
    </row>
    <row r="85" spans="2:54" ht="17.25" customHeight="1">
      <c r="C85" s="170"/>
      <c r="F85" s="160"/>
      <c r="G85" s="160"/>
      <c r="H85" s="160"/>
      <c r="I85" s="170"/>
      <c r="M85" s="343"/>
      <c r="N85" s="343"/>
      <c r="O85" s="343"/>
      <c r="P85" s="343"/>
      <c r="S85" s="1999"/>
      <c r="T85" s="1999"/>
      <c r="U85" s="1999"/>
      <c r="V85" s="1999"/>
      <c r="X85" s="580" t="s">
        <v>143</v>
      </c>
      <c r="Y85" s="526"/>
      <c r="AA85" s="15"/>
      <c r="AB85" s="15"/>
      <c r="AE85" s="616">
        <v>1942</v>
      </c>
      <c r="AF85" s="655" t="s">
        <v>2017</v>
      </c>
      <c r="AG85" s="655"/>
      <c r="AH85" s="655"/>
      <c r="AI85" s="331" t="s">
        <v>92</v>
      </c>
      <c r="AJ85" s="331"/>
      <c r="AK85" s="331"/>
      <c r="AL85" s="331" t="s">
        <v>2025</v>
      </c>
      <c r="AM85" s="331" t="s">
        <v>2040</v>
      </c>
      <c r="AN85" s="331" t="s">
        <v>2041</v>
      </c>
      <c r="AO85" s="617" t="s">
        <v>2042</v>
      </c>
      <c r="AP85" s="617" t="s">
        <v>1979</v>
      </c>
      <c r="AQ85" s="332" t="s">
        <v>2043</v>
      </c>
      <c r="AR85" s="481" t="s">
        <v>2044</v>
      </c>
      <c r="AS85" s="481" t="s">
        <v>2045</v>
      </c>
      <c r="AT85" s="616">
        <v>1942</v>
      </c>
      <c r="AV85" s="639"/>
      <c r="AW85" s="639"/>
      <c r="AX85" s="658"/>
      <c r="AY85" s="658"/>
      <c r="AZ85" s="658"/>
      <c r="BA85" s="658"/>
      <c r="BB85" s="332"/>
    </row>
    <row r="86" spans="2:54" ht="17.25" customHeight="1">
      <c r="B86" s="160"/>
      <c r="C86" s="170"/>
      <c r="E86" s="160"/>
      <c r="F86" s="160"/>
      <c r="G86" s="160"/>
      <c r="H86" s="160"/>
      <c r="I86" s="160"/>
      <c r="M86" s="343"/>
      <c r="N86" s="343"/>
      <c r="O86" s="343"/>
      <c r="P86" s="343"/>
      <c r="S86" s="1999"/>
      <c r="T86" s="1999"/>
      <c r="U86" s="1999"/>
      <c r="V86" s="1999"/>
      <c r="X86" s="580" t="s">
        <v>145</v>
      </c>
      <c r="Y86" s="526"/>
      <c r="AA86" s="15"/>
      <c r="AB86" s="15"/>
      <c r="AE86" s="616">
        <v>1943</v>
      </c>
      <c r="AF86" s="655" t="s">
        <v>2017</v>
      </c>
      <c r="AG86" s="655"/>
      <c r="AH86" s="655"/>
      <c r="AI86" s="331" t="s">
        <v>92</v>
      </c>
      <c r="AJ86" s="331"/>
      <c r="AK86" s="331"/>
      <c r="AL86" s="331" t="s">
        <v>2025</v>
      </c>
      <c r="AM86" s="331" t="s">
        <v>2046</v>
      </c>
      <c r="AN86" s="331" t="s">
        <v>2047</v>
      </c>
      <c r="AO86" s="617" t="s">
        <v>2048</v>
      </c>
      <c r="AP86" s="331" t="s">
        <v>2049</v>
      </c>
      <c r="AQ86" s="332" t="s">
        <v>2050</v>
      </c>
      <c r="AR86" s="481" t="s">
        <v>2051</v>
      </c>
      <c r="AS86" s="481" t="s">
        <v>2052</v>
      </c>
      <c r="AT86" s="616">
        <v>1943</v>
      </c>
      <c r="AV86" s="639"/>
      <c r="AW86" s="639"/>
      <c r="AX86" s="658"/>
      <c r="AY86" s="658"/>
      <c r="AZ86" s="658"/>
      <c r="BA86" s="658"/>
      <c r="BB86" s="332"/>
    </row>
    <row r="87" spans="2:54" ht="17.25" customHeight="1">
      <c r="B87" s="317"/>
      <c r="C87" s="170"/>
      <c r="F87" s="160"/>
      <c r="G87" s="160"/>
      <c r="H87" s="160"/>
      <c r="I87" s="33"/>
      <c r="M87" s="343"/>
      <c r="N87" s="343"/>
      <c r="O87" s="343"/>
      <c r="P87" s="343"/>
      <c r="S87" s="1999"/>
      <c r="T87" s="1999"/>
      <c r="U87" s="1999"/>
      <c r="V87" s="1999"/>
      <c r="X87" s="580" t="s">
        <v>148</v>
      </c>
      <c r="Y87" s="526"/>
      <c r="AA87" s="15"/>
      <c r="AB87" s="15"/>
      <c r="AC87" s="15"/>
      <c r="AD87" s="15"/>
      <c r="AE87" s="616">
        <v>1944</v>
      </c>
      <c r="AF87" s="655" t="s">
        <v>2053</v>
      </c>
      <c r="AG87" s="655" t="s">
        <v>1822</v>
      </c>
      <c r="AH87" s="655"/>
      <c r="AI87" s="331" t="s">
        <v>92</v>
      </c>
      <c r="AJ87" s="331"/>
      <c r="AK87" s="331"/>
      <c r="AL87" s="331" t="s">
        <v>2025</v>
      </c>
      <c r="AM87" s="331" t="s">
        <v>2054</v>
      </c>
      <c r="AN87" s="331" t="s">
        <v>2055</v>
      </c>
      <c r="AO87" s="617" t="s">
        <v>2056</v>
      </c>
      <c r="AP87" s="617" t="s">
        <v>1979</v>
      </c>
      <c r="AQ87" s="332" t="s">
        <v>2057</v>
      </c>
      <c r="AR87" s="481" t="s">
        <v>2058</v>
      </c>
      <c r="AS87" s="481" t="s">
        <v>2059</v>
      </c>
      <c r="AT87" s="616">
        <v>1944</v>
      </c>
      <c r="AV87" s="656"/>
      <c r="AW87" s="656"/>
      <c r="AX87" s="639"/>
      <c r="AY87" s="639"/>
      <c r="AZ87" s="656"/>
      <c r="BA87" s="656"/>
      <c r="BB87" s="332"/>
    </row>
    <row r="88" spans="2:54" ht="17.25" customHeight="1">
      <c r="B88" s="170"/>
      <c r="C88" s="170"/>
      <c r="E88" s="170"/>
      <c r="F88" s="170"/>
      <c r="G88" s="170"/>
      <c r="H88" s="170"/>
      <c r="I88" s="170"/>
      <c r="M88" s="343"/>
      <c r="N88" s="343"/>
      <c r="O88" s="343"/>
      <c r="P88" s="343"/>
      <c r="S88" s="332"/>
      <c r="T88" s="332"/>
      <c r="U88" s="332"/>
      <c r="V88" s="332"/>
      <c r="X88" s="580" t="s">
        <v>150</v>
      </c>
      <c r="Y88" s="526"/>
      <c r="AA88" s="15"/>
      <c r="AB88" s="15"/>
      <c r="AC88" s="15"/>
      <c r="AD88" s="15"/>
      <c r="AE88" s="616">
        <v>1945</v>
      </c>
      <c r="AF88" s="655" t="s">
        <v>2017</v>
      </c>
      <c r="AG88" s="655"/>
      <c r="AH88" s="655"/>
      <c r="AI88" s="331" t="s">
        <v>2060</v>
      </c>
      <c r="AJ88" s="331" t="s">
        <v>2061</v>
      </c>
      <c r="AK88" s="331" t="s">
        <v>2062</v>
      </c>
      <c r="AL88" s="331" t="s">
        <v>2025</v>
      </c>
      <c r="AM88" s="331" t="s">
        <v>2063</v>
      </c>
      <c r="AN88" s="331" t="s">
        <v>2064</v>
      </c>
      <c r="AO88" s="617" t="s">
        <v>2065</v>
      </c>
      <c r="AP88" s="617" t="s">
        <v>2066</v>
      </c>
      <c r="AQ88" s="332" t="s">
        <v>2067</v>
      </c>
      <c r="AR88" s="481" t="s">
        <v>2068</v>
      </c>
      <c r="AS88" s="332" t="s">
        <v>2069</v>
      </c>
      <c r="AT88" s="616">
        <v>1945</v>
      </c>
      <c r="AV88" s="656"/>
      <c r="AW88" s="656"/>
      <c r="AX88" s="639"/>
      <c r="AY88" s="639"/>
      <c r="AZ88" s="656"/>
      <c r="BA88" s="656"/>
      <c r="BB88" s="332"/>
    </row>
    <row r="89" spans="2:54" ht="17.25" customHeight="1">
      <c r="B89" s="170"/>
      <c r="C89" s="170"/>
      <c r="F89" s="160"/>
      <c r="G89" s="160"/>
      <c r="H89" s="160"/>
      <c r="I89" s="170"/>
      <c r="M89" s="343"/>
      <c r="N89" s="343"/>
      <c r="O89" s="343"/>
      <c r="P89" s="343"/>
      <c r="S89" s="332"/>
      <c r="T89" s="332"/>
      <c r="U89" s="332"/>
      <c r="V89" s="332"/>
      <c r="X89" s="580" t="s">
        <v>152</v>
      </c>
      <c r="Y89" s="526"/>
      <c r="AA89" s="15"/>
      <c r="AB89" s="15"/>
      <c r="AC89" s="15"/>
      <c r="AD89" s="15"/>
      <c r="AE89" s="616">
        <v>1946</v>
      </c>
      <c r="AF89" s="331" t="s">
        <v>92</v>
      </c>
      <c r="AG89" s="331"/>
      <c r="AH89" s="331"/>
      <c r="AI89" s="331" t="s">
        <v>2070</v>
      </c>
      <c r="AJ89" s="331"/>
      <c r="AK89" s="331"/>
      <c r="AL89" s="331" t="s">
        <v>2025</v>
      </c>
      <c r="AM89" s="331" t="s">
        <v>2071</v>
      </c>
      <c r="AN89" s="331" t="s">
        <v>2072</v>
      </c>
      <c r="AO89" s="617" t="s">
        <v>2073</v>
      </c>
      <c r="AP89" s="617" t="s">
        <v>2074</v>
      </c>
      <c r="AQ89" s="332" t="s">
        <v>2075</v>
      </c>
      <c r="AR89" s="481" t="s">
        <v>2076</v>
      </c>
      <c r="AS89" s="481" t="s">
        <v>2077</v>
      </c>
      <c r="AT89" s="616">
        <v>1946</v>
      </c>
      <c r="BB89" s="332"/>
    </row>
    <row r="90" spans="2:54" ht="17.25" customHeight="1">
      <c r="B90" s="170"/>
      <c r="C90" s="170"/>
      <c r="D90" s="170"/>
      <c r="E90" s="170"/>
      <c r="F90" s="170"/>
      <c r="G90" s="170"/>
      <c r="H90" s="170"/>
      <c r="I90" s="170"/>
      <c r="M90" s="343"/>
      <c r="N90" s="343"/>
      <c r="O90" s="343"/>
      <c r="P90" s="343"/>
      <c r="S90" s="332"/>
      <c r="T90" s="332"/>
      <c r="U90" s="332"/>
      <c r="V90" s="332"/>
      <c r="X90" s="580" t="s">
        <v>154</v>
      </c>
      <c r="Y90" s="526"/>
      <c r="AA90" s="15"/>
      <c r="AB90" s="15"/>
      <c r="AC90" s="15"/>
      <c r="AD90" s="15"/>
      <c r="AE90" s="616">
        <v>1947</v>
      </c>
      <c r="AF90" s="331" t="s">
        <v>2078</v>
      </c>
      <c r="AG90" s="331"/>
      <c r="AH90" s="331"/>
      <c r="AI90" s="331" t="s">
        <v>92</v>
      </c>
      <c r="AJ90" s="331"/>
      <c r="AK90" s="331"/>
      <c r="AL90" s="331" t="s">
        <v>2025</v>
      </c>
      <c r="AM90" s="331" t="s">
        <v>2079</v>
      </c>
      <c r="AN90" s="331" t="s">
        <v>2080</v>
      </c>
      <c r="AO90" s="617" t="s">
        <v>2081</v>
      </c>
      <c r="AP90" s="617" t="s">
        <v>2074</v>
      </c>
      <c r="AQ90" s="332" t="s">
        <v>2082</v>
      </c>
      <c r="AR90" s="481" t="s">
        <v>2083</v>
      </c>
      <c r="AS90" s="481" t="s">
        <v>2084</v>
      </c>
      <c r="AT90" s="616">
        <v>1947</v>
      </c>
      <c r="BB90" s="332"/>
    </row>
    <row r="91" spans="2:54" ht="17.25" customHeight="1">
      <c r="H91" s="340"/>
      <c r="M91" s="343"/>
      <c r="N91" s="343"/>
      <c r="O91" s="343"/>
      <c r="P91" s="343"/>
      <c r="S91" s="332"/>
      <c r="T91" s="332"/>
      <c r="U91" s="332"/>
      <c r="V91" s="332"/>
      <c r="X91" s="492" t="str">
        <f>IF(ISBLANK(人物卡!AB48),"",人物卡!AB48)</f>
        <v>自定义技能</v>
      </c>
      <c r="Y91" s="526"/>
      <c r="AA91" s="15"/>
      <c r="AB91" s="15"/>
      <c r="AC91" s="15"/>
      <c r="AD91" s="15"/>
      <c r="AE91" s="616">
        <v>1948</v>
      </c>
      <c r="AF91" s="331" t="s">
        <v>2085</v>
      </c>
      <c r="AG91" s="331" t="s">
        <v>1755</v>
      </c>
      <c r="AH91" s="331"/>
      <c r="AI91" s="331" t="s">
        <v>2086</v>
      </c>
      <c r="AJ91" s="331"/>
      <c r="AK91" s="331"/>
      <c r="AL91" s="331" t="s">
        <v>2025</v>
      </c>
      <c r="AM91" s="331" t="s">
        <v>2087</v>
      </c>
      <c r="AN91" s="331" t="s">
        <v>2088</v>
      </c>
      <c r="AO91" s="617" t="s">
        <v>2089</v>
      </c>
      <c r="AP91" s="617" t="s">
        <v>2074</v>
      </c>
      <c r="AQ91" s="332" t="s">
        <v>2090</v>
      </c>
      <c r="AR91" s="481" t="s">
        <v>2091</v>
      </c>
      <c r="AS91" s="481" t="s">
        <v>2092</v>
      </c>
      <c r="AT91" s="616">
        <v>1948</v>
      </c>
      <c r="BB91" s="332"/>
    </row>
    <row r="92" spans="2:54" ht="17.25" customHeight="1">
      <c r="H92" s="340"/>
      <c r="M92" s="343"/>
      <c r="N92" s="343"/>
      <c r="O92" s="343"/>
      <c r="P92" s="343"/>
      <c r="S92" s="332"/>
      <c r="T92" s="332"/>
      <c r="U92" s="332"/>
      <c r="V92" s="332"/>
      <c r="X92" s="495" t="str">
        <f>IF(ISBLANK(人物卡!AB49),"",人物卡!AB49)</f>
        <v/>
      </c>
      <c r="Y92" s="527"/>
      <c r="AA92" s="15"/>
      <c r="AE92" s="616">
        <v>1949</v>
      </c>
      <c r="AF92" s="331" t="s">
        <v>2093</v>
      </c>
      <c r="AG92" s="331"/>
      <c r="AH92" s="331"/>
      <c r="AI92" s="331" t="s">
        <v>2094</v>
      </c>
      <c r="AJ92" s="331"/>
      <c r="AK92" s="331"/>
      <c r="AL92" s="331" t="s">
        <v>2025</v>
      </c>
      <c r="AM92" s="331" t="s">
        <v>2095</v>
      </c>
      <c r="AN92" s="331" t="s">
        <v>2096</v>
      </c>
      <c r="AO92" s="617" t="s">
        <v>2097</v>
      </c>
      <c r="AP92" s="617" t="s">
        <v>2074</v>
      </c>
      <c r="AQ92" s="332" t="s">
        <v>2098</v>
      </c>
      <c r="AR92" s="481" t="s">
        <v>2099</v>
      </c>
      <c r="AS92" s="481" t="s">
        <v>2100</v>
      </c>
      <c r="AT92" s="616">
        <v>1949</v>
      </c>
      <c r="BB92" s="332"/>
    </row>
    <row r="93" spans="2:54" ht="17.25" customHeight="1">
      <c r="B93" s="642"/>
      <c r="C93" s="643">
        <v>2</v>
      </c>
      <c r="D93" s="643">
        <v>3</v>
      </c>
      <c r="E93" s="500">
        <v>4</v>
      </c>
      <c r="F93" s="500">
        <v>5</v>
      </c>
      <c r="G93" s="647">
        <v>6</v>
      </c>
      <c r="H93" s="647">
        <v>7</v>
      </c>
      <c r="I93" s="500">
        <v>8</v>
      </c>
      <c r="J93" s="500">
        <v>9</v>
      </c>
      <c r="K93" s="525">
        <v>10</v>
      </c>
      <c r="M93" s="343"/>
      <c r="N93" s="343"/>
      <c r="O93" s="343"/>
      <c r="P93" s="343"/>
      <c r="S93" s="332"/>
      <c r="T93" s="332"/>
      <c r="U93" s="332"/>
      <c r="V93" s="332"/>
      <c r="AA93" s="15"/>
      <c r="AE93" s="616">
        <v>1950</v>
      </c>
      <c r="AF93" s="331" t="s">
        <v>2101</v>
      </c>
      <c r="AG93" s="331"/>
      <c r="AH93" s="331"/>
      <c r="AI93" s="331" t="s">
        <v>2102</v>
      </c>
      <c r="AJ93" s="331" t="s">
        <v>2103</v>
      </c>
      <c r="AK93" s="331"/>
      <c r="AL93" s="331" t="s">
        <v>2104</v>
      </c>
      <c r="AM93" s="331" t="s">
        <v>1531</v>
      </c>
      <c r="AN93" s="331" t="s">
        <v>2105</v>
      </c>
      <c r="AO93" s="617" t="s">
        <v>2106</v>
      </c>
      <c r="AP93" s="617" t="s">
        <v>2074</v>
      </c>
      <c r="AQ93" s="332" t="s">
        <v>2107</v>
      </c>
      <c r="AR93" s="481" t="s">
        <v>2108</v>
      </c>
      <c r="AS93" s="481" t="s">
        <v>2109</v>
      </c>
      <c r="AT93" s="616">
        <v>1950</v>
      </c>
      <c r="BB93" s="332"/>
    </row>
    <row r="94" spans="2:54" ht="17.25" customHeight="1">
      <c r="B94" s="644" t="s">
        <v>54</v>
      </c>
      <c r="C94" s="617" t="s">
        <v>89</v>
      </c>
      <c r="D94" s="617" t="s">
        <v>2110</v>
      </c>
      <c r="E94" s="617" t="s">
        <v>2111</v>
      </c>
      <c r="F94" s="617" t="s">
        <v>2112</v>
      </c>
      <c r="G94" s="617" t="s">
        <v>2113</v>
      </c>
      <c r="H94" s="617" t="s">
        <v>2114</v>
      </c>
      <c r="I94" s="617" t="s">
        <v>2115</v>
      </c>
      <c r="J94" s="617" t="s">
        <v>2116</v>
      </c>
      <c r="K94" s="648" t="s">
        <v>2117</v>
      </c>
      <c r="L94" s="1315"/>
      <c r="M94" s="343"/>
      <c r="N94" s="343"/>
      <c r="O94" s="343"/>
      <c r="P94" s="343"/>
      <c r="S94" s="332"/>
      <c r="T94" s="332"/>
      <c r="U94" s="332"/>
      <c r="V94" s="332"/>
      <c r="AA94" s="15"/>
      <c r="AE94" s="616">
        <v>1951</v>
      </c>
      <c r="AF94" s="331" t="s">
        <v>2101</v>
      </c>
      <c r="AG94" s="331"/>
      <c r="AH94" s="331"/>
      <c r="AI94" s="331" t="s">
        <v>2118</v>
      </c>
      <c r="AJ94" s="331" t="s">
        <v>2119</v>
      </c>
      <c r="AK94" s="331"/>
      <c r="AL94" s="331" t="s">
        <v>2104</v>
      </c>
      <c r="AM94" s="331" t="s">
        <v>1540</v>
      </c>
      <c r="AN94" s="331" t="s">
        <v>2120</v>
      </c>
      <c r="AO94" s="617" t="s">
        <v>2121</v>
      </c>
      <c r="AP94" s="617" t="s">
        <v>2074</v>
      </c>
      <c r="AQ94" s="332" t="s">
        <v>2122</v>
      </c>
      <c r="AR94" s="481" t="s">
        <v>2123</v>
      </c>
      <c r="AS94" s="481" t="s">
        <v>2124</v>
      </c>
      <c r="AT94" s="616">
        <v>1951</v>
      </c>
      <c r="BB94" s="332"/>
    </row>
    <row r="95" spans="2:54" ht="17.25" customHeight="1">
      <c r="B95" s="492" t="s">
        <v>60</v>
      </c>
      <c r="C95" s="558" t="s">
        <v>2125</v>
      </c>
      <c r="D95" s="481" t="s">
        <v>92</v>
      </c>
      <c r="E95" s="481" t="s">
        <v>2126</v>
      </c>
      <c r="F95" s="481" t="s">
        <v>2127</v>
      </c>
      <c r="G95" s="481" t="s">
        <v>2128</v>
      </c>
      <c r="H95" s="481" t="s">
        <v>2129</v>
      </c>
      <c r="I95" s="481" t="s">
        <v>2130</v>
      </c>
      <c r="J95" s="481" t="s">
        <v>2131</v>
      </c>
      <c r="K95" s="526" t="s">
        <v>2132</v>
      </c>
      <c r="L95" s="1315"/>
      <c r="M95" s="343"/>
      <c r="N95" s="343"/>
      <c r="O95" s="343"/>
      <c r="P95" s="343"/>
      <c r="S95" s="332"/>
      <c r="T95" s="332"/>
      <c r="U95" s="332"/>
      <c r="V95" s="332"/>
      <c r="AE95" s="616">
        <v>1952</v>
      </c>
      <c r="AF95" s="331" t="s">
        <v>2101</v>
      </c>
      <c r="AG95" s="331" t="s">
        <v>2133</v>
      </c>
      <c r="AH95" s="331"/>
      <c r="AI95" s="331" t="s">
        <v>92</v>
      </c>
      <c r="AJ95" s="331"/>
      <c r="AK95" s="331"/>
      <c r="AL95" s="331" t="s">
        <v>2104</v>
      </c>
      <c r="AM95" s="331" t="s">
        <v>1546</v>
      </c>
      <c r="AN95" s="331" t="s">
        <v>2134</v>
      </c>
      <c r="AO95" s="617" t="s">
        <v>2135</v>
      </c>
      <c r="AP95" s="331" t="s">
        <v>2136</v>
      </c>
      <c r="AQ95" s="332" t="s">
        <v>2137</v>
      </c>
      <c r="AR95" s="481" t="s">
        <v>2138</v>
      </c>
      <c r="AS95" s="481" t="s">
        <v>2139</v>
      </c>
      <c r="AT95" s="616">
        <v>1952</v>
      </c>
      <c r="BB95" s="332"/>
    </row>
    <row r="96" spans="2:54" ht="17.25" customHeight="1">
      <c r="B96" s="492" t="s">
        <v>62</v>
      </c>
      <c r="C96" s="558" t="s">
        <v>2140</v>
      </c>
      <c r="D96" s="481" t="s">
        <v>92</v>
      </c>
      <c r="E96" s="481" t="s">
        <v>92</v>
      </c>
      <c r="F96" s="481" t="s">
        <v>2141</v>
      </c>
      <c r="G96" s="481" t="s">
        <v>2142</v>
      </c>
      <c r="H96" s="481" t="s">
        <v>2143</v>
      </c>
      <c r="I96" s="481" t="s">
        <v>2144</v>
      </c>
      <c r="J96" s="481" t="s">
        <v>2145</v>
      </c>
      <c r="K96" s="526" t="s">
        <v>2146</v>
      </c>
      <c r="L96" s="1315"/>
      <c r="M96" s="343"/>
      <c r="N96" s="343"/>
      <c r="O96" s="343"/>
      <c r="P96" s="343"/>
      <c r="S96" s="332"/>
      <c r="T96" s="332"/>
      <c r="U96" s="332"/>
      <c r="V96" s="332"/>
      <c r="AE96" s="616">
        <v>1953</v>
      </c>
      <c r="AF96" s="331" t="s">
        <v>92</v>
      </c>
      <c r="AG96" s="331"/>
      <c r="AH96" s="331"/>
      <c r="AI96" s="331" t="s">
        <v>2147</v>
      </c>
      <c r="AJ96" s="331"/>
      <c r="AK96" s="331"/>
      <c r="AL96" s="331" t="s">
        <v>2104</v>
      </c>
      <c r="AM96" s="331" t="s">
        <v>1556</v>
      </c>
      <c r="AN96" s="331" t="s">
        <v>2148</v>
      </c>
      <c r="AO96" s="617" t="s">
        <v>2149</v>
      </c>
      <c r="AP96" s="617" t="s">
        <v>2150</v>
      </c>
      <c r="AQ96" s="332" t="s">
        <v>2151</v>
      </c>
      <c r="AR96" s="481" t="s">
        <v>2152</v>
      </c>
      <c r="AS96" s="481" t="s">
        <v>2153</v>
      </c>
      <c r="AT96" s="616">
        <v>1953</v>
      </c>
      <c r="BB96" s="332"/>
    </row>
    <row r="97" spans="1:54" ht="17.25" customHeight="1">
      <c r="B97" s="492" t="s">
        <v>66</v>
      </c>
      <c r="C97" s="558" t="s">
        <v>2125</v>
      </c>
      <c r="D97" s="481" t="s">
        <v>92</v>
      </c>
      <c r="E97" s="481" t="s">
        <v>92</v>
      </c>
      <c r="F97" s="481" t="s">
        <v>2154</v>
      </c>
      <c r="G97" s="481" t="s">
        <v>2155</v>
      </c>
      <c r="H97" s="451" t="s">
        <v>2156</v>
      </c>
      <c r="I97" s="481" t="s">
        <v>2157</v>
      </c>
      <c r="J97" s="621" t="s">
        <v>2158</v>
      </c>
      <c r="K97" s="649" t="s">
        <v>2159</v>
      </c>
      <c r="L97" s="1315"/>
      <c r="M97" s="343"/>
      <c r="N97" s="343"/>
      <c r="O97" s="343"/>
      <c r="P97" s="343"/>
      <c r="S97" s="332"/>
      <c r="T97" s="332"/>
      <c r="U97" s="332"/>
      <c r="V97" s="332"/>
      <c r="AE97" s="616">
        <v>1954</v>
      </c>
      <c r="AF97" s="331" t="s">
        <v>92</v>
      </c>
      <c r="AG97" s="331"/>
      <c r="AH97" s="331"/>
      <c r="AI97" s="331" t="s">
        <v>92</v>
      </c>
      <c r="AJ97" s="331"/>
      <c r="AK97" s="331"/>
      <c r="AL97" s="331" t="s">
        <v>2104</v>
      </c>
      <c r="AM97" s="331" t="s">
        <v>1572</v>
      </c>
      <c r="AN97" s="331" t="s">
        <v>2160</v>
      </c>
      <c r="AO97" s="617" t="s">
        <v>2161</v>
      </c>
      <c r="AP97" s="617" t="s">
        <v>2162</v>
      </c>
      <c r="AQ97" s="332" t="s">
        <v>2163</v>
      </c>
      <c r="AR97" s="481" t="s">
        <v>2164</v>
      </c>
      <c r="AS97" s="481" t="s">
        <v>2165</v>
      </c>
      <c r="AT97" s="616">
        <v>1954</v>
      </c>
      <c r="BB97" s="332"/>
    </row>
    <row r="98" spans="1:54" ht="17.25" customHeight="1">
      <c r="B98" s="492" t="s">
        <v>70</v>
      </c>
      <c r="C98" s="558" t="s">
        <v>2140</v>
      </c>
      <c r="D98" s="481" t="s">
        <v>92</v>
      </c>
      <c r="E98" s="481" t="s">
        <v>92</v>
      </c>
      <c r="F98" s="481" t="s">
        <v>2166</v>
      </c>
      <c r="G98" s="451" t="s">
        <v>2167</v>
      </c>
      <c r="H98" s="621" t="s">
        <v>2168</v>
      </c>
      <c r="I98" s="639" t="s">
        <v>2169</v>
      </c>
      <c r="J98" s="639" t="s">
        <v>2170</v>
      </c>
      <c r="K98" s="526" t="s">
        <v>2171</v>
      </c>
      <c r="L98" s="1315"/>
      <c r="M98" s="343"/>
      <c r="N98" s="343"/>
      <c r="O98" s="343"/>
      <c r="P98" s="343"/>
      <c r="S98" s="332"/>
      <c r="T98" s="332"/>
      <c r="U98" s="332"/>
      <c r="V98" s="332"/>
      <c r="AE98" s="616">
        <v>1955</v>
      </c>
      <c r="AF98" s="331" t="s">
        <v>2172</v>
      </c>
      <c r="AG98" s="331"/>
      <c r="AH98" s="331"/>
      <c r="AI98" s="331" t="s">
        <v>2173</v>
      </c>
      <c r="AJ98" s="331"/>
      <c r="AK98" s="331"/>
      <c r="AL98" s="331" t="s">
        <v>2104</v>
      </c>
      <c r="AM98" s="331" t="s">
        <v>1588</v>
      </c>
      <c r="AN98" s="331" t="s">
        <v>2174</v>
      </c>
      <c r="AO98" s="617" t="s">
        <v>2175</v>
      </c>
      <c r="AP98" s="617" t="s">
        <v>2162</v>
      </c>
      <c r="AQ98" s="332" t="s">
        <v>2176</v>
      </c>
      <c r="AR98" s="481" t="s">
        <v>2177</v>
      </c>
      <c r="AS98" s="481" t="s">
        <v>2178</v>
      </c>
      <c r="AT98" s="616">
        <v>1955</v>
      </c>
      <c r="BB98" s="332"/>
    </row>
    <row r="99" spans="1:54" ht="17.25" customHeight="1">
      <c r="B99" s="492" t="s">
        <v>2179</v>
      </c>
      <c r="C99" s="558" t="s">
        <v>456</v>
      </c>
      <c r="D99" s="481" t="s">
        <v>456</v>
      </c>
      <c r="E99" s="481" t="s">
        <v>456</v>
      </c>
      <c r="F99" s="481" t="s">
        <v>456</v>
      </c>
      <c r="G99" s="481" t="s">
        <v>456</v>
      </c>
      <c r="H99" s="481" t="s">
        <v>456</v>
      </c>
      <c r="I99" s="481" t="s">
        <v>456</v>
      </c>
      <c r="J99" s="481" t="s">
        <v>456</v>
      </c>
      <c r="K99" s="526" t="s">
        <v>456</v>
      </c>
      <c r="L99" s="1315"/>
      <c r="M99" s="343"/>
      <c r="N99" s="343"/>
      <c r="O99" s="343"/>
      <c r="P99" s="343"/>
      <c r="S99" s="332"/>
      <c r="T99" s="332"/>
      <c r="U99" s="332"/>
      <c r="V99" s="332"/>
      <c r="AE99" s="616">
        <v>1956</v>
      </c>
      <c r="AF99" s="331" t="s">
        <v>2180</v>
      </c>
      <c r="AG99" s="331"/>
      <c r="AH99" s="331"/>
      <c r="AI99" s="331" t="s">
        <v>2181</v>
      </c>
      <c r="AJ99" s="331"/>
      <c r="AK99" s="331"/>
      <c r="AL99" s="331" t="s">
        <v>2104</v>
      </c>
      <c r="AM99" s="331" t="s">
        <v>1603</v>
      </c>
      <c r="AN99" s="331" t="s">
        <v>2182</v>
      </c>
      <c r="AO99" s="617" t="s">
        <v>2183</v>
      </c>
      <c r="AP99" s="617" t="s">
        <v>2162</v>
      </c>
      <c r="AQ99" s="332" t="s">
        <v>2184</v>
      </c>
      <c r="AR99" s="481" t="s">
        <v>2185</v>
      </c>
      <c r="AS99" s="481" t="s">
        <v>2186</v>
      </c>
      <c r="AT99" s="616">
        <v>1956</v>
      </c>
      <c r="BB99" s="332"/>
    </row>
    <row r="100" spans="1:54" ht="17.25" customHeight="1">
      <c r="B100" s="492" t="s">
        <v>2187</v>
      </c>
      <c r="C100" s="558" t="s">
        <v>92</v>
      </c>
      <c r="D100" s="481" t="s">
        <v>2188</v>
      </c>
      <c r="E100" s="481" t="s">
        <v>92</v>
      </c>
      <c r="F100" s="481" t="s">
        <v>2189</v>
      </c>
      <c r="G100" s="629" t="s">
        <v>2190</v>
      </c>
      <c r="H100" s="481" t="s">
        <v>2191</v>
      </c>
      <c r="I100" s="328" t="s">
        <v>2192</v>
      </c>
      <c r="J100" s="481" t="s">
        <v>2193</v>
      </c>
      <c r="K100" s="526" t="s">
        <v>2194</v>
      </c>
      <c r="L100" s="1315"/>
      <c r="M100" s="343"/>
      <c r="N100" s="343"/>
      <c r="O100" s="343"/>
      <c r="P100" s="343"/>
      <c r="S100" s="332"/>
      <c r="T100" s="332"/>
      <c r="U100" s="332"/>
      <c r="V100" s="332"/>
      <c r="AE100" s="616">
        <v>1957</v>
      </c>
      <c r="AF100" s="331" t="s">
        <v>2195</v>
      </c>
      <c r="AG100" s="331" t="s">
        <v>2196</v>
      </c>
      <c r="AH100" s="331"/>
      <c r="AI100" s="331" t="s">
        <v>92</v>
      </c>
      <c r="AJ100" s="331"/>
      <c r="AK100" s="331"/>
      <c r="AL100" s="331" t="s">
        <v>2104</v>
      </c>
      <c r="AM100" s="331" t="s">
        <v>1615</v>
      </c>
      <c r="AN100" s="331" t="s">
        <v>2197</v>
      </c>
      <c r="AO100" s="617" t="s">
        <v>2198</v>
      </c>
      <c r="AP100" s="617" t="s">
        <v>2162</v>
      </c>
      <c r="AQ100" s="332" t="s">
        <v>2199</v>
      </c>
      <c r="AR100" s="481" t="s">
        <v>2200</v>
      </c>
      <c r="AS100" s="481" t="s">
        <v>2201</v>
      </c>
      <c r="AT100" s="616">
        <v>1957</v>
      </c>
      <c r="BB100" s="332"/>
    </row>
    <row r="101" spans="1:54" ht="17.25" customHeight="1">
      <c r="A101" s="645" t="s">
        <v>1363</v>
      </c>
      <c r="B101" s="645" t="s">
        <v>1363</v>
      </c>
      <c r="C101" s="558" t="s">
        <v>2125</v>
      </c>
      <c r="D101" s="481" t="s">
        <v>2202</v>
      </c>
      <c r="E101" s="481" t="s">
        <v>92</v>
      </c>
      <c r="F101" s="481" t="s">
        <v>2203</v>
      </c>
      <c r="G101" s="629" t="s">
        <v>2190</v>
      </c>
      <c r="H101" s="481" t="s">
        <v>2191</v>
      </c>
      <c r="I101" s="328" t="s">
        <v>2192</v>
      </c>
      <c r="J101" s="481" t="s">
        <v>2193</v>
      </c>
      <c r="K101" s="526" t="s">
        <v>2194</v>
      </c>
      <c r="L101" s="1315"/>
      <c r="S101" s="332"/>
      <c r="T101" s="332"/>
      <c r="U101" s="332"/>
      <c r="V101" s="332"/>
      <c r="AE101" s="616">
        <v>1958</v>
      </c>
      <c r="AF101" s="331" t="s">
        <v>92</v>
      </c>
      <c r="AG101" s="331"/>
      <c r="AH101" s="331"/>
      <c r="AI101" s="331" t="s">
        <v>2204</v>
      </c>
      <c r="AJ101" s="331"/>
      <c r="AK101" s="331"/>
      <c r="AL101" s="331" t="s">
        <v>2104</v>
      </c>
      <c r="AM101" s="331" t="s">
        <v>1632</v>
      </c>
      <c r="AN101" s="331" t="s">
        <v>2205</v>
      </c>
      <c r="AO101" s="617" t="s">
        <v>2206</v>
      </c>
      <c r="AP101" s="617" t="s">
        <v>2162</v>
      </c>
      <c r="AQ101" s="332" t="s">
        <v>2207</v>
      </c>
      <c r="AR101" s="481" t="s">
        <v>2208</v>
      </c>
      <c r="AS101" s="481" t="s">
        <v>2209</v>
      </c>
      <c r="AT101" s="616">
        <v>1958</v>
      </c>
      <c r="BB101" s="332"/>
    </row>
    <row r="102" spans="1:54" ht="17.25" customHeight="1">
      <c r="A102" s="645" t="s">
        <v>2210</v>
      </c>
      <c r="B102" s="645" t="s">
        <v>2210</v>
      </c>
      <c r="C102" s="558" t="s">
        <v>2125</v>
      </c>
      <c r="D102" s="481" t="s">
        <v>2202</v>
      </c>
      <c r="E102" s="481" t="s">
        <v>92</v>
      </c>
      <c r="F102" s="481" t="s">
        <v>2211</v>
      </c>
      <c r="G102" s="629" t="s">
        <v>2190</v>
      </c>
      <c r="H102" s="481" t="s">
        <v>2191</v>
      </c>
      <c r="I102" s="328" t="s">
        <v>2192</v>
      </c>
      <c r="J102" s="481" t="s">
        <v>2193</v>
      </c>
      <c r="K102" s="526" t="s">
        <v>2194</v>
      </c>
      <c r="L102" s="1315"/>
      <c r="M102" s="628"/>
      <c r="AE102" s="616">
        <v>1959</v>
      </c>
      <c r="AF102" s="331" t="s">
        <v>92</v>
      </c>
      <c r="AG102" s="331"/>
      <c r="AH102" s="331"/>
      <c r="AI102" s="331" t="s">
        <v>2212</v>
      </c>
      <c r="AJ102" s="331" t="s">
        <v>2213</v>
      </c>
      <c r="AK102" s="331"/>
      <c r="AL102" s="331" t="s">
        <v>2104</v>
      </c>
      <c r="AM102" s="331" t="s">
        <v>1647</v>
      </c>
      <c r="AN102" s="331" t="s">
        <v>2214</v>
      </c>
      <c r="AO102" s="617" t="s">
        <v>2215</v>
      </c>
      <c r="AP102" s="617" t="s">
        <v>2162</v>
      </c>
      <c r="AQ102" s="332" t="s">
        <v>2216</v>
      </c>
      <c r="AR102" s="481" t="s">
        <v>2217</v>
      </c>
      <c r="AS102" s="481" t="s">
        <v>2218</v>
      </c>
      <c r="AT102" s="616">
        <v>1959</v>
      </c>
      <c r="BB102" s="332"/>
    </row>
    <row r="103" spans="1:54" ht="17.25" customHeight="1">
      <c r="A103" s="492" t="s">
        <v>1368</v>
      </c>
      <c r="B103" s="492" t="s">
        <v>1368</v>
      </c>
      <c r="C103" s="558" t="s">
        <v>2125</v>
      </c>
      <c r="D103" s="481" t="s">
        <v>2202</v>
      </c>
      <c r="E103" s="481" t="s">
        <v>92</v>
      </c>
      <c r="F103" s="481" t="s">
        <v>2219</v>
      </c>
      <c r="G103" s="629" t="s">
        <v>2190</v>
      </c>
      <c r="H103" s="481" t="s">
        <v>2191</v>
      </c>
      <c r="I103" s="328" t="s">
        <v>2192</v>
      </c>
      <c r="J103" s="481" t="s">
        <v>2193</v>
      </c>
      <c r="K103" s="526" t="s">
        <v>2194</v>
      </c>
      <c r="L103" s="1315"/>
      <c r="AE103" s="616">
        <v>1960</v>
      </c>
      <c r="AF103" s="331" t="s">
        <v>2220</v>
      </c>
      <c r="AG103" s="331"/>
      <c r="AH103" s="331"/>
      <c r="AI103" s="331" t="s">
        <v>92</v>
      </c>
      <c r="AJ103" s="331"/>
      <c r="AK103" s="331"/>
      <c r="AL103" s="331" t="s">
        <v>2221</v>
      </c>
      <c r="AM103" s="331" t="s">
        <v>1664</v>
      </c>
      <c r="AN103" s="331" t="s">
        <v>2222</v>
      </c>
      <c r="AO103" s="617" t="s">
        <v>2223</v>
      </c>
      <c r="AP103" s="617" t="s">
        <v>2162</v>
      </c>
      <c r="AQ103" s="332" t="s">
        <v>2224</v>
      </c>
      <c r="AR103" s="481" t="s">
        <v>2225</v>
      </c>
      <c r="AS103" s="481" t="s">
        <v>2226</v>
      </c>
      <c r="AT103" s="616">
        <v>1960</v>
      </c>
      <c r="BB103" s="332"/>
    </row>
    <row r="104" spans="1:54" ht="17.25" customHeight="1">
      <c r="A104" s="492" t="s">
        <v>1367</v>
      </c>
      <c r="B104" s="492" t="s">
        <v>1367</v>
      </c>
      <c r="C104" s="558" t="s">
        <v>2125</v>
      </c>
      <c r="D104" s="481" t="s">
        <v>2202</v>
      </c>
      <c r="E104" s="481" t="s">
        <v>92</v>
      </c>
      <c r="F104" s="481" t="s">
        <v>2227</v>
      </c>
      <c r="G104" s="629" t="s">
        <v>2190</v>
      </c>
      <c r="H104" s="481" t="s">
        <v>2191</v>
      </c>
      <c r="I104" s="328" t="s">
        <v>2192</v>
      </c>
      <c r="J104" s="481" t="s">
        <v>2193</v>
      </c>
      <c r="K104" s="526" t="s">
        <v>2194</v>
      </c>
      <c r="L104" s="1315"/>
      <c r="AE104" s="616">
        <v>1961</v>
      </c>
      <c r="AF104" s="331" t="s">
        <v>2228</v>
      </c>
      <c r="AG104" s="331"/>
      <c r="AH104" s="331"/>
      <c r="AI104" s="331" t="s">
        <v>92</v>
      </c>
      <c r="AJ104" s="331"/>
      <c r="AK104" s="331"/>
      <c r="AL104" s="331" t="s">
        <v>2221</v>
      </c>
      <c r="AM104" s="331" t="s">
        <v>1677</v>
      </c>
      <c r="AN104" s="331" t="s">
        <v>2229</v>
      </c>
      <c r="AO104" s="617" t="s">
        <v>2230</v>
      </c>
      <c r="AP104" s="617" t="s">
        <v>2231</v>
      </c>
      <c r="AQ104" s="332" t="s">
        <v>2232</v>
      </c>
      <c r="AR104" s="481" t="s">
        <v>2233</v>
      </c>
      <c r="AS104" s="481" t="s">
        <v>2234</v>
      </c>
      <c r="AT104" s="616">
        <v>1961</v>
      </c>
      <c r="BB104" s="332"/>
    </row>
    <row r="105" spans="1:54" ht="17.25" customHeight="1">
      <c r="A105" s="492" t="s">
        <v>1379</v>
      </c>
      <c r="B105" s="492" t="s">
        <v>1379</v>
      </c>
      <c r="C105" s="558" t="s">
        <v>2125</v>
      </c>
      <c r="D105" s="481" t="s">
        <v>2202</v>
      </c>
      <c r="E105" s="481" t="s">
        <v>92</v>
      </c>
      <c r="F105" s="332" t="s">
        <v>2235</v>
      </c>
      <c r="G105" s="629" t="s">
        <v>2190</v>
      </c>
      <c r="H105" s="481" t="s">
        <v>2191</v>
      </c>
      <c r="I105" s="328" t="s">
        <v>2192</v>
      </c>
      <c r="J105" s="481" t="s">
        <v>2193</v>
      </c>
      <c r="K105" s="526" t="s">
        <v>2194</v>
      </c>
      <c r="L105" s="1315"/>
      <c r="AE105" s="616">
        <v>1962</v>
      </c>
      <c r="AF105" s="331" t="s">
        <v>92</v>
      </c>
      <c r="AG105" s="331"/>
      <c r="AH105" s="331"/>
      <c r="AI105" s="331" t="s">
        <v>2236</v>
      </c>
      <c r="AJ105" s="331"/>
      <c r="AK105" s="331"/>
      <c r="AL105" s="331" t="s">
        <v>2221</v>
      </c>
      <c r="AM105" s="331" t="s">
        <v>1691</v>
      </c>
      <c r="AN105" s="331" t="s">
        <v>2237</v>
      </c>
      <c r="AO105" s="617" t="s">
        <v>2238</v>
      </c>
      <c r="AP105" s="617" t="s">
        <v>2239</v>
      </c>
      <c r="AQ105" s="332" t="s">
        <v>2240</v>
      </c>
      <c r="AR105" s="481" t="s">
        <v>2241</v>
      </c>
      <c r="AS105" s="481" t="s">
        <v>2242</v>
      </c>
      <c r="AT105" s="616">
        <v>1962</v>
      </c>
      <c r="BB105" s="332"/>
    </row>
    <row r="106" spans="1:54" ht="17.25" customHeight="1">
      <c r="A106" s="492" t="s">
        <v>1374</v>
      </c>
      <c r="B106" s="492" t="s">
        <v>1374</v>
      </c>
      <c r="C106" s="558" t="s">
        <v>2125</v>
      </c>
      <c r="D106" s="481" t="s">
        <v>2202</v>
      </c>
      <c r="E106" s="481" t="s">
        <v>92</v>
      </c>
      <c r="F106" s="481" t="s">
        <v>2243</v>
      </c>
      <c r="G106" s="629" t="s">
        <v>2190</v>
      </c>
      <c r="H106" s="481" t="s">
        <v>2191</v>
      </c>
      <c r="I106" s="328" t="s">
        <v>2192</v>
      </c>
      <c r="J106" s="481" t="s">
        <v>2193</v>
      </c>
      <c r="K106" s="526" t="s">
        <v>2194</v>
      </c>
      <c r="L106" s="1315"/>
      <c r="AE106" s="616">
        <v>1963</v>
      </c>
      <c r="AF106" s="331" t="s">
        <v>92</v>
      </c>
      <c r="AG106" s="331"/>
      <c r="AH106" s="331"/>
      <c r="AI106" s="331" t="s">
        <v>92</v>
      </c>
      <c r="AJ106" s="331"/>
      <c r="AK106" s="331"/>
      <c r="AL106" s="331" t="s">
        <v>2221</v>
      </c>
      <c r="AM106" s="331" t="s">
        <v>1706</v>
      </c>
      <c r="AN106" s="331" t="s">
        <v>2244</v>
      </c>
      <c r="AO106" s="617" t="s">
        <v>2245</v>
      </c>
      <c r="AP106" s="617" t="s">
        <v>2246</v>
      </c>
      <c r="AQ106" s="332" t="s">
        <v>2240</v>
      </c>
      <c r="AR106" s="481" t="s">
        <v>2241</v>
      </c>
      <c r="AT106" s="616">
        <v>1963</v>
      </c>
      <c r="BB106" s="332"/>
    </row>
    <row r="107" spans="1:54" ht="17.25" customHeight="1">
      <c r="A107" s="492" t="s">
        <v>2247</v>
      </c>
      <c r="B107" s="492" t="s">
        <v>2247</v>
      </c>
      <c r="C107" s="558" t="s">
        <v>2125</v>
      </c>
      <c r="D107" s="481" t="s">
        <v>2202</v>
      </c>
      <c r="E107" s="481" t="s">
        <v>92</v>
      </c>
      <c r="F107" s="481" t="s">
        <v>2248</v>
      </c>
      <c r="G107" s="629" t="s">
        <v>2190</v>
      </c>
      <c r="H107" s="481" t="s">
        <v>2191</v>
      </c>
      <c r="I107" s="328" t="s">
        <v>2192</v>
      </c>
      <c r="J107" s="481" t="s">
        <v>2193</v>
      </c>
      <c r="K107" s="526" t="s">
        <v>2194</v>
      </c>
      <c r="L107" s="1315"/>
      <c r="AE107" s="616">
        <v>1964</v>
      </c>
      <c r="AF107" s="331" t="s">
        <v>2249</v>
      </c>
      <c r="AG107" s="331"/>
      <c r="AH107" s="331"/>
      <c r="AI107" s="331" t="s">
        <v>2250</v>
      </c>
      <c r="AJ107" s="331"/>
      <c r="AK107" s="331"/>
      <c r="AL107" s="331" t="s">
        <v>2221</v>
      </c>
      <c r="AM107" s="331" t="s">
        <v>1719</v>
      </c>
      <c r="AN107" s="331" t="s">
        <v>2251</v>
      </c>
      <c r="AO107" s="617" t="s">
        <v>2252</v>
      </c>
      <c r="AP107" s="617" t="s">
        <v>2253</v>
      </c>
      <c r="AQ107" s="332" t="s">
        <v>2254</v>
      </c>
      <c r="AR107" s="481" t="s">
        <v>2255</v>
      </c>
      <c r="AS107" s="481" t="s">
        <v>2256</v>
      </c>
      <c r="AT107" s="616">
        <v>1964</v>
      </c>
      <c r="BB107" s="332"/>
    </row>
    <row r="108" spans="1:54" ht="17.25" customHeight="1">
      <c r="A108" s="492" t="s">
        <v>1377</v>
      </c>
      <c r="B108" s="492" t="s">
        <v>1377</v>
      </c>
      <c r="C108" s="558" t="s">
        <v>2125</v>
      </c>
      <c r="D108" s="481" t="s">
        <v>2202</v>
      </c>
      <c r="E108" s="481" t="s">
        <v>92</v>
      </c>
      <c r="F108" s="481" t="s">
        <v>2257</v>
      </c>
      <c r="G108" s="629" t="s">
        <v>2190</v>
      </c>
      <c r="H108" s="481" t="s">
        <v>2191</v>
      </c>
      <c r="I108" s="328" t="s">
        <v>2192</v>
      </c>
      <c r="J108" s="481" t="s">
        <v>2193</v>
      </c>
      <c r="K108" s="526" t="s">
        <v>2194</v>
      </c>
      <c r="L108" s="1315"/>
      <c r="AE108" s="616">
        <v>1965</v>
      </c>
      <c r="AF108" s="331" t="s">
        <v>92</v>
      </c>
      <c r="AG108" s="331"/>
      <c r="AH108" s="331"/>
      <c r="AI108" s="331" t="s">
        <v>92</v>
      </c>
      <c r="AJ108" s="331" t="s">
        <v>2258</v>
      </c>
      <c r="AK108" s="331"/>
      <c r="AL108" s="331" t="s">
        <v>2221</v>
      </c>
      <c r="AM108" s="331" t="s">
        <v>1731</v>
      </c>
      <c r="AN108" s="331" t="s">
        <v>2259</v>
      </c>
      <c r="AO108" s="617" t="s">
        <v>2260</v>
      </c>
      <c r="AP108" s="617" t="s">
        <v>2253</v>
      </c>
      <c r="AQ108" s="332" t="s">
        <v>2261</v>
      </c>
      <c r="AR108" s="481" t="s">
        <v>2262</v>
      </c>
      <c r="AS108" s="481" t="s">
        <v>2263</v>
      </c>
      <c r="AT108" s="616">
        <v>1965</v>
      </c>
      <c r="BB108" s="332"/>
    </row>
    <row r="109" spans="1:54" ht="17.25" customHeight="1">
      <c r="A109" s="492" t="s">
        <v>2264</v>
      </c>
      <c r="B109" s="492" t="s">
        <v>2264</v>
      </c>
      <c r="C109" s="558" t="s">
        <v>2125</v>
      </c>
      <c r="D109" s="481" t="s">
        <v>2202</v>
      </c>
      <c r="E109" s="481" t="s">
        <v>92</v>
      </c>
      <c r="F109" s="481" t="s">
        <v>2265</v>
      </c>
      <c r="G109" s="629" t="s">
        <v>2190</v>
      </c>
      <c r="H109" s="481" t="s">
        <v>2191</v>
      </c>
      <c r="I109" s="328" t="s">
        <v>2192</v>
      </c>
      <c r="J109" s="481" t="s">
        <v>2193</v>
      </c>
      <c r="K109" s="526" t="s">
        <v>2194</v>
      </c>
      <c r="L109" s="1315"/>
      <c r="AE109" s="616">
        <v>1966</v>
      </c>
      <c r="AF109" s="331" t="s">
        <v>92</v>
      </c>
      <c r="AG109" s="331"/>
      <c r="AH109" s="331"/>
      <c r="AI109" s="331" t="s">
        <v>2266</v>
      </c>
      <c r="AJ109" s="331" t="s">
        <v>2267</v>
      </c>
      <c r="AK109" s="331"/>
      <c r="AL109" s="331" t="s">
        <v>2221</v>
      </c>
      <c r="AM109" s="331" t="s">
        <v>1741</v>
      </c>
      <c r="AN109" s="331" t="s">
        <v>2268</v>
      </c>
      <c r="AO109" s="617" t="s">
        <v>2269</v>
      </c>
      <c r="AP109" s="617" t="s">
        <v>2253</v>
      </c>
      <c r="AQ109" s="332" t="s">
        <v>2270</v>
      </c>
      <c r="AR109" s="481" t="s">
        <v>2271</v>
      </c>
      <c r="AS109" s="481" t="s">
        <v>2272</v>
      </c>
      <c r="AT109" s="616">
        <v>1966</v>
      </c>
      <c r="BB109" s="332"/>
    </row>
    <row r="110" spans="1:54" ht="17.25" customHeight="1">
      <c r="A110" s="492" t="s">
        <v>2273</v>
      </c>
      <c r="B110" s="492" t="s">
        <v>2273</v>
      </c>
      <c r="C110" s="558" t="s">
        <v>2125</v>
      </c>
      <c r="D110" s="481" t="s">
        <v>2202</v>
      </c>
      <c r="E110" s="481" t="s">
        <v>92</v>
      </c>
      <c r="F110" s="481" t="s">
        <v>2274</v>
      </c>
      <c r="G110" s="629" t="s">
        <v>2190</v>
      </c>
      <c r="H110" s="481" t="s">
        <v>2191</v>
      </c>
      <c r="I110" s="328" t="s">
        <v>2192</v>
      </c>
      <c r="J110" s="481" t="s">
        <v>2193</v>
      </c>
      <c r="K110" s="526" t="s">
        <v>2194</v>
      </c>
      <c r="L110" s="1315"/>
      <c r="AE110" s="616">
        <v>1967</v>
      </c>
      <c r="AF110" s="331" t="s">
        <v>92</v>
      </c>
      <c r="AG110" s="331"/>
      <c r="AH110" s="331"/>
      <c r="AI110" s="331" t="s">
        <v>92</v>
      </c>
      <c r="AJ110" s="331"/>
      <c r="AK110" s="331"/>
      <c r="AL110" s="331" t="s">
        <v>2221</v>
      </c>
      <c r="AM110" s="331" t="s">
        <v>1748</v>
      </c>
      <c r="AN110" s="331" t="s">
        <v>2275</v>
      </c>
      <c r="AO110" s="617" t="s">
        <v>2276</v>
      </c>
      <c r="AP110" s="617" t="s">
        <v>2253</v>
      </c>
      <c r="AQ110" s="332" t="s">
        <v>2277</v>
      </c>
      <c r="AR110" s="481" t="s">
        <v>2278</v>
      </c>
      <c r="AS110" s="481" t="s">
        <v>2279</v>
      </c>
      <c r="AT110" s="616">
        <v>1967</v>
      </c>
      <c r="BB110" s="332"/>
    </row>
    <row r="111" spans="1:54" ht="17.25" customHeight="1">
      <c r="A111" s="492" t="s">
        <v>2280</v>
      </c>
      <c r="B111" s="492" t="s">
        <v>2280</v>
      </c>
      <c r="C111" s="558" t="s">
        <v>2125</v>
      </c>
      <c r="D111" s="481" t="s">
        <v>2202</v>
      </c>
      <c r="E111" s="481" t="s">
        <v>92</v>
      </c>
      <c r="F111" s="481" t="s">
        <v>2281</v>
      </c>
      <c r="G111" s="629" t="s">
        <v>2190</v>
      </c>
      <c r="H111" s="481" t="s">
        <v>2191</v>
      </c>
      <c r="I111" s="328" t="s">
        <v>2192</v>
      </c>
      <c r="J111" s="481" t="s">
        <v>2193</v>
      </c>
      <c r="K111" s="526" t="s">
        <v>2194</v>
      </c>
      <c r="L111" s="1315"/>
      <c r="AE111" s="616">
        <v>1968</v>
      </c>
      <c r="AF111" s="331" t="s">
        <v>2282</v>
      </c>
      <c r="AG111" s="331"/>
      <c r="AH111" s="331"/>
      <c r="AI111" s="331" t="s">
        <v>92</v>
      </c>
      <c r="AJ111" s="331"/>
      <c r="AK111" s="331"/>
      <c r="AL111" s="331" t="s">
        <v>2221</v>
      </c>
      <c r="AM111" s="331" t="s">
        <v>1756</v>
      </c>
      <c r="AN111" s="331" t="s">
        <v>2283</v>
      </c>
      <c r="AO111" s="617" t="s">
        <v>2284</v>
      </c>
      <c r="AP111" s="617" t="s">
        <v>2253</v>
      </c>
      <c r="AQ111" s="332" t="s">
        <v>2285</v>
      </c>
      <c r="AR111" s="481" t="s">
        <v>2286</v>
      </c>
      <c r="AS111" s="481" t="s">
        <v>2287</v>
      </c>
      <c r="AT111" s="616">
        <v>1968</v>
      </c>
      <c r="AV111" s="656"/>
      <c r="AW111" s="656"/>
      <c r="AX111" s="639"/>
      <c r="AY111" s="639"/>
      <c r="AZ111" s="656"/>
      <c r="BA111" s="656"/>
      <c r="BB111" s="332"/>
    </row>
    <row r="112" spans="1:54" ht="17.25" customHeight="1">
      <c r="A112" s="492" t="s">
        <v>1383</v>
      </c>
      <c r="B112" s="492" t="s">
        <v>1383</v>
      </c>
      <c r="C112" s="558" t="s">
        <v>2125</v>
      </c>
      <c r="D112" s="481" t="s">
        <v>2202</v>
      </c>
      <c r="E112" s="481" t="s">
        <v>92</v>
      </c>
      <c r="F112" s="481" t="s">
        <v>2288</v>
      </c>
      <c r="G112" s="629" t="s">
        <v>2190</v>
      </c>
      <c r="H112" s="481" t="s">
        <v>2191</v>
      </c>
      <c r="I112" s="328" t="s">
        <v>2192</v>
      </c>
      <c r="J112" s="481" t="s">
        <v>2193</v>
      </c>
      <c r="K112" s="526" t="s">
        <v>2194</v>
      </c>
      <c r="L112" s="1315"/>
      <c r="M112" s="650"/>
      <c r="N112" s="2011" t="s">
        <v>2289</v>
      </c>
      <c r="O112" s="2012"/>
      <c r="P112" s="2012"/>
      <c r="Q112" s="2012"/>
      <c r="R112" s="2013"/>
      <c r="S112" s="652"/>
      <c r="T112" s="2011" t="s">
        <v>2290</v>
      </c>
      <c r="U112" s="2012"/>
      <c r="V112" s="2012"/>
      <c r="W112" s="2012"/>
      <c r="X112" s="2013"/>
      <c r="AE112" s="616">
        <v>1969</v>
      </c>
      <c r="AF112" s="331" t="s">
        <v>2291</v>
      </c>
      <c r="AG112" s="331" t="s">
        <v>2292</v>
      </c>
      <c r="AH112" s="331"/>
      <c r="AI112" s="331" t="s">
        <v>92</v>
      </c>
      <c r="AJ112" s="331"/>
      <c r="AK112" s="331"/>
      <c r="AL112" s="331" t="s">
        <v>2221</v>
      </c>
      <c r="AM112" s="331" t="s">
        <v>1765</v>
      </c>
      <c r="AN112" s="331" t="s">
        <v>2293</v>
      </c>
      <c r="AO112" s="617" t="s">
        <v>2294</v>
      </c>
      <c r="AP112" s="617" t="s">
        <v>2295</v>
      </c>
      <c r="AQ112" s="332" t="s">
        <v>2296</v>
      </c>
      <c r="AR112" s="481" t="s">
        <v>2297</v>
      </c>
      <c r="AS112" s="481" t="s">
        <v>2298</v>
      </c>
      <c r="AT112" s="616">
        <v>1969</v>
      </c>
      <c r="AV112" s="656"/>
      <c r="AW112" s="656"/>
      <c r="AX112" s="639"/>
      <c r="AY112" s="639"/>
      <c r="AZ112" s="656"/>
      <c r="BA112" s="656"/>
      <c r="BB112" s="332"/>
    </row>
    <row r="113" spans="1:54" ht="17.25" customHeight="1">
      <c r="A113" s="492" t="s">
        <v>2299</v>
      </c>
      <c r="B113" s="492" t="s">
        <v>2299</v>
      </c>
      <c r="C113" s="558" t="s">
        <v>2125</v>
      </c>
      <c r="D113" s="481" t="s">
        <v>2202</v>
      </c>
      <c r="E113" s="481" t="s">
        <v>92</v>
      </c>
      <c r="F113" s="481" t="s">
        <v>2300</v>
      </c>
      <c r="G113" s="629" t="s">
        <v>2190</v>
      </c>
      <c r="H113" s="481" t="s">
        <v>2191</v>
      </c>
      <c r="I113" s="328" t="s">
        <v>2192</v>
      </c>
      <c r="J113" s="481" t="s">
        <v>2193</v>
      </c>
      <c r="K113" s="526" t="s">
        <v>2194</v>
      </c>
      <c r="L113" s="1315"/>
      <c r="M113" s="651">
        <v>0</v>
      </c>
      <c r="N113" s="2014" t="s">
        <v>2301</v>
      </c>
      <c r="O113" s="2014"/>
      <c r="P113" s="2014"/>
      <c r="Q113" s="2014"/>
      <c r="R113" s="2015"/>
      <c r="S113" s="375">
        <v>0</v>
      </c>
      <c r="T113" s="2014" t="s">
        <v>2302</v>
      </c>
      <c r="U113" s="2014"/>
      <c r="V113" s="2014"/>
      <c r="W113" s="2014"/>
      <c r="X113" s="2015"/>
      <c r="AE113" s="616">
        <v>1970</v>
      </c>
      <c r="AF113" s="331" t="s">
        <v>92</v>
      </c>
      <c r="AG113" s="331"/>
      <c r="AH113" s="331"/>
      <c r="AI113" s="331" t="s">
        <v>2303</v>
      </c>
      <c r="AJ113" s="331"/>
      <c r="AK113" s="331"/>
      <c r="AL113" s="331" t="s">
        <v>2304</v>
      </c>
      <c r="AM113" s="331" t="s">
        <v>1774</v>
      </c>
      <c r="AN113" s="331" t="s">
        <v>2305</v>
      </c>
      <c r="AO113" s="617" t="s">
        <v>2306</v>
      </c>
      <c r="AP113" s="617" t="s">
        <v>2307</v>
      </c>
      <c r="AQ113" s="332" t="s">
        <v>2308</v>
      </c>
      <c r="AR113" s="481" t="s">
        <v>2309</v>
      </c>
      <c r="AS113" s="481" t="s">
        <v>2310</v>
      </c>
      <c r="AT113" s="616">
        <v>1970</v>
      </c>
      <c r="AV113" s="657"/>
      <c r="AW113" s="657"/>
      <c r="AX113" s="659"/>
      <c r="AY113" s="659"/>
      <c r="AZ113" s="657"/>
      <c r="BA113" s="657"/>
      <c r="BB113" s="332"/>
    </row>
    <row r="114" spans="1:54" ht="17.25" customHeight="1">
      <c r="A114" s="492" t="s">
        <v>2311</v>
      </c>
      <c r="B114" s="492" t="s">
        <v>2311</v>
      </c>
      <c r="C114" s="558" t="s">
        <v>2125</v>
      </c>
      <c r="D114" s="481" t="s">
        <v>2202</v>
      </c>
      <c r="E114" s="481" t="s">
        <v>92</v>
      </c>
      <c r="F114" s="481" t="s">
        <v>2312</v>
      </c>
      <c r="G114" s="629" t="s">
        <v>2190</v>
      </c>
      <c r="H114" s="481" t="s">
        <v>2191</v>
      </c>
      <c r="I114" s="328" t="s">
        <v>2192</v>
      </c>
      <c r="J114" s="481" t="s">
        <v>2193</v>
      </c>
      <c r="K114" s="526" t="s">
        <v>2194</v>
      </c>
      <c r="L114" s="1315"/>
      <c r="M114" s="651">
        <v>1</v>
      </c>
      <c r="N114" s="2014" t="s">
        <v>2313</v>
      </c>
      <c r="O114" s="2014"/>
      <c r="P114" s="2014"/>
      <c r="Q114" s="2014"/>
      <c r="R114" s="2015"/>
      <c r="S114" s="375">
        <v>1</v>
      </c>
      <c r="T114" s="2014" t="s">
        <v>2314</v>
      </c>
      <c r="U114" s="2014"/>
      <c r="V114" s="2014"/>
      <c r="W114" s="2014"/>
      <c r="X114" s="2015"/>
      <c r="AE114" s="616">
        <v>1971</v>
      </c>
      <c r="AF114" s="331" t="s">
        <v>92</v>
      </c>
      <c r="AG114" s="331"/>
      <c r="AH114" s="331"/>
      <c r="AI114" s="331" t="s">
        <v>2315</v>
      </c>
      <c r="AJ114" s="331"/>
      <c r="AK114" s="331"/>
      <c r="AL114" s="331" t="s">
        <v>2304</v>
      </c>
      <c r="AM114" s="331" t="s">
        <v>1784</v>
      </c>
      <c r="AN114" s="331" t="s">
        <v>2316</v>
      </c>
      <c r="AO114" s="617" t="s">
        <v>2317</v>
      </c>
      <c r="AP114" s="617" t="s">
        <v>2307</v>
      </c>
      <c r="AQ114" s="332" t="s">
        <v>2318</v>
      </c>
      <c r="AR114" s="481" t="s">
        <v>2319</v>
      </c>
      <c r="AS114" s="481" t="s">
        <v>2320</v>
      </c>
      <c r="AT114" s="616">
        <v>1971</v>
      </c>
      <c r="AV114" s="657"/>
      <c r="AW114" s="657"/>
      <c r="AX114" s="659"/>
      <c r="AY114" s="659"/>
      <c r="AZ114" s="657"/>
      <c r="BA114" s="657"/>
      <c r="BB114" s="332"/>
    </row>
    <row r="115" spans="1:54" ht="17.25" customHeight="1">
      <c r="A115" s="492" t="s">
        <v>1376</v>
      </c>
      <c r="B115" s="492" t="s">
        <v>1376</v>
      </c>
      <c r="C115" s="558" t="s">
        <v>2125</v>
      </c>
      <c r="D115" s="481" t="s">
        <v>2202</v>
      </c>
      <c r="E115" s="481" t="s">
        <v>92</v>
      </c>
      <c r="F115" s="481" t="s">
        <v>2321</v>
      </c>
      <c r="G115" s="629" t="s">
        <v>2190</v>
      </c>
      <c r="H115" s="481" t="s">
        <v>2191</v>
      </c>
      <c r="I115" s="328" t="s">
        <v>2192</v>
      </c>
      <c r="J115" s="481" t="s">
        <v>2193</v>
      </c>
      <c r="K115" s="526" t="s">
        <v>2194</v>
      </c>
      <c r="L115" s="1315"/>
      <c r="M115" s="651">
        <v>2</v>
      </c>
      <c r="N115" s="2014" t="s">
        <v>2322</v>
      </c>
      <c r="O115" s="2014"/>
      <c r="P115" s="2014"/>
      <c r="Q115" s="2014"/>
      <c r="R115" s="2015"/>
      <c r="S115" s="375">
        <v>2</v>
      </c>
      <c r="T115" s="2014" t="s">
        <v>2323</v>
      </c>
      <c r="U115" s="2014"/>
      <c r="V115" s="2014"/>
      <c r="W115" s="2014"/>
      <c r="X115" s="2015"/>
      <c r="AE115" s="616">
        <v>1972</v>
      </c>
      <c r="AF115" s="331" t="s">
        <v>2324</v>
      </c>
      <c r="AG115" s="331"/>
      <c r="AH115" s="331"/>
      <c r="AI115" s="331" t="s">
        <v>2325</v>
      </c>
      <c r="AJ115" s="331"/>
      <c r="AK115" s="331"/>
      <c r="AL115" s="331" t="s">
        <v>2304</v>
      </c>
      <c r="AM115" s="331" t="s">
        <v>1797</v>
      </c>
      <c r="AN115" s="331" t="s">
        <v>2326</v>
      </c>
      <c r="AO115" s="617" t="s">
        <v>2327</v>
      </c>
      <c r="AP115" s="617" t="s">
        <v>2307</v>
      </c>
      <c r="AQ115" s="332" t="s">
        <v>2328</v>
      </c>
      <c r="AR115" s="481" t="s">
        <v>2329</v>
      </c>
      <c r="AS115" s="481" t="s">
        <v>2330</v>
      </c>
      <c r="AT115" s="616">
        <v>1972</v>
      </c>
      <c r="AV115" s="657"/>
      <c r="AW115" s="657"/>
      <c r="AX115" s="659"/>
      <c r="AY115" s="659"/>
      <c r="AZ115" s="657"/>
      <c r="BA115" s="657"/>
      <c r="BB115" s="332"/>
    </row>
    <row r="116" spans="1:54" ht="17.25" customHeight="1">
      <c r="A116" s="492" t="s">
        <v>2331</v>
      </c>
      <c r="B116" s="492" t="s">
        <v>2331</v>
      </c>
      <c r="C116" s="558" t="s">
        <v>2125</v>
      </c>
      <c r="D116" s="481" t="s">
        <v>2202</v>
      </c>
      <c r="E116" s="481" t="s">
        <v>92</v>
      </c>
      <c r="F116" s="481" t="s">
        <v>2332</v>
      </c>
      <c r="G116" s="629" t="s">
        <v>2190</v>
      </c>
      <c r="H116" s="481" t="s">
        <v>2191</v>
      </c>
      <c r="I116" s="328" t="s">
        <v>2192</v>
      </c>
      <c r="J116" s="481" t="s">
        <v>2193</v>
      </c>
      <c r="K116" s="526" t="s">
        <v>2194</v>
      </c>
      <c r="L116" s="1315"/>
      <c r="M116" s="651">
        <v>3</v>
      </c>
      <c r="N116" s="2014" t="s">
        <v>2333</v>
      </c>
      <c r="O116" s="2014"/>
      <c r="P116" s="2014"/>
      <c r="Q116" s="2014"/>
      <c r="R116" s="2015"/>
      <c r="S116" s="375">
        <v>3</v>
      </c>
      <c r="T116" s="2014" t="s">
        <v>2334</v>
      </c>
      <c r="U116" s="2014"/>
      <c r="V116" s="2014"/>
      <c r="W116" s="2014"/>
      <c r="X116" s="2015"/>
      <c r="AE116" s="616">
        <v>1973</v>
      </c>
      <c r="AF116" s="331" t="s">
        <v>92</v>
      </c>
      <c r="AG116" s="331"/>
      <c r="AH116" s="331"/>
      <c r="AI116" s="331" t="s">
        <v>2335</v>
      </c>
      <c r="AJ116" s="331"/>
      <c r="AK116" s="331"/>
      <c r="AL116" s="331" t="s">
        <v>2304</v>
      </c>
      <c r="AM116" s="331" t="s">
        <v>1806</v>
      </c>
      <c r="AN116" s="331" t="s">
        <v>2336</v>
      </c>
      <c r="AO116" s="617" t="s">
        <v>2337</v>
      </c>
      <c r="AP116" s="617" t="s">
        <v>2307</v>
      </c>
      <c r="AQ116" s="332" t="s">
        <v>2338</v>
      </c>
      <c r="AR116" s="481" t="s">
        <v>2339</v>
      </c>
      <c r="AS116" s="481" t="s">
        <v>2340</v>
      </c>
      <c r="AT116" s="616">
        <v>1973</v>
      </c>
      <c r="AV116" s="657"/>
      <c r="AW116" s="657"/>
      <c r="AX116" s="659"/>
      <c r="AY116" s="659"/>
      <c r="AZ116" s="657"/>
      <c r="BA116" s="657"/>
      <c r="BB116" s="332"/>
    </row>
    <row r="117" spans="1:54" ht="17.25" customHeight="1">
      <c r="A117" s="492" t="s">
        <v>2341</v>
      </c>
      <c r="B117" s="492" t="s">
        <v>2341</v>
      </c>
      <c r="C117" s="558" t="s">
        <v>2125</v>
      </c>
      <c r="D117" s="481" t="s">
        <v>2202</v>
      </c>
      <c r="E117" s="481" t="s">
        <v>92</v>
      </c>
      <c r="F117" s="481" t="s">
        <v>2342</v>
      </c>
      <c r="G117" s="629" t="s">
        <v>2190</v>
      </c>
      <c r="H117" s="481" t="s">
        <v>2191</v>
      </c>
      <c r="I117" s="328" t="s">
        <v>2192</v>
      </c>
      <c r="J117" s="481" t="s">
        <v>2193</v>
      </c>
      <c r="K117" s="526" t="s">
        <v>2194</v>
      </c>
      <c r="L117" s="1315"/>
      <c r="M117" s="651">
        <v>4</v>
      </c>
      <c r="N117" s="2014" t="s">
        <v>2343</v>
      </c>
      <c r="O117" s="2014"/>
      <c r="P117" s="2014"/>
      <c r="Q117" s="2014"/>
      <c r="R117" s="2015"/>
      <c r="S117" s="375">
        <v>4</v>
      </c>
      <c r="T117" s="2014" t="s">
        <v>2344</v>
      </c>
      <c r="U117" s="2014"/>
      <c r="V117" s="2014"/>
      <c r="W117" s="2014"/>
      <c r="X117" s="2015"/>
      <c r="AE117" s="616">
        <v>1974</v>
      </c>
      <c r="AF117" s="331" t="s">
        <v>92</v>
      </c>
      <c r="AG117" s="331"/>
      <c r="AH117" s="331"/>
      <c r="AI117" s="331" t="s">
        <v>92</v>
      </c>
      <c r="AJ117" s="331"/>
      <c r="AK117" s="331"/>
      <c r="AL117" s="331" t="s">
        <v>2304</v>
      </c>
      <c r="AM117" s="331" t="s">
        <v>1812</v>
      </c>
      <c r="AN117" s="331" t="s">
        <v>2345</v>
      </c>
      <c r="AO117" s="617" t="s">
        <v>2346</v>
      </c>
      <c r="AP117" s="617" t="s">
        <v>2347</v>
      </c>
      <c r="AQ117" s="332" t="s">
        <v>2338</v>
      </c>
      <c r="AR117" s="481" t="s">
        <v>2339</v>
      </c>
      <c r="AT117" s="616">
        <v>1974</v>
      </c>
      <c r="BB117" s="332"/>
    </row>
    <row r="118" spans="1:54" ht="17.25" customHeight="1">
      <c r="A118" s="492" t="s">
        <v>1388</v>
      </c>
      <c r="B118" s="492" t="s">
        <v>1388</v>
      </c>
      <c r="C118" s="558" t="s">
        <v>2125</v>
      </c>
      <c r="D118" s="481" t="s">
        <v>2202</v>
      </c>
      <c r="E118" s="481" t="s">
        <v>92</v>
      </c>
      <c r="F118" s="481" t="s">
        <v>2348</v>
      </c>
      <c r="G118" s="629" t="s">
        <v>2190</v>
      </c>
      <c r="H118" s="481" t="s">
        <v>2191</v>
      </c>
      <c r="I118" s="328" t="s">
        <v>2192</v>
      </c>
      <c r="J118" s="481" t="s">
        <v>2193</v>
      </c>
      <c r="K118" s="526" t="s">
        <v>2194</v>
      </c>
      <c r="L118" s="1315"/>
      <c r="M118" s="651">
        <v>5</v>
      </c>
      <c r="N118" s="2014" t="s">
        <v>2349</v>
      </c>
      <c r="O118" s="2014"/>
      <c r="P118" s="2014"/>
      <c r="Q118" s="2014"/>
      <c r="R118" s="2015"/>
      <c r="S118" s="375">
        <v>5</v>
      </c>
      <c r="T118" s="2014" t="s">
        <v>2350</v>
      </c>
      <c r="U118" s="2014"/>
      <c r="V118" s="2014"/>
      <c r="W118" s="2014"/>
      <c r="X118" s="2015"/>
      <c r="AE118" s="616">
        <v>1975</v>
      </c>
      <c r="AF118" s="331" t="s">
        <v>2351</v>
      </c>
      <c r="AG118" s="331"/>
      <c r="AH118" s="331"/>
      <c r="AI118" s="331" t="s">
        <v>2352</v>
      </c>
      <c r="AJ118" s="331"/>
      <c r="AK118" s="331"/>
      <c r="AL118" s="331" t="s">
        <v>2304</v>
      </c>
      <c r="AM118" s="331" t="s">
        <v>1817</v>
      </c>
      <c r="AN118" s="331" t="s">
        <v>2353</v>
      </c>
      <c r="AO118" s="617" t="s">
        <v>2354</v>
      </c>
      <c r="AP118" s="617" t="s">
        <v>2355</v>
      </c>
      <c r="AQ118" s="332" t="s">
        <v>2356</v>
      </c>
      <c r="AR118" s="481" t="s">
        <v>2357</v>
      </c>
      <c r="AS118" s="481" t="s">
        <v>2358</v>
      </c>
      <c r="AT118" s="616">
        <v>1975</v>
      </c>
      <c r="BB118" s="332"/>
    </row>
    <row r="119" spans="1:54" ht="17.25" customHeight="1">
      <c r="A119" s="492" t="s">
        <v>2359</v>
      </c>
      <c r="B119" s="492" t="s">
        <v>2359</v>
      </c>
      <c r="C119" s="558" t="s">
        <v>2125</v>
      </c>
      <c r="D119" s="481" t="s">
        <v>2202</v>
      </c>
      <c r="E119" s="481" t="s">
        <v>92</v>
      </c>
      <c r="F119" s="481" t="s">
        <v>2360</v>
      </c>
      <c r="G119" s="629" t="s">
        <v>2190</v>
      </c>
      <c r="H119" s="481" t="s">
        <v>2191</v>
      </c>
      <c r="I119" s="328" t="s">
        <v>2192</v>
      </c>
      <c r="J119" s="481" t="s">
        <v>2193</v>
      </c>
      <c r="K119" s="526" t="s">
        <v>2194</v>
      </c>
      <c r="L119" s="1315"/>
      <c r="M119" s="651">
        <v>6</v>
      </c>
      <c r="N119" s="2014" t="s">
        <v>2361</v>
      </c>
      <c r="O119" s="2014"/>
      <c r="P119" s="2014"/>
      <c r="Q119" s="2014"/>
      <c r="R119" s="2015"/>
      <c r="S119" s="375">
        <v>6</v>
      </c>
      <c r="T119" s="2014" t="s">
        <v>2362</v>
      </c>
      <c r="U119" s="2014"/>
      <c r="V119" s="2014"/>
      <c r="W119" s="2014"/>
      <c r="X119" s="2015"/>
      <c r="AE119" s="616">
        <v>1976</v>
      </c>
      <c r="AF119" s="331" t="s">
        <v>2363</v>
      </c>
      <c r="AG119" s="331"/>
      <c r="AH119" s="331"/>
      <c r="AI119" s="331" t="s">
        <v>2364</v>
      </c>
      <c r="AJ119" s="331" t="s">
        <v>2365</v>
      </c>
      <c r="AK119" s="331" t="s">
        <v>2366</v>
      </c>
      <c r="AL119" s="331" t="s">
        <v>2304</v>
      </c>
      <c r="AM119" s="331" t="s">
        <v>1824</v>
      </c>
      <c r="AN119" s="331" t="s">
        <v>2367</v>
      </c>
      <c r="AO119" s="617" t="s">
        <v>2368</v>
      </c>
      <c r="AP119" s="617" t="s">
        <v>2355</v>
      </c>
      <c r="AQ119" s="332" t="s">
        <v>2369</v>
      </c>
      <c r="AR119" s="481" t="s">
        <v>2370</v>
      </c>
      <c r="AS119" s="481" t="s">
        <v>2371</v>
      </c>
      <c r="AT119" s="616">
        <v>1976</v>
      </c>
      <c r="BB119" s="332"/>
    </row>
    <row r="120" spans="1:54" ht="17.25" customHeight="1">
      <c r="A120" s="492" t="s">
        <v>2372</v>
      </c>
      <c r="B120" s="492" t="s">
        <v>2372</v>
      </c>
      <c r="C120" s="558" t="s">
        <v>2125</v>
      </c>
      <c r="D120" s="481" t="s">
        <v>2202</v>
      </c>
      <c r="E120" s="481" t="s">
        <v>92</v>
      </c>
      <c r="F120" s="481" t="s">
        <v>2373</v>
      </c>
      <c r="G120" s="629" t="s">
        <v>2190</v>
      </c>
      <c r="H120" s="481" t="s">
        <v>2191</v>
      </c>
      <c r="I120" s="328" t="s">
        <v>2192</v>
      </c>
      <c r="J120" s="481" t="s">
        <v>2193</v>
      </c>
      <c r="K120" s="526" t="s">
        <v>2194</v>
      </c>
      <c r="L120" s="1315"/>
      <c r="M120" s="651">
        <v>7</v>
      </c>
      <c r="N120" s="2014" t="s">
        <v>2374</v>
      </c>
      <c r="O120" s="2014"/>
      <c r="P120" s="2014"/>
      <c r="Q120" s="2014"/>
      <c r="R120" s="2015"/>
      <c r="S120" s="375">
        <v>7</v>
      </c>
      <c r="T120" s="2014" t="s">
        <v>2375</v>
      </c>
      <c r="U120" s="2014"/>
      <c r="V120" s="2014"/>
      <c r="W120" s="2014"/>
      <c r="X120" s="2015"/>
      <c r="AE120" s="616">
        <v>1977</v>
      </c>
      <c r="AF120" s="331" t="s">
        <v>92</v>
      </c>
      <c r="AG120" s="331"/>
      <c r="AH120" s="331"/>
      <c r="AI120" s="331" t="s">
        <v>92</v>
      </c>
      <c r="AJ120" s="331"/>
      <c r="AK120" s="331"/>
      <c r="AL120" s="331" t="s">
        <v>2304</v>
      </c>
      <c r="AM120" s="331" t="s">
        <v>1834</v>
      </c>
      <c r="AN120" s="331" t="s">
        <v>2376</v>
      </c>
      <c r="AO120" s="617" t="s">
        <v>2377</v>
      </c>
      <c r="AP120" s="617" t="s">
        <v>2378</v>
      </c>
      <c r="AQ120" s="332" t="s">
        <v>2379</v>
      </c>
      <c r="AR120" s="481" t="s">
        <v>2380</v>
      </c>
      <c r="AS120" s="481" t="s">
        <v>2381</v>
      </c>
      <c r="AT120" s="616">
        <v>1977</v>
      </c>
      <c r="BB120" s="332"/>
    </row>
    <row r="121" spans="1:54" ht="17.25" customHeight="1">
      <c r="A121" s="492" t="s">
        <v>1370</v>
      </c>
      <c r="B121" s="492" t="s">
        <v>1370</v>
      </c>
      <c r="C121" s="558" t="s">
        <v>2125</v>
      </c>
      <c r="D121" s="481" t="s">
        <v>2202</v>
      </c>
      <c r="E121" s="481" t="s">
        <v>92</v>
      </c>
      <c r="F121" s="481" t="s">
        <v>2382</v>
      </c>
      <c r="G121" s="629" t="s">
        <v>2190</v>
      </c>
      <c r="H121" s="481" t="s">
        <v>2191</v>
      </c>
      <c r="I121" s="328" t="s">
        <v>2192</v>
      </c>
      <c r="J121" s="481" t="s">
        <v>2193</v>
      </c>
      <c r="K121" s="526" t="s">
        <v>2194</v>
      </c>
      <c r="L121" s="1315"/>
      <c r="M121" s="651">
        <v>8</v>
      </c>
      <c r="N121" s="2014" t="s">
        <v>2383</v>
      </c>
      <c r="O121" s="2014"/>
      <c r="P121" s="2014"/>
      <c r="Q121" s="2014"/>
      <c r="R121" s="2015"/>
      <c r="S121" s="375">
        <v>8</v>
      </c>
      <c r="T121" s="2014" t="s">
        <v>2384</v>
      </c>
      <c r="U121" s="2014"/>
      <c r="V121" s="2014"/>
      <c r="W121" s="2014"/>
      <c r="X121" s="2015"/>
      <c r="AE121" s="616">
        <v>1978</v>
      </c>
      <c r="AF121" s="331" t="s">
        <v>92</v>
      </c>
      <c r="AG121" s="331"/>
      <c r="AH121" s="331"/>
      <c r="AI121" s="331" t="s">
        <v>92</v>
      </c>
      <c r="AJ121" s="331"/>
      <c r="AK121" s="331"/>
      <c r="AL121" s="331" t="s">
        <v>2304</v>
      </c>
      <c r="AM121" s="331" t="s">
        <v>1840</v>
      </c>
      <c r="AN121" s="331" t="s">
        <v>2385</v>
      </c>
      <c r="AO121" s="617" t="s">
        <v>2386</v>
      </c>
      <c r="AP121" s="617" t="s">
        <v>2387</v>
      </c>
      <c r="AQ121" s="332" t="s">
        <v>2388</v>
      </c>
      <c r="AR121" s="481" t="s">
        <v>2389</v>
      </c>
      <c r="AS121" s="481" t="s">
        <v>2390</v>
      </c>
      <c r="AT121" s="616">
        <v>1978</v>
      </c>
      <c r="BB121" s="332"/>
    </row>
    <row r="122" spans="1:54" ht="17.25" customHeight="1">
      <c r="A122" s="492" t="s">
        <v>2391</v>
      </c>
      <c r="B122" s="492" t="s">
        <v>2391</v>
      </c>
      <c r="C122" s="558" t="s">
        <v>2125</v>
      </c>
      <c r="D122" s="481" t="s">
        <v>2202</v>
      </c>
      <c r="E122" s="481" t="s">
        <v>92</v>
      </c>
      <c r="F122" s="481" t="s">
        <v>2392</v>
      </c>
      <c r="G122" s="629" t="s">
        <v>2190</v>
      </c>
      <c r="H122" s="481" t="s">
        <v>2191</v>
      </c>
      <c r="I122" s="328" t="s">
        <v>2192</v>
      </c>
      <c r="J122" s="481" t="s">
        <v>2193</v>
      </c>
      <c r="K122" s="526" t="s">
        <v>2194</v>
      </c>
      <c r="L122" s="1315"/>
      <c r="M122" s="651">
        <v>9</v>
      </c>
      <c r="N122" s="2014" t="s">
        <v>2393</v>
      </c>
      <c r="O122" s="2014"/>
      <c r="P122" s="2014"/>
      <c r="Q122" s="2014"/>
      <c r="R122" s="2015"/>
      <c r="S122" s="375">
        <v>9</v>
      </c>
      <c r="T122" s="2014" t="s">
        <v>2394</v>
      </c>
      <c r="U122" s="2014"/>
      <c r="V122" s="2014"/>
      <c r="W122" s="2014"/>
      <c r="X122" s="2015"/>
      <c r="AE122" s="616">
        <v>1979</v>
      </c>
      <c r="AF122" s="331" t="s">
        <v>92</v>
      </c>
      <c r="AG122" s="331"/>
      <c r="AH122" s="331"/>
      <c r="AI122" s="331" t="s">
        <v>92</v>
      </c>
      <c r="AJ122" s="331"/>
      <c r="AK122" s="331"/>
      <c r="AL122" s="331" t="s">
        <v>2304</v>
      </c>
      <c r="AM122" s="331" t="s">
        <v>1848</v>
      </c>
      <c r="AN122" s="331" t="s">
        <v>2395</v>
      </c>
      <c r="AO122" s="617" t="s">
        <v>2396</v>
      </c>
      <c r="AP122" s="617" t="s">
        <v>2387</v>
      </c>
      <c r="AQ122" s="332" t="s">
        <v>2397</v>
      </c>
      <c r="AR122" s="481" t="s">
        <v>2398</v>
      </c>
      <c r="AS122" s="481" t="s">
        <v>2399</v>
      </c>
      <c r="AT122" s="616">
        <v>1979</v>
      </c>
      <c r="BB122" s="332"/>
    </row>
    <row r="123" spans="1:54" ht="17.25" customHeight="1">
      <c r="A123" s="492" t="s">
        <v>2400</v>
      </c>
      <c r="B123" s="492" t="s">
        <v>2400</v>
      </c>
      <c r="C123" s="558" t="s">
        <v>2125</v>
      </c>
      <c r="D123" s="481" t="s">
        <v>2202</v>
      </c>
      <c r="E123" s="481" t="s">
        <v>92</v>
      </c>
      <c r="F123" s="481" t="s">
        <v>2401</v>
      </c>
      <c r="G123" s="629" t="s">
        <v>2190</v>
      </c>
      <c r="H123" s="481" t="s">
        <v>2191</v>
      </c>
      <c r="I123" s="328" t="s">
        <v>2192</v>
      </c>
      <c r="J123" s="481" t="s">
        <v>2193</v>
      </c>
      <c r="K123" s="526" t="s">
        <v>2194</v>
      </c>
      <c r="L123" s="1315"/>
      <c r="M123" s="651">
        <v>10</v>
      </c>
      <c r="N123" s="2014" t="s">
        <v>2402</v>
      </c>
      <c r="O123" s="2014"/>
      <c r="P123" s="2014"/>
      <c r="Q123" s="2014"/>
      <c r="R123" s="2015"/>
      <c r="S123" s="375">
        <v>10</v>
      </c>
      <c r="T123" s="2014" t="s">
        <v>2403</v>
      </c>
      <c r="U123" s="2014"/>
      <c r="V123" s="2014"/>
      <c r="W123" s="2014"/>
      <c r="X123" s="2015"/>
      <c r="AE123" s="616">
        <v>1980</v>
      </c>
      <c r="AF123" s="331" t="s">
        <v>2404</v>
      </c>
      <c r="AG123" s="331"/>
      <c r="AH123" s="331"/>
      <c r="AI123" s="331" t="s">
        <v>92</v>
      </c>
      <c r="AJ123" s="331"/>
      <c r="AK123" s="331"/>
      <c r="AL123" s="331" t="s">
        <v>2405</v>
      </c>
      <c r="AM123" s="331" t="s">
        <v>1859</v>
      </c>
      <c r="AN123" s="331" t="s">
        <v>2406</v>
      </c>
      <c r="AO123" s="617" t="s">
        <v>2407</v>
      </c>
      <c r="AP123" s="617" t="s">
        <v>2387</v>
      </c>
      <c r="AQ123" s="332" t="s">
        <v>2408</v>
      </c>
      <c r="AR123" s="481" t="s">
        <v>2409</v>
      </c>
      <c r="AS123" s="481" t="s">
        <v>2410</v>
      </c>
      <c r="AT123" s="616">
        <v>1980</v>
      </c>
      <c r="BB123" s="332"/>
    </row>
    <row r="124" spans="1:54" ht="17.25" customHeight="1">
      <c r="A124" s="492" t="s">
        <v>1375</v>
      </c>
      <c r="B124" s="492" t="s">
        <v>1375</v>
      </c>
      <c r="C124" s="558" t="s">
        <v>2125</v>
      </c>
      <c r="D124" s="481" t="s">
        <v>2202</v>
      </c>
      <c r="E124" s="481" t="s">
        <v>92</v>
      </c>
      <c r="F124" s="481" t="s">
        <v>2411</v>
      </c>
      <c r="G124" s="629" t="s">
        <v>2190</v>
      </c>
      <c r="H124" s="481" t="s">
        <v>2191</v>
      </c>
      <c r="I124" s="328" t="s">
        <v>2192</v>
      </c>
      <c r="J124" s="481" t="s">
        <v>2193</v>
      </c>
      <c r="K124" s="526" t="s">
        <v>2194</v>
      </c>
      <c r="L124" s="1315"/>
      <c r="M124" s="651">
        <v>11</v>
      </c>
      <c r="N124" s="2014" t="s">
        <v>2412</v>
      </c>
      <c r="O124" s="2014"/>
      <c r="P124" s="2014"/>
      <c r="Q124" s="2014"/>
      <c r="R124" s="2015"/>
      <c r="S124" s="375">
        <v>11</v>
      </c>
      <c r="T124" s="2014" t="s">
        <v>2413</v>
      </c>
      <c r="U124" s="2014"/>
      <c r="V124" s="2014"/>
      <c r="W124" s="2014"/>
      <c r="X124" s="2015"/>
      <c r="AE124" s="616">
        <v>1981</v>
      </c>
      <c r="AF124" s="331" t="s">
        <v>92</v>
      </c>
      <c r="AG124" s="331"/>
      <c r="AH124" s="331"/>
      <c r="AI124" s="331" t="s">
        <v>2414</v>
      </c>
      <c r="AJ124" s="331"/>
      <c r="AK124" s="331"/>
      <c r="AL124" s="331" t="s">
        <v>2405</v>
      </c>
      <c r="AM124" s="331" t="s">
        <v>1867</v>
      </c>
      <c r="AN124" s="331" t="s">
        <v>2415</v>
      </c>
      <c r="AO124" s="617" t="s">
        <v>2416</v>
      </c>
      <c r="AP124" s="617" t="s">
        <v>2417</v>
      </c>
      <c r="AQ124" s="332" t="s">
        <v>2408</v>
      </c>
      <c r="AR124" s="481" t="s">
        <v>2409</v>
      </c>
      <c r="AT124" s="616">
        <v>1981</v>
      </c>
      <c r="BB124" s="332"/>
    </row>
    <row r="125" spans="1:54" ht="17.25" customHeight="1">
      <c r="A125" s="492" t="s">
        <v>2418</v>
      </c>
      <c r="B125" s="492" t="s">
        <v>2418</v>
      </c>
      <c r="C125" s="558" t="s">
        <v>2125</v>
      </c>
      <c r="D125" s="481" t="s">
        <v>2202</v>
      </c>
      <c r="E125" s="481" t="s">
        <v>92</v>
      </c>
      <c r="F125" s="332" t="s">
        <v>2419</v>
      </c>
      <c r="G125" s="629" t="s">
        <v>2190</v>
      </c>
      <c r="H125" s="481" t="s">
        <v>2191</v>
      </c>
      <c r="I125" s="328" t="s">
        <v>2192</v>
      </c>
      <c r="J125" s="481" t="s">
        <v>2193</v>
      </c>
      <c r="K125" s="526" t="s">
        <v>2194</v>
      </c>
      <c r="L125" s="1315"/>
      <c r="M125" s="651">
        <v>12</v>
      </c>
      <c r="N125" s="2014" t="s">
        <v>2420</v>
      </c>
      <c r="O125" s="2014"/>
      <c r="P125" s="2014"/>
      <c r="Q125" s="2014"/>
      <c r="R125" s="2015"/>
      <c r="S125" s="375">
        <v>12</v>
      </c>
      <c r="T125" s="2014" t="s">
        <v>2421</v>
      </c>
      <c r="U125" s="2014"/>
      <c r="V125" s="2014"/>
      <c r="W125" s="2014"/>
      <c r="X125" s="2015"/>
      <c r="AE125" s="616">
        <v>1982</v>
      </c>
      <c r="AF125" s="331" t="s">
        <v>92</v>
      </c>
      <c r="AG125" s="331"/>
      <c r="AH125" s="331"/>
      <c r="AI125" s="331" t="s">
        <v>92</v>
      </c>
      <c r="AJ125" s="331"/>
      <c r="AK125" s="331"/>
      <c r="AL125" s="331" t="s">
        <v>2405</v>
      </c>
      <c r="AM125" s="331" t="s">
        <v>1874</v>
      </c>
      <c r="AN125" s="331" t="s">
        <v>2422</v>
      </c>
      <c r="AO125" s="617" t="s">
        <v>2423</v>
      </c>
      <c r="AP125" s="617" t="s">
        <v>2424</v>
      </c>
      <c r="AQ125" s="332" t="s">
        <v>2408</v>
      </c>
      <c r="AR125" s="481" t="s">
        <v>2409</v>
      </c>
      <c r="AT125" s="616">
        <v>1982</v>
      </c>
      <c r="BB125" s="332"/>
    </row>
    <row r="126" spans="1:54" ht="17.25" customHeight="1">
      <c r="A126" s="492" t="s">
        <v>2425</v>
      </c>
      <c r="B126" s="492" t="s">
        <v>2425</v>
      </c>
      <c r="C126" s="558" t="s">
        <v>2125</v>
      </c>
      <c r="D126" s="481" t="s">
        <v>2202</v>
      </c>
      <c r="E126" s="481" t="s">
        <v>92</v>
      </c>
      <c r="F126" s="481" t="s">
        <v>2426</v>
      </c>
      <c r="G126" s="629" t="s">
        <v>2190</v>
      </c>
      <c r="H126" s="481" t="s">
        <v>2191</v>
      </c>
      <c r="I126" s="328" t="s">
        <v>2192</v>
      </c>
      <c r="J126" s="481" t="s">
        <v>2193</v>
      </c>
      <c r="K126" s="526" t="s">
        <v>2194</v>
      </c>
      <c r="L126" s="1315"/>
      <c r="M126" s="651">
        <v>13</v>
      </c>
      <c r="N126" s="2014" t="s">
        <v>2427</v>
      </c>
      <c r="O126" s="2014"/>
      <c r="P126" s="2014"/>
      <c r="Q126" s="2014"/>
      <c r="R126" s="2015"/>
      <c r="S126" s="375">
        <v>13</v>
      </c>
      <c r="T126" s="2014" t="s">
        <v>2428</v>
      </c>
      <c r="U126" s="2014"/>
      <c r="V126" s="2014"/>
      <c r="W126" s="2014"/>
      <c r="X126" s="2015"/>
      <c r="AE126" s="616">
        <v>1983</v>
      </c>
      <c r="AF126" s="331" t="s">
        <v>92</v>
      </c>
      <c r="AG126" s="331"/>
      <c r="AH126" s="331"/>
      <c r="AI126" s="331" t="s">
        <v>2429</v>
      </c>
      <c r="AJ126" s="331"/>
      <c r="AK126" s="331"/>
      <c r="AL126" s="331" t="s">
        <v>2405</v>
      </c>
      <c r="AM126" s="331" t="s">
        <v>1881</v>
      </c>
      <c r="AN126" s="331" t="s">
        <v>2430</v>
      </c>
      <c r="AO126" s="617" t="s">
        <v>2431</v>
      </c>
      <c r="AP126" s="617" t="s">
        <v>2424</v>
      </c>
      <c r="AQ126" s="332" t="s">
        <v>2408</v>
      </c>
      <c r="AR126" s="481" t="s">
        <v>2409</v>
      </c>
      <c r="AT126" s="616">
        <v>1983</v>
      </c>
      <c r="BB126" s="332"/>
    </row>
    <row r="127" spans="1:54" ht="17.25" customHeight="1">
      <c r="A127" s="492" t="s">
        <v>2432</v>
      </c>
      <c r="B127" s="492" t="s">
        <v>2432</v>
      </c>
      <c r="C127" s="558" t="s">
        <v>2125</v>
      </c>
      <c r="D127" s="481" t="s">
        <v>2202</v>
      </c>
      <c r="E127" s="481" t="s">
        <v>92</v>
      </c>
      <c r="F127" s="481" t="s">
        <v>2433</v>
      </c>
      <c r="G127" s="629" t="s">
        <v>2190</v>
      </c>
      <c r="H127" s="481" t="s">
        <v>2191</v>
      </c>
      <c r="I127" s="328" t="s">
        <v>2192</v>
      </c>
      <c r="J127" s="481" t="s">
        <v>2193</v>
      </c>
      <c r="K127" s="526" t="s">
        <v>2194</v>
      </c>
      <c r="L127" s="1315"/>
      <c r="M127" s="651">
        <v>14</v>
      </c>
      <c r="N127" s="2014" t="s">
        <v>2434</v>
      </c>
      <c r="O127" s="2014"/>
      <c r="P127" s="2014"/>
      <c r="Q127" s="2014"/>
      <c r="R127" s="2015"/>
      <c r="S127" s="375">
        <v>14</v>
      </c>
      <c r="T127" s="2014" t="s">
        <v>2435</v>
      </c>
      <c r="U127" s="2014"/>
      <c r="V127" s="2014"/>
      <c r="W127" s="2014"/>
      <c r="X127" s="2015"/>
      <c r="AE127" s="616">
        <v>1984</v>
      </c>
      <c r="AF127" s="331" t="s">
        <v>1956</v>
      </c>
      <c r="AG127" s="331"/>
      <c r="AH127" s="331"/>
      <c r="AI127" s="331" t="s">
        <v>92</v>
      </c>
      <c r="AJ127" s="331"/>
      <c r="AK127" s="331"/>
      <c r="AL127" s="331" t="s">
        <v>2405</v>
      </c>
      <c r="AM127" s="331" t="s">
        <v>1889</v>
      </c>
      <c r="AN127" s="331" t="s">
        <v>2436</v>
      </c>
      <c r="AO127" s="617" t="s">
        <v>2437</v>
      </c>
      <c r="AP127" s="617" t="s">
        <v>2424</v>
      </c>
      <c r="AQ127" s="332" t="s">
        <v>2438</v>
      </c>
      <c r="AR127" s="481" t="s">
        <v>2439</v>
      </c>
      <c r="AS127" s="481" t="s">
        <v>2440</v>
      </c>
      <c r="AT127" s="616">
        <v>1984</v>
      </c>
      <c r="BB127" s="332"/>
    </row>
    <row r="128" spans="1:54" ht="17.25" customHeight="1">
      <c r="A128" s="492" t="s">
        <v>2441</v>
      </c>
      <c r="B128" s="492" t="s">
        <v>2441</v>
      </c>
      <c r="C128" s="558" t="s">
        <v>2125</v>
      </c>
      <c r="D128" s="481" t="s">
        <v>2202</v>
      </c>
      <c r="E128" s="481" t="s">
        <v>92</v>
      </c>
      <c r="F128" s="332" t="s">
        <v>2442</v>
      </c>
      <c r="G128" s="629" t="s">
        <v>2190</v>
      </c>
      <c r="H128" s="481" t="s">
        <v>2191</v>
      </c>
      <c r="I128" s="328" t="s">
        <v>2192</v>
      </c>
      <c r="J128" s="481" t="s">
        <v>2193</v>
      </c>
      <c r="K128" s="526" t="s">
        <v>2194</v>
      </c>
      <c r="L128" s="1315"/>
      <c r="M128" s="651">
        <v>15</v>
      </c>
      <c r="N128" s="2014" t="s">
        <v>2443</v>
      </c>
      <c r="O128" s="2014"/>
      <c r="P128" s="2014"/>
      <c r="Q128" s="2014"/>
      <c r="R128" s="2015"/>
      <c r="S128" s="375">
        <v>15</v>
      </c>
      <c r="T128" s="2014" t="s">
        <v>2444</v>
      </c>
      <c r="U128" s="2014"/>
      <c r="V128" s="2014"/>
      <c r="W128" s="2014"/>
      <c r="X128" s="2015"/>
      <c r="AE128" s="616">
        <v>1985</v>
      </c>
      <c r="AF128" s="331" t="s">
        <v>92</v>
      </c>
      <c r="AG128" s="331"/>
      <c r="AH128" s="331"/>
      <c r="AI128" s="331" t="s">
        <v>92</v>
      </c>
      <c r="AJ128" s="331"/>
      <c r="AK128" s="331"/>
      <c r="AL128" s="331" t="s">
        <v>2405</v>
      </c>
      <c r="AM128" s="331" t="s">
        <v>1897</v>
      </c>
      <c r="AN128" s="331" t="s">
        <v>2445</v>
      </c>
      <c r="AO128" s="617" t="s">
        <v>2446</v>
      </c>
      <c r="AP128" s="617" t="s">
        <v>2424</v>
      </c>
      <c r="AQ128" s="332" t="s">
        <v>2438</v>
      </c>
      <c r="AR128" s="481" t="s">
        <v>2439</v>
      </c>
      <c r="AT128" s="616">
        <v>1985</v>
      </c>
      <c r="BB128" s="332"/>
    </row>
    <row r="129" spans="1:54" ht="17.25" customHeight="1">
      <c r="A129" s="481" t="str">
        <f>Q226</f>
        <v/>
      </c>
      <c r="B129" s="492" t="s">
        <v>2179</v>
      </c>
      <c r="C129" s="558" t="s">
        <v>456</v>
      </c>
      <c r="D129" s="481" t="s">
        <v>456</v>
      </c>
      <c r="E129" s="481" t="s">
        <v>456</v>
      </c>
      <c r="F129" s="481" t="s">
        <v>456</v>
      </c>
      <c r="G129" s="481" t="s">
        <v>456</v>
      </c>
      <c r="H129" s="481" t="s">
        <v>456</v>
      </c>
      <c r="I129" s="481" t="s">
        <v>456</v>
      </c>
      <c r="J129" s="481" t="s">
        <v>456</v>
      </c>
      <c r="K129" s="526" t="s">
        <v>456</v>
      </c>
      <c r="L129" s="1315"/>
      <c r="M129" s="651">
        <v>16</v>
      </c>
      <c r="N129" s="2014" t="s">
        <v>2447</v>
      </c>
      <c r="O129" s="2014"/>
      <c r="P129" s="2014"/>
      <c r="Q129" s="2014"/>
      <c r="R129" s="2015"/>
      <c r="S129" s="375">
        <v>16</v>
      </c>
      <c r="T129" s="2014" t="s">
        <v>2448</v>
      </c>
      <c r="U129" s="2014"/>
      <c r="V129" s="2014"/>
      <c r="W129" s="2014"/>
      <c r="X129" s="2015"/>
      <c r="AE129" s="616">
        <v>1986</v>
      </c>
      <c r="AF129" s="331" t="s">
        <v>2449</v>
      </c>
      <c r="AG129" s="331"/>
      <c r="AH129" s="331"/>
      <c r="AI129" s="331" t="s">
        <v>92</v>
      </c>
      <c r="AJ129" s="331"/>
      <c r="AK129" s="331"/>
      <c r="AL129" s="331" t="s">
        <v>2405</v>
      </c>
      <c r="AM129" s="331" t="s">
        <v>1906</v>
      </c>
      <c r="AN129" s="331" t="s">
        <v>2450</v>
      </c>
      <c r="AO129" s="617" t="s">
        <v>2451</v>
      </c>
      <c r="AP129" s="617" t="s">
        <v>2424</v>
      </c>
      <c r="AQ129" s="332" t="s">
        <v>2452</v>
      </c>
      <c r="AR129" s="481" t="s">
        <v>2453</v>
      </c>
      <c r="AS129" s="481" t="s">
        <v>2454</v>
      </c>
      <c r="AT129" s="616">
        <v>1986</v>
      </c>
      <c r="BB129" s="332"/>
    </row>
    <row r="130" spans="1:54" ht="17.25" customHeight="1">
      <c r="B130" s="492" t="s">
        <v>78</v>
      </c>
      <c r="C130" s="558" t="s">
        <v>2455</v>
      </c>
      <c r="D130" s="481" t="s">
        <v>2456</v>
      </c>
      <c r="E130" s="481" t="s">
        <v>2457</v>
      </c>
      <c r="F130" s="332" t="s">
        <v>2458</v>
      </c>
      <c r="G130" s="481" t="s">
        <v>2459</v>
      </c>
      <c r="H130" s="481" t="s">
        <v>2460</v>
      </c>
      <c r="I130" s="481" t="s">
        <v>2461</v>
      </c>
      <c r="J130" s="481" t="s">
        <v>2462</v>
      </c>
      <c r="K130" s="526" t="s">
        <v>2463</v>
      </c>
      <c r="L130" s="1315"/>
      <c r="M130" s="651">
        <v>17</v>
      </c>
      <c r="N130" s="2014" t="s">
        <v>2464</v>
      </c>
      <c r="O130" s="2014"/>
      <c r="P130" s="2014"/>
      <c r="Q130" s="2014"/>
      <c r="R130" s="2015"/>
      <c r="S130" s="375">
        <v>17</v>
      </c>
      <c r="T130" s="2014" t="s">
        <v>2465</v>
      </c>
      <c r="U130" s="2014"/>
      <c r="V130" s="2014"/>
      <c r="W130" s="2014"/>
      <c r="X130" s="2015"/>
      <c r="AE130" s="616">
        <v>1987</v>
      </c>
      <c r="AF130" s="331" t="s">
        <v>2449</v>
      </c>
      <c r="AG130" s="665"/>
      <c r="AH130" s="665"/>
      <c r="AI130" s="331" t="s">
        <v>92</v>
      </c>
      <c r="AJ130" s="331"/>
      <c r="AK130" s="331"/>
      <c r="AL130" s="331" t="s">
        <v>2405</v>
      </c>
      <c r="AM130" s="331" t="s">
        <v>1915</v>
      </c>
      <c r="AN130" s="331" t="s">
        <v>2466</v>
      </c>
      <c r="AO130" s="617" t="s">
        <v>2467</v>
      </c>
      <c r="AP130" s="617" t="s">
        <v>2424</v>
      </c>
      <c r="AQ130" s="332" t="s">
        <v>2452</v>
      </c>
      <c r="AR130" s="481" t="s">
        <v>2453</v>
      </c>
      <c r="AT130" s="616">
        <v>1987</v>
      </c>
      <c r="BB130" s="332"/>
    </row>
    <row r="131" spans="1:54" ht="17.25" customHeight="1">
      <c r="B131" s="492" t="s">
        <v>81</v>
      </c>
      <c r="C131" s="558" t="s">
        <v>2468</v>
      </c>
      <c r="D131" s="481" t="s">
        <v>92</v>
      </c>
      <c r="E131" s="481" t="s">
        <v>2469</v>
      </c>
      <c r="F131" s="481" t="s">
        <v>2470</v>
      </c>
      <c r="G131" s="481" t="s">
        <v>2471</v>
      </c>
      <c r="H131" s="481" t="s">
        <v>2472</v>
      </c>
      <c r="I131" s="481" t="s">
        <v>2473</v>
      </c>
      <c r="J131" s="481" t="s">
        <v>2474</v>
      </c>
      <c r="K131" s="526" t="s">
        <v>2475</v>
      </c>
      <c r="L131" s="1315"/>
      <c r="M131" s="651">
        <v>18</v>
      </c>
      <c r="N131" s="2014" t="s">
        <v>2476</v>
      </c>
      <c r="O131" s="2014"/>
      <c r="P131" s="2014"/>
      <c r="Q131" s="2014"/>
      <c r="R131" s="2015"/>
      <c r="S131" s="375">
        <v>18</v>
      </c>
      <c r="T131" s="2014" t="s">
        <v>2477</v>
      </c>
      <c r="U131" s="2014"/>
      <c r="V131" s="2014"/>
      <c r="W131" s="2014"/>
      <c r="X131" s="2015"/>
      <c r="AE131" s="616">
        <v>1988</v>
      </c>
      <c r="AF131" s="331" t="s">
        <v>2449</v>
      </c>
      <c r="AG131" s="665" t="s">
        <v>2478</v>
      </c>
      <c r="AH131" s="665"/>
      <c r="AI131" s="331" t="s">
        <v>2479</v>
      </c>
      <c r="AJ131" s="331" t="s">
        <v>2480</v>
      </c>
      <c r="AK131" s="331"/>
      <c r="AL131" s="331" t="s">
        <v>2405</v>
      </c>
      <c r="AM131" s="331" t="s">
        <v>1924</v>
      </c>
      <c r="AN131" s="331" t="s">
        <v>2481</v>
      </c>
      <c r="AO131" s="331" t="s">
        <v>2482</v>
      </c>
      <c r="AP131" s="617" t="s">
        <v>2424</v>
      </c>
      <c r="AQ131" s="332" t="s">
        <v>2483</v>
      </c>
      <c r="AR131" s="481" t="s">
        <v>2484</v>
      </c>
      <c r="AS131" s="481" t="s">
        <v>2485</v>
      </c>
      <c r="AT131" s="616">
        <v>1988</v>
      </c>
      <c r="BB131" s="332"/>
    </row>
    <row r="132" spans="1:54" ht="17.25" customHeight="1">
      <c r="B132" s="492" t="s">
        <v>2486</v>
      </c>
      <c r="C132" s="558" t="s">
        <v>2125</v>
      </c>
      <c r="D132" s="481" t="s">
        <v>2487</v>
      </c>
      <c r="E132" s="481" t="s">
        <v>92</v>
      </c>
      <c r="F132" s="481" t="s">
        <v>2488</v>
      </c>
      <c r="G132" s="481" t="s">
        <v>2489</v>
      </c>
      <c r="H132" s="481" t="s">
        <v>2490</v>
      </c>
      <c r="I132" s="481" t="s">
        <v>2491</v>
      </c>
      <c r="J132" s="481" t="s">
        <v>2492</v>
      </c>
      <c r="K132" s="526" t="s">
        <v>2493</v>
      </c>
      <c r="L132" s="1315"/>
      <c r="M132" s="651">
        <v>19</v>
      </c>
      <c r="N132" s="2014" t="s">
        <v>2494</v>
      </c>
      <c r="O132" s="2014"/>
      <c r="P132" s="2014"/>
      <c r="Q132" s="2014"/>
      <c r="R132" s="2015"/>
      <c r="S132" s="375">
        <v>19</v>
      </c>
      <c r="T132" s="2014" t="s">
        <v>2495</v>
      </c>
      <c r="U132" s="2014"/>
      <c r="V132" s="2014"/>
      <c r="W132" s="2014"/>
      <c r="X132" s="2015"/>
      <c r="AE132" s="616">
        <v>1989</v>
      </c>
      <c r="AF132" s="331" t="s">
        <v>2449</v>
      </c>
      <c r="AG132" s="665" t="s">
        <v>2496</v>
      </c>
      <c r="AH132" s="665"/>
      <c r="AI132" s="331" t="s">
        <v>92</v>
      </c>
      <c r="AJ132" s="331"/>
      <c r="AK132" s="331"/>
      <c r="AL132" s="331" t="s">
        <v>2405</v>
      </c>
      <c r="AM132" s="331" t="s">
        <v>1932</v>
      </c>
      <c r="AN132" s="331" t="s">
        <v>2497</v>
      </c>
      <c r="AO132" s="617" t="s">
        <v>2498</v>
      </c>
      <c r="AP132" s="617" t="s">
        <v>2499</v>
      </c>
      <c r="AQ132" s="481" t="s">
        <v>2500</v>
      </c>
      <c r="AR132" s="481" t="s">
        <v>2501</v>
      </c>
      <c r="AS132" s="481" t="s">
        <v>2502</v>
      </c>
      <c r="AT132" s="616">
        <v>1989</v>
      </c>
      <c r="BB132" s="332"/>
    </row>
    <row r="133" spans="1:54" ht="17.25" customHeight="1">
      <c r="B133" s="492" t="s">
        <v>94</v>
      </c>
      <c r="C133" s="558" t="s">
        <v>2503</v>
      </c>
      <c r="D133" s="481" t="s">
        <v>92</v>
      </c>
      <c r="E133" s="481" t="s">
        <v>92</v>
      </c>
      <c r="F133" s="481" t="s">
        <v>2504</v>
      </c>
      <c r="G133" s="481" t="s">
        <v>2505</v>
      </c>
      <c r="H133" s="481" t="s">
        <v>2506</v>
      </c>
      <c r="I133" s="481" t="s">
        <v>2507</v>
      </c>
      <c r="J133" s="481" t="s">
        <v>2508</v>
      </c>
      <c r="K133" s="526" t="s">
        <v>2509</v>
      </c>
      <c r="L133" s="1315"/>
      <c r="M133" s="651">
        <v>20</v>
      </c>
      <c r="N133" s="2014" t="s">
        <v>2510</v>
      </c>
      <c r="O133" s="2014"/>
      <c r="P133" s="2014"/>
      <c r="Q133" s="2014"/>
      <c r="R133" s="2015"/>
      <c r="S133" s="375">
        <v>20</v>
      </c>
      <c r="T133" s="2014" t="s">
        <v>2511</v>
      </c>
      <c r="U133" s="2014"/>
      <c r="V133" s="2014"/>
      <c r="W133" s="2014"/>
      <c r="X133" s="2015"/>
      <c r="AE133" s="616">
        <v>1990</v>
      </c>
      <c r="AF133" s="331" t="s">
        <v>2449</v>
      </c>
      <c r="AG133" s="665"/>
      <c r="AH133" s="665"/>
      <c r="AI133" s="331" t="s">
        <v>2512</v>
      </c>
      <c r="AJ133" s="331"/>
      <c r="AK133" s="331"/>
      <c r="AL133" s="331" t="s">
        <v>2513</v>
      </c>
      <c r="AM133" s="331" t="s">
        <v>1940</v>
      </c>
      <c r="AN133" s="331" t="s">
        <v>2514</v>
      </c>
      <c r="AO133" s="617" t="s">
        <v>2515</v>
      </c>
      <c r="AP133" s="617" t="s">
        <v>2516</v>
      </c>
      <c r="AQ133" s="481" t="s">
        <v>2500</v>
      </c>
      <c r="AR133" s="481" t="s">
        <v>2501</v>
      </c>
      <c r="AT133" s="616">
        <v>1990</v>
      </c>
      <c r="BB133" s="332"/>
    </row>
    <row r="134" spans="1:54" ht="17.25" customHeight="1">
      <c r="B134" s="492" t="s">
        <v>96</v>
      </c>
      <c r="C134" s="558" t="s">
        <v>2503</v>
      </c>
      <c r="D134" s="481" t="s">
        <v>92</v>
      </c>
      <c r="E134" s="481" t="s">
        <v>92</v>
      </c>
      <c r="F134" s="481" t="s">
        <v>2517</v>
      </c>
      <c r="G134" s="481" t="s">
        <v>2518</v>
      </c>
      <c r="H134" s="481" t="s">
        <v>2519</v>
      </c>
      <c r="I134" s="481" t="s">
        <v>2520</v>
      </c>
      <c r="J134" s="481" t="s">
        <v>2521</v>
      </c>
      <c r="K134" s="526" t="s">
        <v>2522</v>
      </c>
      <c r="L134" s="1315"/>
      <c r="M134" s="651">
        <v>21</v>
      </c>
      <c r="N134" s="2014" t="s">
        <v>2523</v>
      </c>
      <c r="O134" s="2014"/>
      <c r="P134" s="2014"/>
      <c r="Q134" s="2014"/>
      <c r="R134" s="2015"/>
      <c r="S134" s="375">
        <v>21</v>
      </c>
      <c r="T134" s="2014" t="s">
        <v>2524</v>
      </c>
      <c r="U134" s="2014"/>
      <c r="V134" s="2014"/>
      <c r="W134" s="2014"/>
      <c r="X134" s="2015"/>
      <c r="AE134" s="616">
        <v>1991</v>
      </c>
      <c r="AF134" s="331" t="s">
        <v>92</v>
      </c>
      <c r="AG134" s="331"/>
      <c r="AH134" s="331"/>
      <c r="AI134" s="331" t="s">
        <v>92</v>
      </c>
      <c r="AJ134" s="331"/>
      <c r="AK134" s="331"/>
      <c r="AL134" s="331" t="s">
        <v>2513</v>
      </c>
      <c r="AM134" s="331" t="s">
        <v>1949</v>
      </c>
      <c r="AN134" s="331" t="s">
        <v>2525</v>
      </c>
      <c r="AO134" s="617" t="s">
        <v>2526</v>
      </c>
      <c r="AP134" s="617" t="s">
        <v>2516</v>
      </c>
      <c r="AQ134" s="481" t="s">
        <v>2500</v>
      </c>
      <c r="AR134" s="481" t="s">
        <v>2501</v>
      </c>
      <c r="AT134" s="616">
        <v>1991</v>
      </c>
      <c r="BB134" s="332"/>
    </row>
    <row r="135" spans="1:54" ht="17.25" customHeight="1">
      <c r="B135" s="492" t="s">
        <v>103</v>
      </c>
      <c r="C135" s="558" t="s">
        <v>2125</v>
      </c>
      <c r="D135" s="481" t="s">
        <v>92</v>
      </c>
      <c r="E135" s="481" t="s">
        <v>92</v>
      </c>
      <c r="F135" s="332" t="s">
        <v>2527</v>
      </c>
      <c r="G135" s="481" t="s">
        <v>2528</v>
      </c>
      <c r="H135" s="481" t="s">
        <v>2529</v>
      </c>
      <c r="I135" s="481" t="s">
        <v>2530</v>
      </c>
      <c r="J135" s="481" t="s">
        <v>2531</v>
      </c>
      <c r="K135" s="526" t="s">
        <v>2532</v>
      </c>
      <c r="L135" s="1315"/>
      <c r="M135" s="651">
        <v>22</v>
      </c>
      <c r="N135" s="2014" t="s">
        <v>2533</v>
      </c>
      <c r="O135" s="2014"/>
      <c r="P135" s="2014"/>
      <c r="Q135" s="2014"/>
      <c r="R135" s="2015"/>
      <c r="S135" s="375">
        <v>22</v>
      </c>
      <c r="T135" s="2014" t="s">
        <v>2534</v>
      </c>
      <c r="U135" s="2014"/>
      <c r="V135" s="2014"/>
      <c r="W135" s="2014"/>
      <c r="X135" s="2015"/>
      <c r="AE135" s="616">
        <v>1992</v>
      </c>
      <c r="AF135" s="331" t="s">
        <v>2535</v>
      </c>
      <c r="AG135" s="331"/>
      <c r="AH135" s="331"/>
      <c r="AI135" s="331" t="s">
        <v>2536</v>
      </c>
      <c r="AJ135" s="331"/>
      <c r="AK135" s="331"/>
      <c r="AL135" s="331" t="s">
        <v>2513</v>
      </c>
      <c r="AM135" s="331" t="s">
        <v>1959</v>
      </c>
      <c r="AN135" s="331" t="s">
        <v>2537</v>
      </c>
      <c r="AO135" s="617" t="s">
        <v>2538</v>
      </c>
      <c r="AP135" s="617" t="s">
        <v>2516</v>
      </c>
      <c r="AQ135" s="481" t="s">
        <v>2500</v>
      </c>
      <c r="AR135" s="481" t="s">
        <v>2501</v>
      </c>
      <c r="AT135" s="616">
        <v>1992</v>
      </c>
      <c r="BB135" s="332"/>
    </row>
    <row r="136" spans="1:54" ht="17.25" customHeight="1">
      <c r="B136" s="492" t="s">
        <v>105</v>
      </c>
      <c r="C136" s="558" t="s">
        <v>2539</v>
      </c>
      <c r="D136" s="481" t="s">
        <v>92</v>
      </c>
      <c r="E136" s="481" t="s">
        <v>2540</v>
      </c>
      <c r="F136" s="481" t="s">
        <v>2541</v>
      </c>
      <c r="G136" s="481" t="s">
        <v>92</v>
      </c>
      <c r="H136" s="481" t="s">
        <v>92</v>
      </c>
      <c r="I136" s="481" t="s">
        <v>2542</v>
      </c>
      <c r="J136" s="481" t="s">
        <v>92</v>
      </c>
      <c r="K136" s="526" t="s">
        <v>92</v>
      </c>
      <c r="L136" s="1315"/>
      <c r="M136" s="651">
        <v>23</v>
      </c>
      <c r="N136" s="2014" t="s">
        <v>2543</v>
      </c>
      <c r="O136" s="2014"/>
      <c r="P136" s="2014"/>
      <c r="Q136" s="2014"/>
      <c r="R136" s="2015"/>
      <c r="S136" s="375">
        <v>23</v>
      </c>
      <c r="T136" s="2014" t="s">
        <v>2544</v>
      </c>
      <c r="U136" s="2014"/>
      <c r="V136" s="2014"/>
      <c r="W136" s="2014"/>
      <c r="X136" s="2015"/>
      <c r="AE136" s="616">
        <v>1993</v>
      </c>
      <c r="AF136" s="331" t="s">
        <v>92</v>
      </c>
      <c r="AG136" s="331"/>
      <c r="AH136" s="331"/>
      <c r="AI136" s="331" t="s">
        <v>2545</v>
      </c>
      <c r="AJ136" s="331"/>
      <c r="AK136" s="331"/>
      <c r="AL136" s="331" t="s">
        <v>2513</v>
      </c>
      <c r="AM136" s="331" t="s">
        <v>1968</v>
      </c>
      <c r="AN136" s="331" t="s">
        <v>2546</v>
      </c>
      <c r="AO136" s="617" t="s">
        <v>2547</v>
      </c>
      <c r="AP136" s="617" t="s">
        <v>2548</v>
      </c>
      <c r="AQ136" s="481" t="s">
        <v>2500</v>
      </c>
      <c r="AR136" s="481" t="s">
        <v>2501</v>
      </c>
      <c r="AT136" s="616">
        <v>1993</v>
      </c>
      <c r="BB136" s="332"/>
    </row>
    <row r="137" spans="1:54" ht="17.25" customHeight="1">
      <c r="B137" s="492" t="s">
        <v>109</v>
      </c>
      <c r="C137" s="558" t="s">
        <v>2468</v>
      </c>
      <c r="D137" s="481" t="s">
        <v>2549</v>
      </c>
      <c r="E137" s="481" t="s">
        <v>92</v>
      </c>
      <c r="F137" s="481" t="s">
        <v>2550</v>
      </c>
      <c r="G137" s="481" t="s">
        <v>2551</v>
      </c>
      <c r="H137" s="481" t="s">
        <v>2552</v>
      </c>
      <c r="I137" s="481" t="s">
        <v>2553</v>
      </c>
      <c r="J137" s="481" t="s">
        <v>2554</v>
      </c>
      <c r="K137" s="526" t="s">
        <v>2555</v>
      </c>
      <c r="L137" s="1315"/>
      <c r="M137" s="651">
        <v>24</v>
      </c>
      <c r="N137" s="2014" t="s">
        <v>2556</v>
      </c>
      <c r="O137" s="2014"/>
      <c r="P137" s="2014"/>
      <c r="Q137" s="2014"/>
      <c r="R137" s="2015"/>
      <c r="S137" s="375">
        <v>24</v>
      </c>
      <c r="T137" s="2014" t="s">
        <v>2557</v>
      </c>
      <c r="U137" s="2014"/>
      <c r="V137" s="2014"/>
      <c r="W137" s="2014"/>
      <c r="X137" s="2015"/>
      <c r="AE137" s="616">
        <v>1994</v>
      </c>
      <c r="AF137" s="331" t="s">
        <v>92</v>
      </c>
      <c r="AG137" s="331"/>
      <c r="AH137" s="331"/>
      <c r="AI137" s="331" t="s">
        <v>92</v>
      </c>
      <c r="AJ137" s="331"/>
      <c r="AK137" s="331"/>
      <c r="AL137" s="331" t="s">
        <v>2513</v>
      </c>
      <c r="AM137" s="331" t="s">
        <v>1976</v>
      </c>
      <c r="AN137" s="331" t="s">
        <v>2558</v>
      </c>
      <c r="AO137" s="617" t="s">
        <v>2559</v>
      </c>
      <c r="AP137" s="617" t="s">
        <v>2560</v>
      </c>
      <c r="AQ137" s="481" t="s">
        <v>2500</v>
      </c>
      <c r="AR137" s="481" t="s">
        <v>2501</v>
      </c>
      <c r="AT137" s="616">
        <v>1994</v>
      </c>
      <c r="BB137" s="332"/>
    </row>
    <row r="138" spans="1:54" ht="17.25" customHeight="1">
      <c r="B138" s="492" t="s">
        <v>111</v>
      </c>
      <c r="C138" s="558" t="s">
        <v>2561</v>
      </c>
      <c r="D138" s="481" t="s">
        <v>92</v>
      </c>
      <c r="E138" s="481" t="s">
        <v>92</v>
      </c>
      <c r="F138" s="481" t="s">
        <v>2562</v>
      </c>
      <c r="G138" s="481" t="s">
        <v>2563</v>
      </c>
      <c r="H138" s="481" t="s">
        <v>2564</v>
      </c>
      <c r="I138" s="481" t="s">
        <v>2565</v>
      </c>
      <c r="J138" s="481" t="s">
        <v>2566</v>
      </c>
      <c r="K138" s="526" t="s">
        <v>2567</v>
      </c>
      <c r="L138" s="1315"/>
      <c r="M138" s="651">
        <v>25</v>
      </c>
      <c r="N138" s="2014" t="s">
        <v>2568</v>
      </c>
      <c r="O138" s="2014"/>
      <c r="P138" s="2014"/>
      <c r="Q138" s="2014"/>
      <c r="R138" s="2015"/>
      <c r="S138" s="375">
        <v>25</v>
      </c>
      <c r="T138" s="2014" t="s">
        <v>2569</v>
      </c>
      <c r="U138" s="2014"/>
      <c r="V138" s="2014"/>
      <c r="W138" s="2014"/>
      <c r="X138" s="2015"/>
      <c r="AE138" s="616">
        <v>1995</v>
      </c>
      <c r="AF138" s="331" t="s">
        <v>92</v>
      </c>
      <c r="AG138" s="331"/>
      <c r="AH138" s="331"/>
      <c r="AI138" s="331" t="s">
        <v>92</v>
      </c>
      <c r="AJ138" s="331"/>
      <c r="AK138" s="331"/>
      <c r="AL138" s="331" t="s">
        <v>2513</v>
      </c>
      <c r="AM138" s="331" t="s">
        <v>1985</v>
      </c>
      <c r="AN138" s="331" t="s">
        <v>2570</v>
      </c>
      <c r="AO138" s="617" t="s">
        <v>2571</v>
      </c>
      <c r="AP138" s="617" t="s">
        <v>2560</v>
      </c>
      <c r="AQ138" s="481" t="s">
        <v>2500</v>
      </c>
      <c r="AR138" s="481" t="s">
        <v>2501</v>
      </c>
      <c r="AT138" s="616">
        <v>1995</v>
      </c>
      <c r="BB138" s="332"/>
    </row>
    <row r="139" spans="1:54" ht="17.25" customHeight="1">
      <c r="B139" s="492" t="s">
        <v>114</v>
      </c>
      <c r="C139" s="558" t="s">
        <v>2140</v>
      </c>
      <c r="D139" s="481" t="s">
        <v>2487</v>
      </c>
      <c r="E139" s="481" t="s">
        <v>2572</v>
      </c>
      <c r="F139" s="481" t="s">
        <v>2573</v>
      </c>
      <c r="G139" s="481" t="s">
        <v>2574</v>
      </c>
      <c r="H139" s="481" t="s">
        <v>2575</v>
      </c>
      <c r="I139" s="481" t="s">
        <v>2576</v>
      </c>
      <c r="J139" s="481" t="s">
        <v>2577</v>
      </c>
      <c r="K139" s="526" t="s">
        <v>2578</v>
      </c>
      <c r="L139" s="1315"/>
      <c r="M139" s="651">
        <v>26</v>
      </c>
      <c r="N139" s="2014" t="s">
        <v>2579</v>
      </c>
      <c r="O139" s="2014"/>
      <c r="P139" s="2014"/>
      <c r="Q139" s="2014"/>
      <c r="R139" s="2015"/>
      <c r="S139" s="375">
        <v>26</v>
      </c>
      <c r="T139" s="2014" t="s">
        <v>2580</v>
      </c>
      <c r="U139" s="2014"/>
      <c r="V139" s="2014"/>
      <c r="W139" s="2014"/>
      <c r="X139" s="2015"/>
      <c r="AE139" s="616">
        <v>1996</v>
      </c>
      <c r="AF139" s="331" t="s">
        <v>2581</v>
      </c>
      <c r="AG139" s="331"/>
      <c r="AH139" s="331"/>
      <c r="AI139" s="331" t="s">
        <v>92</v>
      </c>
      <c r="AJ139" s="331"/>
      <c r="AK139" s="331"/>
      <c r="AL139" s="331" t="s">
        <v>2513</v>
      </c>
      <c r="AM139" s="331" t="s">
        <v>1994</v>
      </c>
      <c r="AN139" s="331" t="s">
        <v>2582</v>
      </c>
      <c r="AO139" s="617" t="s">
        <v>2583</v>
      </c>
      <c r="AP139" s="617" t="s">
        <v>2560</v>
      </c>
      <c r="AQ139" s="481" t="s">
        <v>2500</v>
      </c>
      <c r="AR139" s="481" t="s">
        <v>2501</v>
      </c>
      <c r="AT139" s="616">
        <v>1996</v>
      </c>
      <c r="BB139" s="332"/>
    </row>
    <row r="140" spans="1:54" ht="17.25" customHeight="1">
      <c r="B140" s="492" t="s">
        <v>116</v>
      </c>
      <c r="C140" s="558" t="s">
        <v>2125</v>
      </c>
      <c r="D140" s="481" t="s">
        <v>2456</v>
      </c>
      <c r="E140" s="481" t="s">
        <v>2457</v>
      </c>
      <c r="F140" s="481" t="s">
        <v>2584</v>
      </c>
      <c r="G140" s="481" t="s">
        <v>2459</v>
      </c>
      <c r="H140" s="481" t="s">
        <v>2460</v>
      </c>
      <c r="I140" s="481" t="s">
        <v>2585</v>
      </c>
      <c r="J140" s="481" t="s">
        <v>2586</v>
      </c>
      <c r="K140" s="526" t="s">
        <v>2587</v>
      </c>
      <c r="L140" s="1315"/>
      <c r="M140" s="651">
        <v>27</v>
      </c>
      <c r="N140" s="2014" t="s">
        <v>2588</v>
      </c>
      <c r="O140" s="2014"/>
      <c r="P140" s="2014"/>
      <c r="Q140" s="2014"/>
      <c r="R140" s="2015"/>
      <c r="S140" s="375">
        <v>27</v>
      </c>
      <c r="T140" s="2014" t="s">
        <v>2589</v>
      </c>
      <c r="U140" s="2014"/>
      <c r="V140" s="2014"/>
      <c r="W140" s="2014"/>
      <c r="X140" s="2015"/>
      <c r="AE140" s="616">
        <v>1997</v>
      </c>
      <c r="AF140" s="331" t="s">
        <v>92</v>
      </c>
      <c r="AG140" s="331"/>
      <c r="AH140" s="331"/>
      <c r="AI140" s="331" t="s">
        <v>2590</v>
      </c>
      <c r="AJ140" s="331"/>
      <c r="AK140" s="331"/>
      <c r="AL140" s="331" t="s">
        <v>2513</v>
      </c>
      <c r="AM140" s="331" t="s">
        <v>2003</v>
      </c>
      <c r="AN140" s="331" t="s">
        <v>2591</v>
      </c>
      <c r="AO140" s="617" t="s">
        <v>2592</v>
      </c>
      <c r="AP140" s="617" t="s">
        <v>2560</v>
      </c>
      <c r="AQ140" s="481" t="s">
        <v>2500</v>
      </c>
      <c r="AR140" s="481" t="s">
        <v>2501</v>
      </c>
      <c r="AT140" s="616">
        <v>1997</v>
      </c>
      <c r="BB140" s="332"/>
    </row>
    <row r="141" spans="1:54" ht="17.25" customHeight="1">
      <c r="B141" s="492" t="s">
        <v>2179</v>
      </c>
      <c r="C141" s="558" t="s">
        <v>456</v>
      </c>
      <c r="D141" s="481" t="s">
        <v>456</v>
      </c>
      <c r="E141" s="481" t="s">
        <v>456</v>
      </c>
      <c r="F141" s="481" t="s">
        <v>456</v>
      </c>
      <c r="G141" s="481" t="s">
        <v>456</v>
      </c>
      <c r="H141" s="481" t="s">
        <v>456</v>
      </c>
      <c r="I141" s="481" t="s">
        <v>456</v>
      </c>
      <c r="J141" s="481" t="s">
        <v>456</v>
      </c>
      <c r="K141" s="526" t="s">
        <v>456</v>
      </c>
      <c r="L141" s="1315"/>
      <c r="M141" s="651">
        <v>28</v>
      </c>
      <c r="N141" s="2014" t="s">
        <v>2593</v>
      </c>
      <c r="O141" s="2014"/>
      <c r="P141" s="2014"/>
      <c r="Q141" s="2014"/>
      <c r="R141" s="2015"/>
      <c r="S141" s="375">
        <v>28</v>
      </c>
      <c r="T141" s="2014" t="s">
        <v>2594</v>
      </c>
      <c r="U141" s="2014"/>
      <c r="V141" s="2014"/>
      <c r="W141" s="2014"/>
      <c r="X141" s="2015"/>
      <c r="AE141" s="616">
        <v>1998</v>
      </c>
      <c r="AF141" s="331" t="s">
        <v>92</v>
      </c>
      <c r="AG141" s="331"/>
      <c r="AH141" s="331"/>
      <c r="AI141" s="331" t="s">
        <v>2595</v>
      </c>
      <c r="AJ141" s="331"/>
      <c r="AK141" s="331"/>
      <c r="AL141" s="331" t="s">
        <v>2513</v>
      </c>
      <c r="AM141" s="331" t="s">
        <v>2011</v>
      </c>
      <c r="AN141" s="331" t="s">
        <v>2596</v>
      </c>
      <c r="AO141" s="617" t="s">
        <v>2597</v>
      </c>
      <c r="AP141" s="617" t="s">
        <v>2560</v>
      </c>
      <c r="AQ141" s="481" t="s">
        <v>2500</v>
      </c>
      <c r="AR141" s="481" t="s">
        <v>2501</v>
      </c>
      <c r="AT141" s="616">
        <v>1998</v>
      </c>
      <c r="BB141" s="332"/>
    </row>
    <row r="142" spans="1:54" ht="17.25" customHeight="1">
      <c r="B142" s="492" t="s">
        <v>159</v>
      </c>
      <c r="C142" s="558" t="s">
        <v>92</v>
      </c>
      <c r="D142" s="481" t="s">
        <v>2598</v>
      </c>
      <c r="E142" s="481" t="s">
        <v>92</v>
      </c>
      <c r="F142" s="481" t="s">
        <v>2599</v>
      </c>
      <c r="G142" s="481" t="s">
        <v>92</v>
      </c>
      <c r="H142" s="481" t="s">
        <v>92</v>
      </c>
      <c r="I142" s="481" t="s">
        <v>2600</v>
      </c>
      <c r="J142" s="481" t="s">
        <v>92</v>
      </c>
      <c r="K142" s="526" t="s">
        <v>92</v>
      </c>
      <c r="L142" s="1315"/>
      <c r="M142" s="651">
        <v>29</v>
      </c>
      <c r="N142" s="2014" t="s">
        <v>2601</v>
      </c>
      <c r="O142" s="2014"/>
      <c r="P142" s="2014"/>
      <c r="Q142" s="2014"/>
      <c r="R142" s="2015"/>
      <c r="S142" s="375">
        <v>29</v>
      </c>
      <c r="T142" s="2014" t="s">
        <v>2602</v>
      </c>
      <c r="U142" s="2014"/>
      <c r="V142" s="2014"/>
      <c r="W142" s="2014"/>
      <c r="X142" s="2015"/>
      <c r="AE142" s="616">
        <v>1999</v>
      </c>
      <c r="AF142" s="331" t="s">
        <v>2603</v>
      </c>
      <c r="AG142" s="331"/>
      <c r="AH142" s="331"/>
      <c r="AI142" s="331" t="s">
        <v>2604</v>
      </c>
      <c r="AJ142" s="331" t="s">
        <v>2605</v>
      </c>
      <c r="AK142" s="331"/>
      <c r="AL142" s="331" t="s">
        <v>2513</v>
      </c>
      <c r="AM142" s="331" t="s">
        <v>2018</v>
      </c>
      <c r="AN142" s="331" t="s">
        <v>2606</v>
      </c>
      <c r="AO142" s="331" t="s">
        <v>2607</v>
      </c>
      <c r="AP142" s="617" t="s">
        <v>2560</v>
      </c>
      <c r="AQ142" s="481" t="s">
        <v>2500</v>
      </c>
      <c r="AR142" s="481" t="s">
        <v>2501</v>
      </c>
      <c r="AT142" s="616">
        <v>1999</v>
      </c>
      <c r="BB142" s="332"/>
    </row>
    <row r="143" spans="1:54" ht="17.25" customHeight="1">
      <c r="A143" s="492" t="s">
        <v>2608</v>
      </c>
      <c r="B143" s="492" t="s">
        <v>2608</v>
      </c>
      <c r="C143" s="558" t="s">
        <v>2125</v>
      </c>
      <c r="D143" s="481" t="s">
        <v>2609</v>
      </c>
      <c r="E143" s="481" t="s">
        <v>92</v>
      </c>
      <c r="F143" s="481" t="s">
        <v>2610</v>
      </c>
      <c r="G143" s="481" t="s">
        <v>92</v>
      </c>
      <c r="H143" s="481" t="s">
        <v>92</v>
      </c>
      <c r="I143" s="481" t="s">
        <v>2600</v>
      </c>
      <c r="J143" s="481" t="s">
        <v>92</v>
      </c>
      <c r="K143" s="526" t="s">
        <v>92</v>
      </c>
      <c r="L143" s="1315"/>
      <c r="M143" s="651">
        <v>30</v>
      </c>
      <c r="N143" s="2014" t="s">
        <v>2611</v>
      </c>
      <c r="O143" s="2014"/>
      <c r="P143" s="2014"/>
      <c r="Q143" s="2014"/>
      <c r="R143" s="2015"/>
      <c r="S143" s="375">
        <v>30</v>
      </c>
      <c r="T143" s="2014" t="s">
        <v>2612</v>
      </c>
      <c r="U143" s="2014"/>
      <c r="V143" s="2014"/>
      <c r="W143" s="2014"/>
      <c r="X143" s="2015"/>
      <c r="AE143" s="616">
        <v>2000</v>
      </c>
      <c r="AF143" s="331" t="s">
        <v>2613</v>
      </c>
      <c r="AG143" s="331" t="s">
        <v>2614</v>
      </c>
      <c r="AH143" s="331"/>
      <c r="AI143" s="331" t="s">
        <v>2615</v>
      </c>
      <c r="AJ143" s="331"/>
      <c r="AK143" s="331"/>
      <c r="AL143" s="331" t="s">
        <v>2616</v>
      </c>
      <c r="AM143" s="331" t="s">
        <v>2026</v>
      </c>
      <c r="AN143" s="331" t="s">
        <v>2617</v>
      </c>
      <c r="AO143" s="617" t="s">
        <v>2618</v>
      </c>
      <c r="AP143" s="617" t="s">
        <v>2560</v>
      </c>
      <c r="AQ143" s="481" t="s">
        <v>2500</v>
      </c>
      <c r="AR143" s="481" t="s">
        <v>2501</v>
      </c>
      <c r="AT143" s="616">
        <v>2000</v>
      </c>
      <c r="BB143" s="332"/>
    </row>
    <row r="144" spans="1:54" ht="17.25" customHeight="1">
      <c r="A144" s="492" t="s">
        <v>2619</v>
      </c>
      <c r="B144" s="492" t="s">
        <v>2619</v>
      </c>
      <c r="C144" s="558" t="s">
        <v>2561</v>
      </c>
      <c r="D144" s="481" t="s">
        <v>2609</v>
      </c>
      <c r="E144" s="481" t="s">
        <v>92</v>
      </c>
      <c r="F144" s="481" t="s">
        <v>2620</v>
      </c>
      <c r="G144" s="481" t="s">
        <v>92</v>
      </c>
      <c r="H144" s="481" t="s">
        <v>92</v>
      </c>
      <c r="I144" s="481" t="s">
        <v>2600</v>
      </c>
      <c r="J144" s="481" t="s">
        <v>92</v>
      </c>
      <c r="K144" s="526" t="s">
        <v>92</v>
      </c>
      <c r="L144" s="1315"/>
      <c r="M144" s="651">
        <v>31</v>
      </c>
      <c r="N144" s="2014" t="s">
        <v>2621</v>
      </c>
      <c r="O144" s="2014"/>
      <c r="P144" s="2014"/>
      <c r="Q144" s="2014"/>
      <c r="R144" s="2015"/>
      <c r="S144" s="375">
        <v>31</v>
      </c>
      <c r="T144" s="2014" t="s">
        <v>2622</v>
      </c>
      <c r="U144" s="2014"/>
      <c r="V144" s="2014"/>
      <c r="W144" s="2014"/>
      <c r="X144" s="2015"/>
      <c r="AE144" s="616">
        <v>2001</v>
      </c>
      <c r="AF144" s="331" t="s">
        <v>92</v>
      </c>
      <c r="AG144" s="331"/>
      <c r="AH144" s="331"/>
      <c r="AI144" s="331" t="s">
        <v>2623</v>
      </c>
      <c r="AJ144" s="331"/>
      <c r="AK144" s="331"/>
      <c r="AL144" s="331" t="s">
        <v>2616</v>
      </c>
      <c r="AM144" s="331" t="s">
        <v>2034</v>
      </c>
      <c r="AN144" s="331" t="s">
        <v>2624</v>
      </c>
      <c r="AO144" s="617" t="s">
        <v>2625</v>
      </c>
      <c r="AP144" s="617" t="s">
        <v>2626</v>
      </c>
      <c r="AQ144" s="332" t="s">
        <v>2627</v>
      </c>
      <c r="AR144" s="481" t="s">
        <v>2628</v>
      </c>
      <c r="AS144" s="481" t="s">
        <v>2629</v>
      </c>
      <c r="AT144" s="616">
        <v>2001</v>
      </c>
      <c r="BB144" s="332"/>
    </row>
    <row r="145" spans="1:54" ht="17.25" customHeight="1">
      <c r="A145" s="492" t="s">
        <v>2630</v>
      </c>
      <c r="B145" s="492" t="s">
        <v>119</v>
      </c>
      <c r="C145" s="558" t="s">
        <v>2631</v>
      </c>
      <c r="D145" s="481" t="s">
        <v>2609</v>
      </c>
      <c r="E145" s="481" t="s">
        <v>92</v>
      </c>
      <c r="F145" s="481" t="s">
        <v>2632</v>
      </c>
      <c r="G145" s="481" t="s">
        <v>92</v>
      </c>
      <c r="H145" s="481" t="s">
        <v>92</v>
      </c>
      <c r="I145" s="481" t="s">
        <v>2600</v>
      </c>
      <c r="J145" s="481" t="s">
        <v>92</v>
      </c>
      <c r="K145" s="526" t="s">
        <v>92</v>
      </c>
      <c r="L145" s="1315"/>
      <c r="M145" s="651">
        <v>32</v>
      </c>
      <c r="N145" s="2014" t="s">
        <v>2633</v>
      </c>
      <c r="O145" s="2014"/>
      <c r="P145" s="2014"/>
      <c r="Q145" s="2014"/>
      <c r="R145" s="2015"/>
      <c r="S145" s="375">
        <v>32</v>
      </c>
      <c r="T145" s="2014" t="s">
        <v>2634</v>
      </c>
      <c r="U145" s="2014"/>
      <c r="V145" s="2014"/>
      <c r="W145" s="2014"/>
      <c r="X145" s="2015"/>
      <c r="AE145" s="616">
        <v>2002</v>
      </c>
      <c r="AF145" s="331" t="s">
        <v>2635</v>
      </c>
      <c r="AG145" s="331"/>
      <c r="AH145" s="331"/>
      <c r="AI145" s="331" t="s">
        <v>2636</v>
      </c>
      <c r="AJ145" s="331"/>
      <c r="AK145" s="331"/>
      <c r="AL145" s="331" t="s">
        <v>2616</v>
      </c>
      <c r="AM145" s="331" t="s">
        <v>2040</v>
      </c>
      <c r="AN145" s="331" t="s">
        <v>2637</v>
      </c>
      <c r="AO145" s="617" t="s">
        <v>2638</v>
      </c>
      <c r="AP145" s="617" t="s">
        <v>2639</v>
      </c>
      <c r="AQ145" s="332" t="s">
        <v>2627</v>
      </c>
      <c r="AR145" s="481" t="s">
        <v>2628</v>
      </c>
      <c r="AT145" s="616">
        <v>2002</v>
      </c>
      <c r="BB145" s="332"/>
    </row>
    <row r="146" spans="1:54" ht="17.25" customHeight="1">
      <c r="A146" s="492" t="s">
        <v>1393</v>
      </c>
      <c r="B146" s="492" t="s">
        <v>2630</v>
      </c>
      <c r="C146" s="558" t="s">
        <v>2455</v>
      </c>
      <c r="D146" s="481" t="s">
        <v>2609</v>
      </c>
      <c r="E146" s="481" t="s">
        <v>92</v>
      </c>
      <c r="F146" s="481" t="s">
        <v>2640</v>
      </c>
      <c r="G146" s="481" t="s">
        <v>92</v>
      </c>
      <c r="H146" s="481" t="s">
        <v>92</v>
      </c>
      <c r="I146" s="481" t="s">
        <v>2600</v>
      </c>
      <c r="J146" s="481" t="s">
        <v>92</v>
      </c>
      <c r="K146" s="526" t="s">
        <v>92</v>
      </c>
      <c r="L146" s="1315"/>
      <c r="M146" s="651">
        <v>33</v>
      </c>
      <c r="N146" s="2014" t="s">
        <v>2641</v>
      </c>
      <c r="O146" s="2014"/>
      <c r="P146" s="2014"/>
      <c r="Q146" s="2014"/>
      <c r="R146" s="2015"/>
      <c r="S146" s="375">
        <v>33</v>
      </c>
      <c r="T146" s="2014" t="s">
        <v>2642</v>
      </c>
      <c r="U146" s="2014"/>
      <c r="V146" s="2014"/>
      <c r="W146" s="2014"/>
      <c r="X146" s="2015"/>
      <c r="AE146" s="616">
        <v>2003</v>
      </c>
      <c r="AF146" s="331" t="s">
        <v>92</v>
      </c>
      <c r="AG146" s="331"/>
      <c r="AH146" s="331"/>
      <c r="AI146" s="331" t="s">
        <v>2643</v>
      </c>
      <c r="AJ146" s="331" t="s">
        <v>2644</v>
      </c>
      <c r="AK146" s="331"/>
      <c r="AL146" s="331" t="s">
        <v>2616</v>
      </c>
      <c r="AM146" s="331" t="s">
        <v>2046</v>
      </c>
      <c r="AN146" s="331" t="s">
        <v>2645</v>
      </c>
      <c r="AO146" s="617" t="s">
        <v>2646</v>
      </c>
      <c r="AP146" s="617" t="s">
        <v>2639</v>
      </c>
      <c r="AQ146" s="332" t="s">
        <v>2627</v>
      </c>
      <c r="AR146" s="481" t="s">
        <v>2628</v>
      </c>
      <c r="AT146" s="616">
        <v>2003</v>
      </c>
      <c r="BB146" s="332"/>
    </row>
    <row r="147" spans="1:54" ht="17.25" customHeight="1">
      <c r="A147" s="492" t="s">
        <v>2647</v>
      </c>
      <c r="B147" s="492" t="s">
        <v>1393</v>
      </c>
      <c r="C147" s="558" t="s">
        <v>2468</v>
      </c>
      <c r="D147" s="481" t="s">
        <v>2609</v>
      </c>
      <c r="E147" s="481" t="s">
        <v>92</v>
      </c>
      <c r="F147" s="481" t="s">
        <v>2648</v>
      </c>
      <c r="G147" s="481" t="s">
        <v>92</v>
      </c>
      <c r="H147" s="481" t="s">
        <v>92</v>
      </c>
      <c r="I147" s="481" t="s">
        <v>2600</v>
      </c>
      <c r="J147" s="481" t="s">
        <v>92</v>
      </c>
      <c r="K147" s="526" t="s">
        <v>92</v>
      </c>
      <c r="L147" s="1315"/>
      <c r="M147" s="651">
        <v>34</v>
      </c>
      <c r="N147" s="2014" t="s">
        <v>2649</v>
      </c>
      <c r="O147" s="2014"/>
      <c r="P147" s="2014"/>
      <c r="Q147" s="2014"/>
      <c r="R147" s="2015"/>
      <c r="S147" s="375">
        <v>34</v>
      </c>
      <c r="T147" s="2014" t="s">
        <v>2650</v>
      </c>
      <c r="U147" s="2014"/>
      <c r="V147" s="2014"/>
      <c r="W147" s="2014"/>
      <c r="X147" s="2015"/>
      <c r="AE147" s="616">
        <v>2004</v>
      </c>
      <c r="AF147" s="331" t="s">
        <v>1601</v>
      </c>
      <c r="AG147" s="331"/>
      <c r="AH147" s="331"/>
      <c r="AI147" s="331" t="s">
        <v>92</v>
      </c>
      <c r="AJ147" s="331"/>
      <c r="AK147" s="331"/>
      <c r="AL147" s="331" t="s">
        <v>2616</v>
      </c>
      <c r="AM147" s="331" t="s">
        <v>2054</v>
      </c>
      <c r="AN147" s="331" t="s">
        <v>2651</v>
      </c>
      <c r="AO147" s="617" t="s">
        <v>2652</v>
      </c>
      <c r="AP147" s="617" t="s">
        <v>2639</v>
      </c>
      <c r="AQ147" s="332" t="s">
        <v>2627</v>
      </c>
      <c r="AR147" s="481" t="s">
        <v>2628</v>
      </c>
      <c r="AT147" s="616">
        <v>2004</v>
      </c>
    </row>
    <row r="148" spans="1:54" ht="17.25" customHeight="1">
      <c r="A148" s="492" t="s">
        <v>2653</v>
      </c>
      <c r="B148" s="492" t="s">
        <v>2647</v>
      </c>
      <c r="C148" s="558" t="s">
        <v>2455</v>
      </c>
      <c r="D148" s="481" t="s">
        <v>2609</v>
      </c>
      <c r="E148" s="481" t="s">
        <v>92</v>
      </c>
      <c r="F148" s="481" t="s">
        <v>2654</v>
      </c>
      <c r="G148" s="481" t="s">
        <v>92</v>
      </c>
      <c r="H148" s="481" t="s">
        <v>92</v>
      </c>
      <c r="I148" s="481" t="s">
        <v>2600</v>
      </c>
      <c r="J148" s="481" t="s">
        <v>92</v>
      </c>
      <c r="K148" s="526" t="s">
        <v>92</v>
      </c>
      <c r="L148" s="1315"/>
      <c r="M148" s="651">
        <v>35</v>
      </c>
      <c r="N148" s="2014" t="s">
        <v>2655</v>
      </c>
      <c r="O148" s="2014"/>
      <c r="P148" s="2014"/>
      <c r="Q148" s="2014"/>
      <c r="R148" s="2015"/>
      <c r="S148" s="375">
        <v>35</v>
      </c>
      <c r="T148" s="2014" t="s">
        <v>2656</v>
      </c>
      <c r="U148" s="2014"/>
      <c r="V148" s="2014"/>
      <c r="W148" s="2014"/>
      <c r="X148" s="2015"/>
      <c r="AE148" s="616">
        <v>2005</v>
      </c>
      <c r="AF148" s="331" t="s">
        <v>92</v>
      </c>
      <c r="AG148" s="331"/>
      <c r="AH148" s="331"/>
      <c r="AI148" s="331" t="s">
        <v>92</v>
      </c>
      <c r="AJ148" s="331"/>
      <c r="AK148" s="331"/>
      <c r="AL148" s="331" t="s">
        <v>2616</v>
      </c>
      <c r="AM148" s="331" t="s">
        <v>2063</v>
      </c>
      <c r="AN148" s="331" t="s">
        <v>2657</v>
      </c>
      <c r="AO148" s="617" t="s">
        <v>2658</v>
      </c>
      <c r="AP148" s="617" t="s">
        <v>2639</v>
      </c>
      <c r="AQ148" s="332" t="s">
        <v>2627</v>
      </c>
      <c r="AR148" s="481" t="s">
        <v>2628</v>
      </c>
      <c r="AT148" s="616">
        <v>2005</v>
      </c>
    </row>
    <row r="149" spans="1:54" ht="17.25" customHeight="1">
      <c r="A149" s="492" t="s">
        <v>1392</v>
      </c>
      <c r="B149" s="492" t="s">
        <v>2653</v>
      </c>
      <c r="C149" s="558" t="s">
        <v>2561</v>
      </c>
      <c r="D149" s="481" t="s">
        <v>2609</v>
      </c>
      <c r="E149" s="481" t="s">
        <v>92</v>
      </c>
      <c r="F149" s="481" t="s">
        <v>2659</v>
      </c>
      <c r="G149" s="481" t="s">
        <v>92</v>
      </c>
      <c r="H149" s="481" t="s">
        <v>92</v>
      </c>
      <c r="I149" s="481" t="s">
        <v>2600</v>
      </c>
      <c r="J149" s="481" t="s">
        <v>92</v>
      </c>
      <c r="K149" s="526" t="s">
        <v>92</v>
      </c>
      <c r="L149" s="1315"/>
      <c r="M149" s="651">
        <v>36</v>
      </c>
      <c r="N149" s="2014" t="s">
        <v>2660</v>
      </c>
      <c r="O149" s="2014"/>
      <c r="P149" s="2014"/>
      <c r="Q149" s="2014"/>
      <c r="R149" s="2015"/>
      <c r="S149" s="375">
        <v>36</v>
      </c>
      <c r="T149" s="2014" t="s">
        <v>2661</v>
      </c>
      <c r="U149" s="2014"/>
      <c r="V149" s="2014"/>
      <c r="W149" s="2014"/>
      <c r="X149" s="2015"/>
      <c r="AE149" s="616">
        <v>2006</v>
      </c>
      <c r="AF149" s="331" t="s">
        <v>92</v>
      </c>
      <c r="AG149" s="331"/>
      <c r="AH149" s="331"/>
      <c r="AI149" s="331" t="s">
        <v>2662</v>
      </c>
      <c r="AJ149" s="331"/>
      <c r="AK149" s="331"/>
      <c r="AL149" s="331" t="s">
        <v>2616</v>
      </c>
      <c r="AM149" s="331" t="s">
        <v>2071</v>
      </c>
      <c r="AN149" s="331" t="s">
        <v>2663</v>
      </c>
      <c r="AO149" s="331" t="s">
        <v>2664</v>
      </c>
      <c r="AP149" s="617" t="s">
        <v>2639</v>
      </c>
      <c r="AQ149" s="332" t="s">
        <v>2627</v>
      </c>
      <c r="AR149" s="481" t="s">
        <v>2628</v>
      </c>
      <c r="AT149" s="616">
        <v>2006</v>
      </c>
    </row>
    <row r="150" spans="1:54" ht="17.25" customHeight="1">
      <c r="B150" s="492" t="s">
        <v>1392</v>
      </c>
      <c r="C150" s="558" t="s">
        <v>2468</v>
      </c>
      <c r="D150" s="481" t="s">
        <v>2609</v>
      </c>
      <c r="E150" s="481" t="s">
        <v>92</v>
      </c>
      <c r="F150" s="481" t="s">
        <v>2665</v>
      </c>
      <c r="G150" s="481" t="s">
        <v>92</v>
      </c>
      <c r="H150" s="481" t="s">
        <v>92</v>
      </c>
      <c r="I150" s="481" t="s">
        <v>2600</v>
      </c>
      <c r="J150" s="481" t="s">
        <v>92</v>
      </c>
      <c r="K150" s="526" t="s">
        <v>92</v>
      </c>
      <c r="L150" s="1315"/>
      <c r="M150" s="651">
        <v>37</v>
      </c>
      <c r="N150" s="2014" t="s">
        <v>2666</v>
      </c>
      <c r="O150" s="2014"/>
      <c r="P150" s="2014"/>
      <c r="Q150" s="2014"/>
      <c r="R150" s="2015"/>
      <c r="S150" s="375">
        <v>37</v>
      </c>
      <c r="T150" s="2014" t="s">
        <v>2667</v>
      </c>
      <c r="U150" s="2014"/>
      <c r="V150" s="2014"/>
      <c r="W150" s="2014"/>
      <c r="X150" s="2015"/>
      <c r="AE150" s="616">
        <v>2007</v>
      </c>
      <c r="AF150" s="331" t="s">
        <v>92</v>
      </c>
      <c r="AG150" s="331"/>
      <c r="AH150" s="331"/>
      <c r="AI150" s="331" t="s">
        <v>92</v>
      </c>
      <c r="AJ150" s="331"/>
      <c r="AK150" s="331"/>
      <c r="AL150" s="331" t="s">
        <v>2616</v>
      </c>
      <c r="AM150" s="331" t="s">
        <v>2079</v>
      </c>
      <c r="AN150" s="331" t="s">
        <v>2668</v>
      </c>
      <c r="AO150" s="617" t="s">
        <v>2669</v>
      </c>
      <c r="AP150" s="617" t="s">
        <v>2639</v>
      </c>
      <c r="AQ150" s="332" t="s">
        <v>2627</v>
      </c>
      <c r="AR150" s="481" t="s">
        <v>2628</v>
      </c>
      <c r="AT150" s="616">
        <v>2007</v>
      </c>
    </row>
    <row r="151" spans="1:54" ht="17.25" customHeight="1">
      <c r="B151" s="492" t="s">
        <v>2179</v>
      </c>
      <c r="C151" s="558" t="s">
        <v>456</v>
      </c>
      <c r="D151" s="481" t="s">
        <v>456</v>
      </c>
      <c r="E151" s="481" t="s">
        <v>456</v>
      </c>
      <c r="F151" s="481" t="s">
        <v>456</v>
      </c>
      <c r="G151" s="481" t="s">
        <v>456</v>
      </c>
      <c r="H151" s="481" t="s">
        <v>456</v>
      </c>
      <c r="I151" s="481" t="s">
        <v>456</v>
      </c>
      <c r="J151" s="481" t="s">
        <v>456</v>
      </c>
      <c r="K151" s="526" t="s">
        <v>456</v>
      </c>
      <c r="L151" s="1315"/>
      <c r="M151" s="651">
        <v>38</v>
      </c>
      <c r="N151" s="2014" t="s">
        <v>2670</v>
      </c>
      <c r="O151" s="2014"/>
      <c r="P151" s="2014"/>
      <c r="Q151" s="2014"/>
      <c r="R151" s="2015"/>
      <c r="S151" s="375">
        <v>38</v>
      </c>
      <c r="T151" s="2014" t="s">
        <v>2671</v>
      </c>
      <c r="U151" s="2014"/>
      <c r="V151" s="2014"/>
      <c r="W151" s="2014"/>
      <c r="X151" s="2015"/>
      <c r="AE151" s="616">
        <v>2008</v>
      </c>
      <c r="AF151" s="331" t="s">
        <v>2672</v>
      </c>
      <c r="AG151" s="331"/>
      <c r="AH151" s="331"/>
      <c r="AI151" s="331" t="s">
        <v>2672</v>
      </c>
      <c r="AJ151" s="331" t="s">
        <v>2673</v>
      </c>
      <c r="AK151" s="331"/>
      <c r="AL151" s="331" t="s">
        <v>2616</v>
      </c>
      <c r="AM151" s="331" t="s">
        <v>2087</v>
      </c>
      <c r="AN151" s="331" t="s">
        <v>2674</v>
      </c>
      <c r="AO151" s="617" t="s">
        <v>2675</v>
      </c>
      <c r="AP151" s="617" t="s">
        <v>2639</v>
      </c>
      <c r="AQ151" s="332" t="s">
        <v>2627</v>
      </c>
      <c r="AR151" s="481" t="s">
        <v>2676</v>
      </c>
      <c r="AT151" s="616">
        <v>2008</v>
      </c>
    </row>
    <row r="152" spans="1:54" ht="17.25" customHeight="1">
      <c r="B152" s="578" t="s">
        <v>2677</v>
      </c>
      <c r="C152" s="558" t="s">
        <v>92</v>
      </c>
      <c r="D152" s="481" t="s">
        <v>2598</v>
      </c>
      <c r="E152" s="481" t="s">
        <v>2678</v>
      </c>
      <c r="F152" s="481" t="s">
        <v>2679</v>
      </c>
      <c r="G152" s="481" t="s">
        <v>92</v>
      </c>
      <c r="H152" s="481" t="s">
        <v>92</v>
      </c>
      <c r="I152" s="481" t="s">
        <v>2600</v>
      </c>
      <c r="J152" s="481" t="s">
        <v>92</v>
      </c>
      <c r="K152" s="526" t="s">
        <v>92</v>
      </c>
      <c r="L152" s="1315"/>
      <c r="M152" s="651">
        <v>39</v>
      </c>
      <c r="N152" s="2014" t="s">
        <v>2680</v>
      </c>
      <c r="O152" s="2014"/>
      <c r="P152" s="2014"/>
      <c r="Q152" s="2014"/>
      <c r="R152" s="2015"/>
      <c r="S152" s="375">
        <v>39</v>
      </c>
      <c r="T152" s="2014" t="s">
        <v>2681</v>
      </c>
      <c r="U152" s="2014"/>
      <c r="V152" s="2014"/>
      <c r="W152" s="2014"/>
      <c r="X152" s="2015"/>
      <c r="AE152" s="616">
        <v>2009</v>
      </c>
      <c r="AF152" s="331" t="s">
        <v>92</v>
      </c>
      <c r="AG152" s="331"/>
      <c r="AH152" s="331"/>
      <c r="AI152" s="331" t="s">
        <v>92</v>
      </c>
      <c r="AJ152" s="331"/>
      <c r="AK152" s="331"/>
      <c r="AL152" s="331" t="s">
        <v>2616</v>
      </c>
      <c r="AM152" s="331" t="s">
        <v>2095</v>
      </c>
      <c r="AN152" s="331" t="s">
        <v>2682</v>
      </c>
      <c r="AO152" s="331" t="s">
        <v>2683</v>
      </c>
      <c r="AP152" s="331" t="s">
        <v>2684</v>
      </c>
      <c r="AQ152" s="332" t="s">
        <v>2685</v>
      </c>
      <c r="AR152" s="481" t="s">
        <v>2676</v>
      </c>
      <c r="AS152" s="481" t="s">
        <v>2686</v>
      </c>
      <c r="AT152" s="616">
        <v>2009</v>
      </c>
    </row>
    <row r="153" spans="1:54" ht="17.25" customHeight="1">
      <c r="A153" s="492" t="s">
        <v>374</v>
      </c>
      <c r="B153" s="492" t="s">
        <v>374</v>
      </c>
      <c r="C153" s="558" t="s">
        <v>2631</v>
      </c>
      <c r="D153" s="481" t="s">
        <v>2687</v>
      </c>
      <c r="E153" s="481" t="s">
        <v>2678</v>
      </c>
      <c r="F153" s="481" t="s">
        <v>2688</v>
      </c>
      <c r="G153" s="481" t="s">
        <v>92</v>
      </c>
      <c r="H153" s="481" t="s">
        <v>92</v>
      </c>
      <c r="I153" s="481" t="s">
        <v>2600</v>
      </c>
      <c r="J153" s="481" t="s">
        <v>92</v>
      </c>
      <c r="K153" s="526" t="s">
        <v>92</v>
      </c>
      <c r="L153" s="1315"/>
      <c r="M153" s="651">
        <v>40</v>
      </c>
      <c r="N153" s="2014" t="s">
        <v>2689</v>
      </c>
      <c r="O153" s="2014"/>
      <c r="P153" s="2014"/>
      <c r="Q153" s="2014"/>
      <c r="R153" s="2015"/>
      <c r="S153" s="375">
        <v>40</v>
      </c>
      <c r="T153" s="2014" t="s">
        <v>2690</v>
      </c>
      <c r="U153" s="2014"/>
      <c r="V153" s="2014"/>
      <c r="W153" s="2014"/>
      <c r="X153" s="2015"/>
      <c r="AE153" s="616">
        <v>2010</v>
      </c>
      <c r="AF153" s="331" t="s">
        <v>92</v>
      </c>
      <c r="AG153" s="331"/>
      <c r="AH153" s="331"/>
      <c r="AI153" s="331" t="s">
        <v>2691</v>
      </c>
      <c r="AJ153" s="331" t="s">
        <v>2692</v>
      </c>
      <c r="AK153" s="331"/>
      <c r="AL153" s="331" t="s">
        <v>2693</v>
      </c>
      <c r="AM153" s="331" t="s">
        <v>1531</v>
      </c>
      <c r="AN153" s="331" t="s">
        <v>2694</v>
      </c>
      <c r="AO153" s="617" t="s">
        <v>2695</v>
      </c>
      <c r="AP153" s="617" t="s">
        <v>2696</v>
      </c>
      <c r="AQ153" s="332" t="s">
        <v>2685</v>
      </c>
      <c r="AR153" s="481" t="s">
        <v>2676</v>
      </c>
      <c r="AT153" s="616">
        <v>2010</v>
      </c>
    </row>
    <row r="154" spans="1:54" ht="17.25" customHeight="1">
      <c r="A154" s="492" t="s">
        <v>2697</v>
      </c>
      <c r="B154" s="492" t="s">
        <v>2697</v>
      </c>
      <c r="C154" s="558" t="s">
        <v>2455</v>
      </c>
      <c r="D154" s="481" t="s">
        <v>2687</v>
      </c>
      <c r="E154" s="481" t="s">
        <v>2678</v>
      </c>
      <c r="F154" s="481" t="s">
        <v>2698</v>
      </c>
      <c r="G154" s="481" t="s">
        <v>92</v>
      </c>
      <c r="H154" s="481" t="s">
        <v>92</v>
      </c>
      <c r="I154" s="481" t="s">
        <v>2600</v>
      </c>
      <c r="J154" s="481" t="s">
        <v>92</v>
      </c>
      <c r="K154" s="526" t="s">
        <v>92</v>
      </c>
      <c r="L154" s="1315"/>
      <c r="M154" s="651">
        <v>41</v>
      </c>
      <c r="N154" s="2014" t="s">
        <v>2699</v>
      </c>
      <c r="O154" s="2014"/>
      <c r="P154" s="2014"/>
      <c r="Q154" s="2014"/>
      <c r="R154" s="2015"/>
      <c r="S154" s="375">
        <v>41</v>
      </c>
      <c r="T154" s="2014" t="s">
        <v>2700</v>
      </c>
      <c r="U154" s="2014"/>
      <c r="V154" s="2014"/>
      <c r="W154" s="2014"/>
      <c r="X154" s="2015"/>
      <c r="AE154" s="616">
        <v>2011</v>
      </c>
      <c r="AF154" s="331" t="s">
        <v>2701</v>
      </c>
      <c r="AG154" s="331"/>
      <c r="AH154" s="331"/>
      <c r="AI154" s="331" t="s">
        <v>92</v>
      </c>
      <c r="AJ154" s="331"/>
      <c r="AK154" s="331"/>
      <c r="AL154" s="331" t="s">
        <v>2693</v>
      </c>
      <c r="AM154" s="331" t="s">
        <v>1540</v>
      </c>
      <c r="AN154" s="331" t="s">
        <v>2702</v>
      </c>
      <c r="AO154" s="617" t="s">
        <v>2703</v>
      </c>
      <c r="AP154" s="617" t="s">
        <v>2696</v>
      </c>
      <c r="AQ154" s="332" t="s">
        <v>2685</v>
      </c>
      <c r="AR154" s="481" t="s">
        <v>2676</v>
      </c>
      <c r="AT154" s="616">
        <v>2011</v>
      </c>
    </row>
    <row r="155" spans="1:54" ht="17.25" customHeight="1">
      <c r="A155" s="492" t="s">
        <v>2704</v>
      </c>
      <c r="B155" s="492" t="s">
        <v>1395</v>
      </c>
      <c r="C155" s="558" t="s">
        <v>2455</v>
      </c>
      <c r="D155" s="481" t="s">
        <v>2687</v>
      </c>
      <c r="E155" s="481" t="s">
        <v>2678</v>
      </c>
      <c r="F155" s="481" t="s">
        <v>2705</v>
      </c>
      <c r="G155" s="481" t="s">
        <v>92</v>
      </c>
      <c r="H155" s="481" t="s">
        <v>92</v>
      </c>
      <c r="I155" s="481" t="s">
        <v>2600</v>
      </c>
      <c r="J155" s="481" t="s">
        <v>92</v>
      </c>
      <c r="K155" s="526" t="s">
        <v>92</v>
      </c>
      <c r="L155" s="1315"/>
      <c r="M155" s="651">
        <v>42</v>
      </c>
      <c r="N155" s="2014" t="s">
        <v>2706</v>
      </c>
      <c r="O155" s="2014"/>
      <c r="P155" s="2014"/>
      <c r="Q155" s="2014"/>
      <c r="R155" s="2015"/>
      <c r="S155" s="375">
        <v>42</v>
      </c>
      <c r="T155" s="2014" t="s">
        <v>2707</v>
      </c>
      <c r="U155" s="2014"/>
      <c r="V155" s="2014"/>
      <c r="W155" s="2014"/>
      <c r="X155" s="2015"/>
      <c r="AE155" s="616">
        <v>2012</v>
      </c>
      <c r="AF155" s="331" t="s">
        <v>1755</v>
      </c>
      <c r="AG155" s="331" t="s">
        <v>2708</v>
      </c>
      <c r="AH155" s="331" t="s">
        <v>2709</v>
      </c>
      <c r="AI155" s="331" t="s">
        <v>2710</v>
      </c>
      <c r="AJ155" s="331"/>
      <c r="AK155" s="331"/>
      <c r="AL155" s="331" t="s">
        <v>2693</v>
      </c>
      <c r="AM155" s="331" t="s">
        <v>1546</v>
      </c>
      <c r="AN155" s="331" t="s">
        <v>2711</v>
      </c>
      <c r="AO155" s="617" t="s">
        <v>2712</v>
      </c>
      <c r="AP155" s="617" t="s">
        <v>2696</v>
      </c>
      <c r="AQ155" s="332" t="s">
        <v>2713</v>
      </c>
      <c r="AR155" s="332" t="s">
        <v>2714</v>
      </c>
      <c r="AS155" s="481" t="s">
        <v>2715</v>
      </c>
      <c r="AT155" s="616">
        <v>2012</v>
      </c>
    </row>
    <row r="156" spans="1:54" ht="17.25" customHeight="1">
      <c r="A156" s="492" t="s">
        <v>2716</v>
      </c>
      <c r="B156" s="492" t="s">
        <v>2716</v>
      </c>
      <c r="C156" s="558" t="s">
        <v>2561</v>
      </c>
      <c r="D156" s="481" t="s">
        <v>2687</v>
      </c>
      <c r="E156" s="481" t="s">
        <v>2678</v>
      </c>
      <c r="F156" s="481" t="s">
        <v>2717</v>
      </c>
      <c r="G156" s="481" t="s">
        <v>92</v>
      </c>
      <c r="H156" s="481" t="s">
        <v>92</v>
      </c>
      <c r="I156" s="481" t="s">
        <v>2600</v>
      </c>
      <c r="J156" s="481" t="s">
        <v>92</v>
      </c>
      <c r="K156" s="526" t="s">
        <v>92</v>
      </c>
      <c r="L156" s="1315"/>
      <c r="M156" s="651">
        <v>43</v>
      </c>
      <c r="N156" s="2014" t="s">
        <v>2718</v>
      </c>
      <c r="O156" s="2014"/>
      <c r="P156" s="2014"/>
      <c r="Q156" s="2014"/>
      <c r="R156" s="2015"/>
      <c r="S156" s="375">
        <v>43</v>
      </c>
      <c r="T156" s="2014" t="s">
        <v>2719</v>
      </c>
      <c r="U156" s="2014"/>
      <c r="V156" s="2014"/>
      <c r="W156" s="2014"/>
      <c r="X156" s="2015"/>
      <c r="AE156" s="616">
        <v>2013</v>
      </c>
      <c r="AF156" s="662" t="s">
        <v>2720</v>
      </c>
      <c r="AG156" s="662" t="s">
        <v>2721</v>
      </c>
      <c r="AH156" s="662"/>
      <c r="AI156" s="662" t="s">
        <v>2722</v>
      </c>
      <c r="AJ156" s="481" t="s">
        <v>2723</v>
      </c>
      <c r="AK156" s="662" t="s">
        <v>2724</v>
      </c>
      <c r="AL156" s="331" t="s">
        <v>2693</v>
      </c>
      <c r="AM156" s="331" t="s">
        <v>1556</v>
      </c>
      <c r="AN156" s="331" t="s">
        <v>2725</v>
      </c>
      <c r="AO156" s="669" t="s">
        <v>2726</v>
      </c>
      <c r="AP156" s="617" t="s">
        <v>2696</v>
      </c>
      <c r="AQ156" s="662" t="s">
        <v>2713</v>
      </c>
      <c r="AR156" s="332" t="s">
        <v>2727</v>
      </c>
      <c r="AT156" s="616">
        <v>2013</v>
      </c>
    </row>
    <row r="157" spans="1:54" ht="17.25" customHeight="1">
      <c r="A157" s="492" t="s">
        <v>2728</v>
      </c>
      <c r="B157" s="492" t="s">
        <v>2728</v>
      </c>
      <c r="C157" s="558" t="s">
        <v>2561</v>
      </c>
      <c r="D157" s="481" t="s">
        <v>2687</v>
      </c>
      <c r="E157" s="481" t="s">
        <v>2678</v>
      </c>
      <c r="F157" s="481" t="s">
        <v>2729</v>
      </c>
      <c r="G157" s="481" t="s">
        <v>92</v>
      </c>
      <c r="H157" s="481" t="s">
        <v>92</v>
      </c>
      <c r="I157" s="481" t="s">
        <v>2600</v>
      </c>
      <c r="J157" s="481" t="s">
        <v>92</v>
      </c>
      <c r="K157" s="526" t="s">
        <v>92</v>
      </c>
      <c r="L157" s="1315"/>
      <c r="M157" s="651">
        <v>44</v>
      </c>
      <c r="N157" s="2014" t="s">
        <v>2730</v>
      </c>
      <c r="O157" s="2014"/>
      <c r="P157" s="2014"/>
      <c r="Q157" s="2014"/>
      <c r="R157" s="2015"/>
      <c r="S157" s="375">
        <v>44</v>
      </c>
      <c r="T157" s="2014" t="s">
        <v>2731</v>
      </c>
      <c r="U157" s="2014"/>
      <c r="V157" s="2014"/>
      <c r="W157" s="2014"/>
      <c r="X157" s="2015"/>
      <c r="AE157" s="616">
        <v>2014</v>
      </c>
      <c r="AF157" s="481" t="s">
        <v>2732</v>
      </c>
      <c r="AG157" s="481" t="s">
        <v>2733</v>
      </c>
      <c r="AH157" s="481" t="s">
        <v>2734</v>
      </c>
      <c r="AI157" s="481" t="s">
        <v>2735</v>
      </c>
      <c r="AJ157" s="481" t="s">
        <v>2736</v>
      </c>
      <c r="AK157" s="481" t="s">
        <v>2737</v>
      </c>
      <c r="AL157" s="331" t="s">
        <v>2693</v>
      </c>
      <c r="AM157" s="331" t="s">
        <v>1572</v>
      </c>
      <c r="AN157" s="331" t="s">
        <v>2738</v>
      </c>
      <c r="AO157" s="332" t="s">
        <v>2739</v>
      </c>
      <c r="AP157" s="617" t="s">
        <v>2696</v>
      </c>
      <c r="AQ157" s="481" t="s">
        <v>2713</v>
      </c>
      <c r="AR157" s="332" t="s">
        <v>2740</v>
      </c>
      <c r="AT157" s="616">
        <v>2014</v>
      </c>
      <c r="BB157" s="672"/>
    </row>
    <row r="158" spans="1:54" ht="17.25" customHeight="1">
      <c r="A158" s="492" t="s">
        <v>2741</v>
      </c>
      <c r="B158" s="492" t="s">
        <v>133</v>
      </c>
      <c r="C158" s="558" t="s">
        <v>2468</v>
      </c>
      <c r="D158" s="481" t="s">
        <v>2687</v>
      </c>
      <c r="E158" s="481" t="s">
        <v>2678</v>
      </c>
      <c r="F158" s="481" t="s">
        <v>2742</v>
      </c>
      <c r="G158" s="481" t="s">
        <v>92</v>
      </c>
      <c r="H158" s="481" t="s">
        <v>92</v>
      </c>
      <c r="I158" s="481" t="s">
        <v>2600</v>
      </c>
      <c r="J158" s="481" t="s">
        <v>92</v>
      </c>
      <c r="K158" s="526" t="s">
        <v>92</v>
      </c>
      <c r="L158" s="1315"/>
      <c r="M158" s="651">
        <v>45</v>
      </c>
      <c r="N158" s="2014" t="s">
        <v>2743</v>
      </c>
      <c r="O158" s="2014"/>
      <c r="P158" s="2014"/>
      <c r="Q158" s="2014"/>
      <c r="R158" s="2015"/>
      <c r="S158" s="375">
        <v>45</v>
      </c>
      <c r="T158" s="2014" t="s">
        <v>2744</v>
      </c>
      <c r="U158" s="2014"/>
      <c r="V158" s="2014"/>
      <c r="W158" s="2014"/>
      <c r="X158" s="2015"/>
      <c r="AE158" s="616">
        <v>2015</v>
      </c>
      <c r="AF158" s="481" t="s">
        <v>2745</v>
      </c>
      <c r="AI158" s="481" t="s">
        <v>2746</v>
      </c>
      <c r="AJ158" s="481" t="s">
        <v>2747</v>
      </c>
      <c r="AL158" s="331" t="s">
        <v>2693</v>
      </c>
      <c r="AM158" s="331" t="s">
        <v>1588</v>
      </c>
      <c r="AN158" s="331" t="s">
        <v>2748</v>
      </c>
      <c r="AO158" s="332" t="s">
        <v>2749</v>
      </c>
      <c r="AP158" s="617" t="s">
        <v>2696</v>
      </c>
      <c r="AQ158" s="481" t="s">
        <v>2713</v>
      </c>
      <c r="AR158" s="332" t="s">
        <v>2750</v>
      </c>
      <c r="AT158" s="616">
        <v>2015</v>
      </c>
      <c r="BB158" s="672"/>
    </row>
    <row r="159" spans="1:54" ht="17.25" customHeight="1">
      <c r="B159" s="492" t="s">
        <v>2741</v>
      </c>
      <c r="C159" s="558" t="s">
        <v>2561</v>
      </c>
      <c r="D159" s="481" t="s">
        <v>2687</v>
      </c>
      <c r="E159" s="481" t="s">
        <v>2678</v>
      </c>
      <c r="F159" s="481" t="s">
        <v>2751</v>
      </c>
      <c r="G159" s="481" t="s">
        <v>92</v>
      </c>
      <c r="H159" s="481" t="s">
        <v>92</v>
      </c>
      <c r="I159" s="481" t="s">
        <v>2600</v>
      </c>
      <c r="J159" s="481" t="s">
        <v>92</v>
      </c>
      <c r="K159" s="526" t="s">
        <v>92</v>
      </c>
      <c r="L159" s="1315"/>
      <c r="M159" s="651">
        <v>46</v>
      </c>
      <c r="N159" s="2014" t="s">
        <v>2752</v>
      </c>
      <c r="O159" s="2014"/>
      <c r="P159" s="2014"/>
      <c r="Q159" s="2014"/>
      <c r="R159" s="2015"/>
      <c r="S159" s="375">
        <v>46</v>
      </c>
      <c r="T159" s="2014" t="s">
        <v>2753</v>
      </c>
      <c r="U159" s="2014"/>
      <c r="V159" s="2014"/>
      <c r="W159" s="2014"/>
      <c r="X159" s="2015"/>
      <c r="AE159" s="616">
        <v>2016</v>
      </c>
      <c r="AF159" s="481" t="s">
        <v>2754</v>
      </c>
      <c r="AI159" s="481" t="s">
        <v>92</v>
      </c>
      <c r="AL159" s="331" t="s">
        <v>2693</v>
      </c>
      <c r="AM159" s="331" t="s">
        <v>1603</v>
      </c>
      <c r="AN159" s="331" t="s">
        <v>2755</v>
      </c>
      <c r="AO159" s="332" t="s">
        <v>2756</v>
      </c>
      <c r="AP159" s="617" t="s">
        <v>2696</v>
      </c>
      <c r="AR159" s="332" t="s">
        <v>2757</v>
      </c>
      <c r="AS159" s="481" t="s">
        <v>2713</v>
      </c>
      <c r="AT159" s="616">
        <v>2016</v>
      </c>
      <c r="BB159" s="672"/>
    </row>
    <row r="160" spans="1:54" ht="17.25" customHeight="1">
      <c r="B160" s="492" t="s">
        <v>2179</v>
      </c>
      <c r="C160" s="558" t="s">
        <v>456</v>
      </c>
      <c r="D160" s="481" t="s">
        <v>456</v>
      </c>
      <c r="E160" s="481" t="s">
        <v>456</v>
      </c>
      <c r="F160" s="481" t="s">
        <v>456</v>
      </c>
      <c r="G160" s="481" t="s">
        <v>456</v>
      </c>
      <c r="H160" s="481" t="s">
        <v>456</v>
      </c>
      <c r="I160" s="481" t="s">
        <v>456</v>
      </c>
      <c r="J160" s="481" t="s">
        <v>456</v>
      </c>
      <c r="K160" s="526" t="s">
        <v>456</v>
      </c>
      <c r="L160" s="1315"/>
      <c r="M160" s="651">
        <v>47</v>
      </c>
      <c r="N160" s="2014" t="s">
        <v>2758</v>
      </c>
      <c r="O160" s="2014"/>
      <c r="P160" s="2014"/>
      <c r="Q160" s="2014"/>
      <c r="R160" s="2015"/>
      <c r="S160" s="375">
        <v>47</v>
      </c>
      <c r="T160" s="2014" t="s">
        <v>2759</v>
      </c>
      <c r="U160" s="2014"/>
      <c r="V160" s="2014"/>
      <c r="W160" s="2014"/>
      <c r="X160" s="2015"/>
      <c r="AE160" s="616">
        <v>2017</v>
      </c>
      <c r="AF160" s="481" t="s">
        <v>2760</v>
      </c>
      <c r="AG160" s="481" t="s">
        <v>2761</v>
      </c>
      <c r="AI160" s="481" t="s">
        <v>92</v>
      </c>
      <c r="AL160" s="331" t="s">
        <v>2693</v>
      </c>
      <c r="AM160" s="331" t="s">
        <v>1615</v>
      </c>
      <c r="AN160" s="331" t="s">
        <v>2762</v>
      </c>
      <c r="AO160" s="332" t="s">
        <v>2763</v>
      </c>
      <c r="AP160" s="331" t="s">
        <v>2764</v>
      </c>
      <c r="AR160" s="332" t="s">
        <v>2757</v>
      </c>
      <c r="AT160" s="616">
        <v>2017</v>
      </c>
      <c r="BB160" s="672"/>
    </row>
    <row r="161" spans="2:54" ht="17.25" customHeight="1">
      <c r="B161" s="578" t="s">
        <v>142</v>
      </c>
      <c r="C161" s="558" t="s">
        <v>2765</v>
      </c>
      <c r="D161" s="481" t="s">
        <v>92</v>
      </c>
      <c r="E161" s="481" t="s">
        <v>2766</v>
      </c>
      <c r="F161" s="481" t="s">
        <v>2767</v>
      </c>
      <c r="G161" s="481" t="s">
        <v>92</v>
      </c>
      <c r="H161" s="481" t="s">
        <v>92</v>
      </c>
      <c r="I161" s="481" t="s">
        <v>2768</v>
      </c>
      <c r="J161" s="481" t="s">
        <v>2769</v>
      </c>
      <c r="K161" s="526" t="s">
        <v>2770</v>
      </c>
      <c r="L161" s="1315"/>
      <c r="M161" s="651">
        <v>48</v>
      </c>
      <c r="N161" s="2014" t="s">
        <v>2771</v>
      </c>
      <c r="O161" s="2014"/>
      <c r="P161" s="2014"/>
      <c r="Q161" s="2014"/>
      <c r="R161" s="2015"/>
      <c r="S161" s="375">
        <v>48</v>
      </c>
      <c r="T161" s="2014" t="s">
        <v>2772</v>
      </c>
      <c r="U161" s="2014"/>
      <c r="V161" s="2014"/>
      <c r="W161" s="2014"/>
      <c r="X161" s="2015"/>
      <c r="AE161" s="616">
        <v>2018</v>
      </c>
      <c r="AF161" s="481" t="s">
        <v>2773</v>
      </c>
      <c r="AG161" s="481" t="s">
        <v>2774</v>
      </c>
      <c r="AI161" s="481" t="s">
        <v>2775</v>
      </c>
      <c r="AL161" s="331" t="s">
        <v>2693</v>
      </c>
      <c r="AM161" s="331" t="s">
        <v>1632</v>
      </c>
      <c r="AN161" s="331" t="s">
        <v>2776</v>
      </c>
      <c r="AO161" s="332" t="s">
        <v>2777</v>
      </c>
      <c r="AP161" s="331" t="s">
        <v>2778</v>
      </c>
      <c r="AR161" s="332" t="s">
        <v>2757</v>
      </c>
      <c r="AT161" s="616">
        <v>2018</v>
      </c>
      <c r="BB161" s="672"/>
    </row>
    <row r="162" spans="2:54" ht="17.25" customHeight="1">
      <c r="B162" s="578" t="s">
        <v>144</v>
      </c>
      <c r="C162" s="558" t="s">
        <v>2125</v>
      </c>
      <c r="D162" s="481" t="s">
        <v>92</v>
      </c>
      <c r="E162" s="481" t="s">
        <v>92</v>
      </c>
      <c r="F162" s="481" t="s">
        <v>2779</v>
      </c>
      <c r="G162" s="481" t="s">
        <v>2780</v>
      </c>
      <c r="H162" s="481" t="s">
        <v>2781</v>
      </c>
      <c r="I162" s="481" t="s">
        <v>2782</v>
      </c>
      <c r="J162" s="481" t="s">
        <v>2783</v>
      </c>
      <c r="K162" s="526" t="s">
        <v>2784</v>
      </c>
      <c r="L162" s="1315"/>
      <c r="M162" s="651">
        <v>49</v>
      </c>
      <c r="N162" s="2014" t="s">
        <v>2785</v>
      </c>
      <c r="O162" s="2014"/>
      <c r="P162" s="2014"/>
      <c r="Q162" s="2014"/>
      <c r="R162" s="2015"/>
      <c r="S162" s="375">
        <v>49</v>
      </c>
      <c r="T162" s="2014" t="s">
        <v>2786</v>
      </c>
      <c r="U162" s="2014"/>
      <c r="V162" s="2014"/>
      <c r="W162" s="2014"/>
      <c r="X162" s="2015"/>
      <c r="AE162" s="616">
        <v>2019</v>
      </c>
      <c r="AF162" s="481" t="s">
        <v>2787</v>
      </c>
      <c r="AG162" s="481" t="s">
        <v>2788</v>
      </c>
      <c r="AH162" s="481" t="s">
        <v>2789</v>
      </c>
      <c r="AI162" s="481" t="s">
        <v>2790</v>
      </c>
      <c r="AL162" s="331" t="s">
        <v>2693</v>
      </c>
      <c r="AM162" s="331" t="s">
        <v>1985</v>
      </c>
      <c r="AN162" s="331" t="s">
        <v>2791</v>
      </c>
      <c r="AO162" s="332" t="s">
        <v>2792</v>
      </c>
      <c r="AP162" s="331" t="s">
        <v>2778</v>
      </c>
      <c r="AR162" s="332" t="s">
        <v>2757</v>
      </c>
      <c r="AT162" s="616">
        <v>2019</v>
      </c>
      <c r="BB162" s="672"/>
    </row>
    <row r="163" spans="2:54" ht="17.25" customHeight="1">
      <c r="B163" s="578" t="s">
        <v>147</v>
      </c>
      <c r="C163" s="558" t="s">
        <v>2455</v>
      </c>
      <c r="D163" s="481" t="s">
        <v>2456</v>
      </c>
      <c r="E163" s="481" t="s">
        <v>2457</v>
      </c>
      <c r="F163" s="481" t="s">
        <v>2793</v>
      </c>
      <c r="G163" s="481" t="s">
        <v>2459</v>
      </c>
      <c r="H163" s="481" t="s">
        <v>2460</v>
      </c>
      <c r="I163" s="332" t="s">
        <v>2794</v>
      </c>
      <c r="J163" s="481" t="s">
        <v>2795</v>
      </c>
      <c r="K163" s="526" t="s">
        <v>2796</v>
      </c>
      <c r="L163" s="1315"/>
      <c r="M163" s="651">
        <v>50</v>
      </c>
      <c r="N163" s="2014" t="s">
        <v>2797</v>
      </c>
      <c r="O163" s="2014"/>
      <c r="P163" s="2014"/>
      <c r="Q163" s="2014"/>
      <c r="R163" s="2015"/>
      <c r="S163" s="375">
        <v>50</v>
      </c>
      <c r="T163" s="2014" t="s">
        <v>2798</v>
      </c>
      <c r="U163" s="2014"/>
      <c r="V163" s="2014"/>
      <c r="W163" s="2014"/>
      <c r="X163" s="2015"/>
      <c r="AE163" s="616">
        <v>2020</v>
      </c>
      <c r="AF163" s="481" t="s">
        <v>2799</v>
      </c>
      <c r="AG163" s="481" t="s">
        <v>2800</v>
      </c>
      <c r="AH163" s="481" t="s">
        <v>2801</v>
      </c>
      <c r="AI163" s="481" t="s">
        <v>2802</v>
      </c>
      <c r="AJ163" s="481" t="s">
        <v>2803</v>
      </c>
      <c r="AK163" s="481" t="s">
        <v>2804</v>
      </c>
      <c r="AL163" s="331" t="s">
        <v>2805</v>
      </c>
      <c r="AM163" s="331" t="s">
        <v>1664</v>
      </c>
      <c r="AN163" s="331" t="s">
        <v>2806</v>
      </c>
      <c r="AO163" s="332" t="s">
        <v>2807</v>
      </c>
      <c r="AP163" s="331" t="s">
        <v>2778</v>
      </c>
      <c r="AR163" s="332" t="s">
        <v>2757</v>
      </c>
      <c r="AT163" s="616">
        <v>2020</v>
      </c>
      <c r="AU163" s="670"/>
      <c r="AV163" s="671"/>
      <c r="AW163" s="671"/>
      <c r="AX163" s="671"/>
      <c r="AY163" s="671"/>
      <c r="AZ163" s="671"/>
      <c r="BA163" s="671"/>
      <c r="BB163" s="673"/>
    </row>
    <row r="164" spans="2:54" ht="15.5" customHeight="1">
      <c r="B164" s="578" t="s">
        <v>149</v>
      </c>
      <c r="C164" s="558" t="s">
        <v>2468</v>
      </c>
      <c r="D164" s="481" t="s">
        <v>92</v>
      </c>
      <c r="E164" s="481" t="s">
        <v>92</v>
      </c>
      <c r="F164" s="481" t="s">
        <v>2808</v>
      </c>
      <c r="G164" s="481" t="s">
        <v>2809</v>
      </c>
      <c r="H164" s="481" t="s">
        <v>2810</v>
      </c>
      <c r="I164" s="481" t="s">
        <v>2811</v>
      </c>
      <c r="J164" s="481" t="s">
        <v>2812</v>
      </c>
      <c r="K164" s="526" t="s">
        <v>2813</v>
      </c>
      <c r="L164" s="1315"/>
      <c r="M164" s="651">
        <v>51</v>
      </c>
      <c r="N164" s="2014" t="s">
        <v>2814</v>
      </c>
      <c r="O164" s="2014"/>
      <c r="P164" s="2014"/>
      <c r="Q164" s="2014"/>
      <c r="R164" s="2015"/>
      <c r="S164" s="375">
        <v>51</v>
      </c>
      <c r="T164" s="2014" t="s">
        <v>2815</v>
      </c>
      <c r="U164" s="2014"/>
      <c r="V164" s="2014"/>
      <c r="W164" s="2014"/>
      <c r="X164" s="2015"/>
      <c r="AF164" s="481" t="s">
        <v>2249</v>
      </c>
      <c r="AM164" s="331"/>
      <c r="AO164" s="481" t="s">
        <v>2816</v>
      </c>
      <c r="AP164" s="331"/>
    </row>
    <row r="165" spans="2:54" ht="15.5" customHeight="1">
      <c r="B165" s="578" t="s">
        <v>2817</v>
      </c>
      <c r="C165" s="558" t="s">
        <v>2140</v>
      </c>
      <c r="D165" s="481" t="s">
        <v>2188</v>
      </c>
      <c r="E165" s="481" t="s">
        <v>92</v>
      </c>
      <c r="F165" s="481" t="s">
        <v>2818</v>
      </c>
      <c r="G165" s="481" t="s">
        <v>2819</v>
      </c>
      <c r="H165" s="481" t="s">
        <v>2820</v>
      </c>
      <c r="I165" s="481" t="s">
        <v>2821</v>
      </c>
      <c r="J165" s="481" t="s">
        <v>2822</v>
      </c>
      <c r="K165" s="526" t="s">
        <v>2823</v>
      </c>
      <c r="L165" s="1315"/>
      <c r="M165" s="651">
        <v>52</v>
      </c>
      <c r="N165" s="2014" t="s">
        <v>2824</v>
      </c>
      <c r="O165" s="2014"/>
      <c r="P165" s="2014"/>
      <c r="Q165" s="2014"/>
      <c r="R165" s="2015"/>
      <c r="S165" s="375">
        <v>52</v>
      </c>
      <c r="T165" s="2014" t="s">
        <v>2825</v>
      </c>
      <c r="U165" s="2014"/>
      <c r="V165" s="2014"/>
      <c r="W165" s="2014"/>
      <c r="X165" s="2015"/>
      <c r="AL165" s="331"/>
      <c r="AM165" s="331" t="s">
        <v>1691</v>
      </c>
    </row>
    <row r="166" spans="2:54" ht="15.5" customHeight="1">
      <c r="B166" s="578" t="s">
        <v>157</v>
      </c>
      <c r="C166" s="558" t="s">
        <v>2826</v>
      </c>
      <c r="D166" s="481" t="s">
        <v>92</v>
      </c>
      <c r="E166" s="481" t="s">
        <v>92</v>
      </c>
      <c r="F166" s="481" t="s">
        <v>2827</v>
      </c>
      <c r="G166" s="481" t="s">
        <v>92</v>
      </c>
      <c r="H166" s="481" t="s">
        <v>92</v>
      </c>
      <c r="I166" s="481" t="s">
        <v>2821</v>
      </c>
      <c r="J166" s="481" t="s">
        <v>2822</v>
      </c>
      <c r="K166" s="526" t="s">
        <v>2823</v>
      </c>
      <c r="L166" s="1315"/>
      <c r="M166" s="651">
        <v>53</v>
      </c>
      <c r="N166" s="2014" t="s">
        <v>2828</v>
      </c>
      <c r="O166" s="2014"/>
      <c r="P166" s="2014"/>
      <c r="Q166" s="2014"/>
      <c r="R166" s="2015"/>
      <c r="S166" s="375">
        <v>53</v>
      </c>
      <c r="T166" s="2014" t="s">
        <v>2829</v>
      </c>
      <c r="U166" s="2014"/>
      <c r="V166" s="2014"/>
      <c r="W166" s="2014"/>
      <c r="X166" s="2015"/>
      <c r="AE166" s="499"/>
      <c r="AG166" s="500"/>
      <c r="AH166" s="500"/>
      <c r="AI166" s="500"/>
      <c r="AJ166" s="500"/>
      <c r="AK166" s="500"/>
      <c r="AL166" s="666"/>
      <c r="AM166" s="331" t="s">
        <v>1706</v>
      </c>
    </row>
    <row r="167" spans="2:54" ht="15.5" customHeight="1">
      <c r="B167" s="578" t="s">
        <v>61</v>
      </c>
      <c r="C167" s="558" t="s">
        <v>2125</v>
      </c>
      <c r="D167" s="481" t="s">
        <v>92</v>
      </c>
      <c r="E167" s="481" t="s">
        <v>92</v>
      </c>
      <c r="F167" s="481" t="s">
        <v>2830</v>
      </c>
      <c r="G167" s="481" t="s">
        <v>2831</v>
      </c>
      <c r="H167" s="481" t="s">
        <v>2832</v>
      </c>
      <c r="I167" s="481" t="s">
        <v>2833</v>
      </c>
      <c r="J167" s="481" t="s">
        <v>2834</v>
      </c>
      <c r="K167" s="526" t="s">
        <v>2835</v>
      </c>
      <c r="L167" s="1315"/>
      <c r="M167" s="651">
        <v>54</v>
      </c>
      <c r="N167" s="2014" t="s">
        <v>2836</v>
      </c>
      <c r="O167" s="2014"/>
      <c r="P167" s="2014"/>
      <c r="Q167" s="2014"/>
      <c r="R167" s="2015"/>
      <c r="S167" s="375">
        <v>54</v>
      </c>
      <c r="T167" s="2014" t="s">
        <v>2837</v>
      </c>
      <c r="U167" s="2014"/>
      <c r="V167" s="2014"/>
      <c r="W167" s="2014"/>
      <c r="X167" s="2015"/>
      <c r="AE167" s="492"/>
      <c r="AF167" s="481" t="s">
        <v>2838</v>
      </c>
      <c r="AI167" s="481" t="s">
        <v>2839</v>
      </c>
      <c r="AK167" s="667" t="s">
        <v>2840</v>
      </c>
      <c r="AL167" s="354"/>
      <c r="AM167" s="331" t="s">
        <v>1719</v>
      </c>
    </row>
    <row r="168" spans="2:54" ht="15.5" customHeight="1">
      <c r="B168" s="578" t="s">
        <v>63</v>
      </c>
      <c r="C168" s="558" t="s">
        <v>2468</v>
      </c>
      <c r="D168" s="481" t="s">
        <v>92</v>
      </c>
      <c r="E168" s="481" t="s">
        <v>92</v>
      </c>
      <c r="F168" s="332" t="s">
        <v>2841</v>
      </c>
      <c r="G168" s="481" t="s">
        <v>2831</v>
      </c>
      <c r="H168" s="481" t="s">
        <v>2832</v>
      </c>
      <c r="I168" s="481" t="s">
        <v>2842</v>
      </c>
      <c r="J168" s="481" t="s">
        <v>2843</v>
      </c>
      <c r="K168" s="526" t="s">
        <v>2844</v>
      </c>
      <c r="L168" s="1315"/>
      <c r="M168" s="651">
        <v>55</v>
      </c>
      <c r="N168" s="2014" t="s">
        <v>2845</v>
      </c>
      <c r="O168" s="2014"/>
      <c r="P168" s="2014"/>
      <c r="Q168" s="2014"/>
      <c r="R168" s="2015"/>
      <c r="S168" s="375">
        <v>55</v>
      </c>
      <c r="T168" s="2014" t="s">
        <v>2846</v>
      </c>
      <c r="U168" s="2014"/>
      <c r="V168" s="2014"/>
      <c r="W168" s="2014"/>
      <c r="X168" s="2015"/>
      <c r="AE168" s="492"/>
      <c r="AF168" s="481" t="s">
        <v>2847</v>
      </c>
      <c r="AI168" s="481" t="s">
        <v>2848</v>
      </c>
      <c r="AK168" s="668" t="s">
        <v>2849</v>
      </c>
      <c r="AL168" s="526"/>
      <c r="AM168" s="331" t="s">
        <v>1731</v>
      </c>
    </row>
    <row r="169" spans="2:54" ht="15.5" customHeight="1">
      <c r="B169" s="578" t="s">
        <v>67</v>
      </c>
      <c r="C169" s="558" t="s">
        <v>2468</v>
      </c>
      <c r="D169" s="481" t="s">
        <v>92</v>
      </c>
      <c r="E169" s="481" t="s">
        <v>2850</v>
      </c>
      <c r="F169" s="481" t="s">
        <v>2851</v>
      </c>
      <c r="G169" s="481" t="s">
        <v>2852</v>
      </c>
      <c r="H169" s="481" t="s">
        <v>2853</v>
      </c>
      <c r="I169" s="481" t="s">
        <v>2854</v>
      </c>
      <c r="J169" s="481" t="s">
        <v>2855</v>
      </c>
      <c r="K169" s="526" t="s">
        <v>2856</v>
      </c>
      <c r="L169" s="1315"/>
      <c r="M169" s="651">
        <v>56</v>
      </c>
      <c r="N169" s="2014" t="s">
        <v>2857</v>
      </c>
      <c r="O169" s="2014"/>
      <c r="P169" s="2014"/>
      <c r="Q169" s="2014"/>
      <c r="R169" s="2015"/>
      <c r="S169" s="375">
        <v>56</v>
      </c>
      <c r="T169" s="2014" t="s">
        <v>2858</v>
      </c>
      <c r="U169" s="2014"/>
      <c r="V169" s="2014"/>
      <c r="W169" s="2014"/>
      <c r="X169" s="2015"/>
      <c r="AE169" s="492"/>
      <c r="AF169" s="481" t="s">
        <v>2859</v>
      </c>
      <c r="AK169" s="668" t="s">
        <v>2860</v>
      </c>
      <c r="AL169" s="354"/>
      <c r="AM169" s="331" t="s">
        <v>1741</v>
      </c>
    </row>
    <row r="170" spans="2:54" ht="15.5" customHeight="1">
      <c r="B170" s="578" t="s">
        <v>71</v>
      </c>
      <c r="C170" s="558" t="s">
        <v>2140</v>
      </c>
      <c r="D170" s="481" t="s">
        <v>92</v>
      </c>
      <c r="E170" s="481" t="s">
        <v>92</v>
      </c>
      <c r="F170" s="481" t="s">
        <v>2861</v>
      </c>
      <c r="G170" s="481" t="s">
        <v>2862</v>
      </c>
      <c r="H170" s="481" t="s">
        <v>2863</v>
      </c>
      <c r="I170" s="481" t="s">
        <v>2864</v>
      </c>
      <c r="J170" s="660" t="s">
        <v>2865</v>
      </c>
      <c r="K170" s="526" t="s">
        <v>2866</v>
      </c>
      <c r="L170" s="1315"/>
      <c r="M170" s="651">
        <v>57</v>
      </c>
      <c r="N170" s="2014" t="s">
        <v>2867</v>
      </c>
      <c r="O170" s="2014"/>
      <c r="P170" s="2014"/>
      <c r="Q170" s="2014"/>
      <c r="R170" s="2015"/>
      <c r="S170" s="375">
        <v>57</v>
      </c>
      <c r="T170" s="2014" t="s">
        <v>2868</v>
      </c>
      <c r="U170" s="2014"/>
      <c r="V170" s="2014"/>
      <c r="W170" s="2014"/>
      <c r="X170" s="2015"/>
      <c r="AE170" s="492"/>
      <c r="AF170" s="663" t="s">
        <v>2869</v>
      </c>
      <c r="AI170" s="481" t="s">
        <v>2870</v>
      </c>
      <c r="AK170" s="668" t="s">
        <v>2871</v>
      </c>
      <c r="AL170" s="354"/>
      <c r="AM170" s="331" t="s">
        <v>1748</v>
      </c>
    </row>
    <row r="171" spans="2:54" ht="15.5" customHeight="1">
      <c r="B171" s="578" t="s">
        <v>73</v>
      </c>
      <c r="C171" s="558" t="s">
        <v>2561</v>
      </c>
      <c r="D171" s="481" t="s">
        <v>92</v>
      </c>
      <c r="E171" s="481" t="s">
        <v>92</v>
      </c>
      <c r="F171" s="481" t="s">
        <v>2872</v>
      </c>
      <c r="G171" s="481" t="s">
        <v>2873</v>
      </c>
      <c r="H171" s="481" t="s">
        <v>2873</v>
      </c>
      <c r="I171" s="481" t="s">
        <v>2874</v>
      </c>
      <c r="J171" s="660" t="s">
        <v>2875</v>
      </c>
      <c r="K171" s="526" t="s">
        <v>2876</v>
      </c>
      <c r="L171" s="1315"/>
      <c r="M171" s="651">
        <v>58</v>
      </c>
      <c r="N171" s="2014" t="s">
        <v>2877</v>
      </c>
      <c r="O171" s="2014"/>
      <c r="P171" s="2014"/>
      <c r="Q171" s="2014"/>
      <c r="R171" s="2015"/>
      <c r="S171" s="375">
        <v>58</v>
      </c>
      <c r="T171" s="2014" t="s">
        <v>2878</v>
      </c>
      <c r="U171" s="2014"/>
      <c r="V171" s="2014"/>
      <c r="W171" s="2014"/>
      <c r="X171" s="2015"/>
      <c r="AE171" s="492"/>
      <c r="AF171" s="663" t="s">
        <v>2879</v>
      </c>
      <c r="AI171" s="481" t="s">
        <v>2880</v>
      </c>
      <c r="AK171" s="668" t="s">
        <v>2881</v>
      </c>
      <c r="AL171" s="354"/>
      <c r="AM171" s="331" t="s">
        <v>1756</v>
      </c>
    </row>
    <row r="172" spans="2:54" ht="15.5" customHeight="1">
      <c r="B172" s="578" t="s">
        <v>75</v>
      </c>
      <c r="C172" s="558" t="s">
        <v>2140</v>
      </c>
      <c r="D172" s="481" t="s">
        <v>92</v>
      </c>
      <c r="E172" s="481" t="s">
        <v>92</v>
      </c>
      <c r="F172" s="481" t="s">
        <v>2882</v>
      </c>
      <c r="G172" s="481" t="s">
        <v>2883</v>
      </c>
      <c r="H172" s="481" t="s">
        <v>2884</v>
      </c>
      <c r="I172" s="481" t="s">
        <v>2885</v>
      </c>
      <c r="J172" s="661" t="s">
        <v>2886</v>
      </c>
      <c r="K172" s="526" t="s">
        <v>2887</v>
      </c>
      <c r="L172" s="1315"/>
      <c r="M172" s="651">
        <v>59</v>
      </c>
      <c r="N172" s="2014" t="s">
        <v>2888</v>
      </c>
      <c r="O172" s="2014"/>
      <c r="P172" s="2014"/>
      <c r="Q172" s="2014"/>
      <c r="R172" s="2015"/>
      <c r="S172" s="375">
        <v>59</v>
      </c>
      <c r="T172" s="2014" t="s">
        <v>2889</v>
      </c>
      <c r="U172" s="2014"/>
      <c r="V172" s="2014"/>
      <c r="W172" s="2014"/>
      <c r="X172" s="2015"/>
      <c r="AE172" s="492"/>
      <c r="AF172" s="664" t="s">
        <v>2890</v>
      </c>
      <c r="AI172" s="481" t="s">
        <v>2891</v>
      </c>
      <c r="AK172" s="668" t="s">
        <v>2892</v>
      </c>
      <c r="AL172" s="354"/>
      <c r="AM172" s="331" t="s">
        <v>1765</v>
      </c>
    </row>
    <row r="173" spans="2:54" ht="15.5" customHeight="1">
      <c r="B173" s="578" t="s">
        <v>77</v>
      </c>
      <c r="C173" s="558" t="s">
        <v>2561</v>
      </c>
      <c r="D173" s="481" t="s">
        <v>92</v>
      </c>
      <c r="E173" s="481" t="s">
        <v>92</v>
      </c>
      <c r="F173" s="481" t="s">
        <v>2893</v>
      </c>
      <c r="G173" s="481" t="s">
        <v>2894</v>
      </c>
      <c r="H173" s="481" t="s">
        <v>2895</v>
      </c>
      <c r="I173" s="481" t="s">
        <v>2896</v>
      </c>
      <c r="J173" s="660" t="s">
        <v>2897</v>
      </c>
      <c r="K173" s="526" t="s">
        <v>2898</v>
      </c>
      <c r="L173" s="1315"/>
      <c r="M173" s="651">
        <v>60</v>
      </c>
      <c r="N173" s="2014" t="s">
        <v>2899</v>
      </c>
      <c r="O173" s="2014"/>
      <c r="P173" s="2014"/>
      <c r="Q173" s="2014"/>
      <c r="R173" s="2015"/>
      <c r="S173" s="375">
        <v>60</v>
      </c>
      <c r="T173" s="2014" t="s">
        <v>2900</v>
      </c>
      <c r="U173" s="2014"/>
      <c r="V173" s="2014"/>
      <c r="W173" s="2014"/>
      <c r="X173" s="2015"/>
      <c r="AE173" s="492"/>
      <c r="AF173" s="481" t="s">
        <v>2901</v>
      </c>
      <c r="AI173" s="481" t="s">
        <v>2902</v>
      </c>
      <c r="AK173" s="668" t="s">
        <v>456</v>
      </c>
      <c r="AL173" s="354"/>
      <c r="AM173" s="331" t="s">
        <v>1774</v>
      </c>
    </row>
    <row r="174" spans="2:54" ht="15.5" customHeight="1">
      <c r="B174" s="578" t="s">
        <v>79</v>
      </c>
      <c r="C174" s="558" t="s">
        <v>2561</v>
      </c>
      <c r="D174" s="481" t="s">
        <v>92</v>
      </c>
      <c r="E174" s="481" t="s">
        <v>92</v>
      </c>
      <c r="F174" s="332" t="s">
        <v>2903</v>
      </c>
      <c r="G174" s="481" t="s">
        <v>2904</v>
      </c>
      <c r="H174" s="481" t="s">
        <v>2905</v>
      </c>
      <c r="I174" s="660" t="s">
        <v>2906</v>
      </c>
      <c r="J174" s="660" t="s">
        <v>2907</v>
      </c>
      <c r="K174" s="526" t="s">
        <v>2908</v>
      </c>
      <c r="L174" s="1315"/>
      <c r="M174" s="651">
        <v>61</v>
      </c>
      <c r="N174" s="2014" t="s">
        <v>2909</v>
      </c>
      <c r="O174" s="2014"/>
      <c r="P174" s="2014"/>
      <c r="Q174" s="2014"/>
      <c r="R174" s="2015"/>
      <c r="S174" s="375">
        <v>61</v>
      </c>
      <c r="T174" s="2014" t="s">
        <v>2910</v>
      </c>
      <c r="U174" s="2014"/>
      <c r="V174" s="2014"/>
      <c r="W174" s="2014"/>
      <c r="X174" s="2015"/>
      <c r="AE174" s="492"/>
      <c r="AF174" s="481" t="s">
        <v>2911</v>
      </c>
      <c r="AK174" s="668" t="s">
        <v>2912</v>
      </c>
      <c r="AL174" s="354"/>
      <c r="AM174" s="331" t="s">
        <v>1784</v>
      </c>
    </row>
    <row r="175" spans="2:54" ht="15.5" customHeight="1">
      <c r="B175" s="578" t="s">
        <v>82</v>
      </c>
      <c r="C175" s="558" t="s">
        <v>2125</v>
      </c>
      <c r="D175" s="481" t="s">
        <v>92</v>
      </c>
      <c r="E175" s="481" t="s">
        <v>92</v>
      </c>
      <c r="F175" s="481" t="s">
        <v>2913</v>
      </c>
      <c r="G175" s="481" t="s">
        <v>2914</v>
      </c>
      <c r="H175" s="481" t="s">
        <v>2915</v>
      </c>
      <c r="I175" s="660" t="s">
        <v>2916</v>
      </c>
      <c r="J175" s="481" t="s">
        <v>2917</v>
      </c>
      <c r="K175" s="526" t="s">
        <v>2918</v>
      </c>
      <c r="L175" s="1315"/>
      <c r="M175" s="651">
        <v>62</v>
      </c>
      <c r="N175" s="2014" t="s">
        <v>2919</v>
      </c>
      <c r="O175" s="2014"/>
      <c r="P175" s="2014"/>
      <c r="Q175" s="2014"/>
      <c r="R175" s="2015"/>
      <c r="S175" s="375">
        <v>62</v>
      </c>
      <c r="T175" s="2014" t="s">
        <v>2920</v>
      </c>
      <c r="U175" s="2014"/>
      <c r="V175" s="2014"/>
      <c r="W175" s="2014"/>
      <c r="X175" s="2015"/>
      <c r="AE175" s="492"/>
      <c r="AF175" s="481" t="s">
        <v>2921</v>
      </c>
      <c r="AI175" s="481" t="s">
        <v>2922</v>
      </c>
      <c r="AK175" s="668" t="s">
        <v>2923</v>
      </c>
      <c r="AL175" s="354"/>
      <c r="AM175" s="331" t="s">
        <v>1797</v>
      </c>
    </row>
    <row r="176" spans="2:54" ht="15.5" customHeight="1">
      <c r="B176" s="578" t="s">
        <v>87</v>
      </c>
      <c r="C176" s="558" t="s">
        <v>2140</v>
      </c>
      <c r="D176" s="481" t="s">
        <v>92</v>
      </c>
      <c r="E176" s="481" t="s">
        <v>92</v>
      </c>
      <c r="F176" s="481" t="s">
        <v>2924</v>
      </c>
      <c r="G176" s="481" t="s">
        <v>2925</v>
      </c>
      <c r="H176" s="660" t="s">
        <v>2926</v>
      </c>
      <c r="I176" s="660" t="s">
        <v>2927</v>
      </c>
      <c r="J176" s="481" t="s">
        <v>2928</v>
      </c>
      <c r="K176" s="526" t="s">
        <v>2929</v>
      </c>
      <c r="L176" s="1315"/>
      <c r="M176" s="651">
        <v>63</v>
      </c>
      <c r="N176" s="2014" t="s">
        <v>2930</v>
      </c>
      <c r="O176" s="2014"/>
      <c r="P176" s="2014"/>
      <c r="Q176" s="2014"/>
      <c r="R176" s="2015"/>
      <c r="S176" s="375">
        <v>63</v>
      </c>
      <c r="T176" s="2014" t="s">
        <v>2931</v>
      </c>
      <c r="U176" s="2014"/>
      <c r="V176" s="2014"/>
      <c r="W176" s="2014"/>
      <c r="X176" s="2015"/>
      <c r="AE176" s="492"/>
      <c r="AF176" s="481" t="s">
        <v>2932</v>
      </c>
      <c r="AI176" s="481" t="s">
        <v>2933</v>
      </c>
      <c r="AK176" s="668" t="s">
        <v>2934</v>
      </c>
      <c r="AL176" s="354"/>
      <c r="AM176" s="331" t="s">
        <v>1806</v>
      </c>
    </row>
    <row r="177" spans="2:39" ht="15.5" customHeight="1">
      <c r="B177" s="578" t="s">
        <v>95</v>
      </c>
      <c r="C177" s="558" t="s">
        <v>2561</v>
      </c>
      <c r="D177" s="481" t="s">
        <v>2456</v>
      </c>
      <c r="E177" s="617" t="s">
        <v>2457</v>
      </c>
      <c r="F177" s="481" t="s">
        <v>2935</v>
      </c>
      <c r="G177" s="481" t="s">
        <v>2459</v>
      </c>
      <c r="H177" s="481" t="s">
        <v>2460</v>
      </c>
      <c r="I177" s="332" t="s">
        <v>2936</v>
      </c>
      <c r="J177" s="481" t="s">
        <v>2937</v>
      </c>
      <c r="K177" s="526" t="s">
        <v>2938</v>
      </c>
      <c r="L177" s="1315"/>
      <c r="M177" s="651">
        <v>64</v>
      </c>
      <c r="N177" s="2014" t="s">
        <v>2939</v>
      </c>
      <c r="O177" s="2014"/>
      <c r="P177" s="2014"/>
      <c r="Q177" s="2014"/>
      <c r="R177" s="2015"/>
      <c r="S177" s="375">
        <v>64</v>
      </c>
      <c r="T177" s="2014" t="s">
        <v>2940</v>
      </c>
      <c r="U177" s="2014"/>
      <c r="V177" s="2014"/>
      <c r="W177" s="2014"/>
      <c r="X177" s="2015"/>
      <c r="AE177" s="492"/>
      <c r="AF177" s="481" t="s">
        <v>2941</v>
      </c>
      <c r="AI177" s="481" t="s">
        <v>2942</v>
      </c>
      <c r="AK177" s="668" t="s">
        <v>2943</v>
      </c>
      <c r="AL177" s="354"/>
      <c r="AM177" s="331" t="s">
        <v>1812</v>
      </c>
    </row>
    <row r="178" spans="2:39" ht="15.5" customHeight="1">
      <c r="B178" s="578" t="s">
        <v>365</v>
      </c>
      <c r="C178" s="558" t="s">
        <v>2140</v>
      </c>
      <c r="D178" s="481" t="s">
        <v>2188</v>
      </c>
      <c r="E178" s="481" t="s">
        <v>92</v>
      </c>
      <c r="F178" s="481" t="s">
        <v>2944</v>
      </c>
      <c r="G178" s="481" t="s">
        <v>92</v>
      </c>
      <c r="H178" s="481" t="s">
        <v>92</v>
      </c>
      <c r="I178" s="481" t="s">
        <v>92</v>
      </c>
      <c r="J178" s="481" t="s">
        <v>92</v>
      </c>
      <c r="K178" s="526" t="s">
        <v>92</v>
      </c>
      <c r="L178" s="1315"/>
      <c r="M178" s="651">
        <v>65</v>
      </c>
      <c r="N178" s="2014" t="s">
        <v>2945</v>
      </c>
      <c r="O178" s="2014"/>
      <c r="P178" s="2014"/>
      <c r="Q178" s="2014"/>
      <c r="R178" s="2015"/>
      <c r="S178" s="375">
        <v>65</v>
      </c>
      <c r="T178" s="2014" t="s">
        <v>2946</v>
      </c>
      <c r="U178" s="2014"/>
      <c r="V178" s="2014"/>
      <c r="W178" s="2014"/>
      <c r="X178" s="2015"/>
      <c r="AE178" s="492"/>
      <c r="AF178" s="663" t="s">
        <v>2947</v>
      </c>
      <c r="AI178" s="481" t="s">
        <v>2948</v>
      </c>
      <c r="AK178" s="668" t="s">
        <v>2949</v>
      </c>
      <c r="AL178" s="354"/>
      <c r="AM178" s="331" t="s">
        <v>1817</v>
      </c>
    </row>
    <row r="179" spans="2:39" ht="15.5" customHeight="1">
      <c r="B179" s="578" t="s">
        <v>104</v>
      </c>
      <c r="C179" s="558" t="s">
        <v>2140</v>
      </c>
      <c r="D179" s="481" t="s">
        <v>92</v>
      </c>
      <c r="E179" s="481" t="s">
        <v>92</v>
      </c>
      <c r="F179" s="481" t="s">
        <v>2950</v>
      </c>
      <c r="G179" s="481" t="s">
        <v>2951</v>
      </c>
      <c r="H179" s="481" t="s">
        <v>2952</v>
      </c>
      <c r="I179" s="481" t="s">
        <v>2953</v>
      </c>
      <c r="J179" s="481" t="s">
        <v>2954</v>
      </c>
      <c r="K179" s="526" t="s">
        <v>2955</v>
      </c>
      <c r="L179" s="1315"/>
      <c r="M179" s="651">
        <v>66</v>
      </c>
      <c r="N179" s="2014" t="s">
        <v>2956</v>
      </c>
      <c r="O179" s="2014"/>
      <c r="P179" s="2014"/>
      <c r="Q179" s="2014"/>
      <c r="R179" s="2015"/>
      <c r="S179" s="375">
        <v>66</v>
      </c>
      <c r="T179" s="2014" t="s">
        <v>2957</v>
      </c>
      <c r="U179" s="2014"/>
      <c r="V179" s="2014"/>
      <c r="W179" s="2014"/>
      <c r="X179" s="2015"/>
      <c r="AE179" s="492"/>
      <c r="AF179" s="663" t="s">
        <v>2958</v>
      </c>
      <c r="AI179" s="481" t="s">
        <v>2959</v>
      </c>
      <c r="AK179" s="668" t="s">
        <v>2960</v>
      </c>
      <c r="AL179" s="354"/>
      <c r="AM179" s="331" t="s">
        <v>1824</v>
      </c>
    </row>
    <row r="180" spans="2:39" ht="15.5" customHeight="1">
      <c r="B180" s="578" t="s">
        <v>106</v>
      </c>
      <c r="C180" s="558" t="s">
        <v>2561</v>
      </c>
      <c r="D180" s="481" t="s">
        <v>2456</v>
      </c>
      <c r="E180" s="332" t="s">
        <v>2961</v>
      </c>
      <c r="F180" s="481" t="s">
        <v>2962</v>
      </c>
      <c r="G180" s="481" t="s">
        <v>2459</v>
      </c>
      <c r="H180" s="481" t="s">
        <v>2460</v>
      </c>
      <c r="I180" s="481" t="s">
        <v>2963</v>
      </c>
      <c r="J180" s="481" t="s">
        <v>2964</v>
      </c>
      <c r="K180" s="526" t="s">
        <v>2965</v>
      </c>
      <c r="L180" s="1315"/>
      <c r="M180" s="651">
        <v>67</v>
      </c>
      <c r="N180" s="2014" t="s">
        <v>2966</v>
      </c>
      <c r="O180" s="2014"/>
      <c r="P180" s="2014"/>
      <c r="Q180" s="2014"/>
      <c r="R180" s="2015"/>
      <c r="S180" s="375">
        <v>67</v>
      </c>
      <c r="T180" s="2014" t="s">
        <v>2967</v>
      </c>
      <c r="U180" s="2014"/>
      <c r="V180" s="2014"/>
      <c r="W180" s="2014"/>
      <c r="X180" s="2015"/>
      <c r="AE180" s="492"/>
      <c r="AF180" s="663" t="s">
        <v>2968</v>
      </c>
      <c r="AI180" s="481" t="s">
        <v>2969</v>
      </c>
      <c r="AK180" s="668" t="s">
        <v>2970</v>
      </c>
      <c r="AL180" s="526"/>
      <c r="AM180" s="331" t="s">
        <v>1834</v>
      </c>
    </row>
    <row r="181" spans="2:39" ht="15.5" customHeight="1">
      <c r="B181" s="578" t="s">
        <v>110</v>
      </c>
      <c r="C181" s="558" t="s">
        <v>2125</v>
      </c>
      <c r="D181" s="481" t="s">
        <v>92</v>
      </c>
      <c r="E181" s="481" t="s">
        <v>2971</v>
      </c>
      <c r="F181" s="481" t="s">
        <v>2972</v>
      </c>
      <c r="G181" s="481" t="s">
        <v>2973</v>
      </c>
      <c r="H181" s="481" t="s">
        <v>2974</v>
      </c>
      <c r="I181" s="481" t="s">
        <v>2975</v>
      </c>
      <c r="J181" s="481" t="s">
        <v>2976</v>
      </c>
      <c r="K181" s="526" t="s">
        <v>2977</v>
      </c>
      <c r="L181" s="1315"/>
      <c r="M181" s="651">
        <v>68</v>
      </c>
      <c r="N181" s="2014" t="s">
        <v>2978</v>
      </c>
      <c r="O181" s="2014"/>
      <c r="P181" s="2014"/>
      <c r="Q181" s="2014"/>
      <c r="R181" s="2015"/>
      <c r="S181" s="375">
        <v>68</v>
      </c>
      <c r="T181" s="2014" t="s">
        <v>2979</v>
      </c>
      <c r="U181" s="2014"/>
      <c r="V181" s="2014"/>
      <c r="W181" s="2014"/>
      <c r="X181" s="2015"/>
      <c r="AE181" s="492"/>
      <c r="AF181" s="663" t="s">
        <v>2980</v>
      </c>
      <c r="AI181" s="481" t="s">
        <v>2981</v>
      </c>
      <c r="AK181" s="668" t="s">
        <v>2982</v>
      </c>
      <c r="AL181" s="354"/>
      <c r="AM181" s="331" t="s">
        <v>1840</v>
      </c>
    </row>
    <row r="182" spans="2:39" ht="15.5" customHeight="1">
      <c r="B182" s="492" t="s">
        <v>2179</v>
      </c>
      <c r="C182" s="558" t="s">
        <v>456</v>
      </c>
      <c r="D182" s="481" t="s">
        <v>456</v>
      </c>
      <c r="E182" s="481" t="s">
        <v>456</v>
      </c>
      <c r="F182" s="481" t="s">
        <v>456</v>
      </c>
      <c r="G182" s="481" t="s">
        <v>456</v>
      </c>
      <c r="H182" s="481" t="s">
        <v>456</v>
      </c>
      <c r="I182" s="481" t="s">
        <v>456</v>
      </c>
      <c r="J182" s="481" t="s">
        <v>456</v>
      </c>
      <c r="K182" s="526" t="s">
        <v>456</v>
      </c>
      <c r="L182" s="1315"/>
      <c r="M182" s="651">
        <v>69</v>
      </c>
      <c r="N182" s="2014" t="s">
        <v>2983</v>
      </c>
      <c r="O182" s="2014"/>
      <c r="P182" s="2014"/>
      <c r="Q182" s="2014"/>
      <c r="R182" s="2015"/>
      <c r="S182" s="375">
        <v>69</v>
      </c>
      <c r="T182" s="2014" t="s">
        <v>2984</v>
      </c>
      <c r="U182" s="2014"/>
      <c r="V182" s="2014"/>
      <c r="W182" s="2014"/>
      <c r="X182" s="2015"/>
      <c r="AE182" s="492"/>
      <c r="AF182" s="663" t="s">
        <v>2985</v>
      </c>
      <c r="AK182" s="668" t="s">
        <v>2986</v>
      </c>
      <c r="AL182" s="354"/>
      <c r="AM182" s="331" t="s">
        <v>1848</v>
      </c>
    </row>
    <row r="183" spans="2:39" ht="15.5" customHeight="1">
      <c r="B183" s="580" t="s">
        <v>2987</v>
      </c>
      <c r="C183" s="558" t="s">
        <v>2140</v>
      </c>
      <c r="D183" s="481" t="s">
        <v>2188</v>
      </c>
      <c r="E183" s="481" t="s">
        <v>92</v>
      </c>
      <c r="F183" s="481" t="s">
        <v>2988</v>
      </c>
      <c r="G183" s="481" t="s">
        <v>2989</v>
      </c>
      <c r="H183" s="481" t="s">
        <v>2990</v>
      </c>
      <c r="I183" s="481" t="s">
        <v>2991</v>
      </c>
      <c r="J183" s="481" t="s">
        <v>2992</v>
      </c>
      <c r="K183" s="526" t="s">
        <v>2993</v>
      </c>
      <c r="L183" s="1315"/>
      <c r="M183" s="651">
        <v>70</v>
      </c>
      <c r="N183" s="2014" t="s">
        <v>2994</v>
      </c>
      <c r="O183" s="2014"/>
      <c r="P183" s="2014"/>
      <c r="Q183" s="2014"/>
      <c r="R183" s="2015"/>
      <c r="S183" s="375">
        <v>70</v>
      </c>
      <c r="T183" s="2014" t="s">
        <v>2995</v>
      </c>
      <c r="U183" s="2014"/>
      <c r="V183" s="2014"/>
      <c r="W183" s="2014"/>
      <c r="X183" s="2015"/>
      <c r="AE183" s="492"/>
      <c r="AF183" s="663" t="s">
        <v>2996</v>
      </c>
      <c r="AI183" s="481" t="s">
        <v>2997</v>
      </c>
      <c r="AK183" s="668" t="s">
        <v>2998</v>
      </c>
      <c r="AL183" s="354"/>
      <c r="AM183" s="331" t="s">
        <v>1859</v>
      </c>
    </row>
    <row r="184" spans="2:39" ht="15.5" customHeight="1">
      <c r="B184" s="492" t="s">
        <v>2999</v>
      </c>
      <c r="C184" s="558" t="s">
        <v>2140</v>
      </c>
      <c r="D184" s="481" t="s">
        <v>3000</v>
      </c>
      <c r="E184" s="481" t="s">
        <v>92</v>
      </c>
      <c r="F184" s="481" t="s">
        <v>3001</v>
      </c>
      <c r="G184" s="481" t="s">
        <v>2989</v>
      </c>
      <c r="H184" s="481" t="s">
        <v>2990</v>
      </c>
      <c r="I184" s="481" t="s">
        <v>2991</v>
      </c>
      <c r="J184" s="481" t="s">
        <v>2992</v>
      </c>
      <c r="K184" s="526" t="s">
        <v>2993</v>
      </c>
      <c r="L184" s="1315"/>
      <c r="M184" s="651">
        <v>71</v>
      </c>
      <c r="N184" s="2014" t="s">
        <v>3002</v>
      </c>
      <c r="O184" s="2014"/>
      <c r="P184" s="2014"/>
      <c r="Q184" s="2014"/>
      <c r="R184" s="2015"/>
      <c r="S184" s="375">
        <v>71</v>
      </c>
      <c r="T184" s="2014" t="s">
        <v>3003</v>
      </c>
      <c r="U184" s="2014"/>
      <c r="V184" s="2014"/>
      <c r="W184" s="2014"/>
      <c r="X184" s="2015"/>
      <c r="AE184" s="492"/>
      <c r="AF184" s="663" t="s">
        <v>3004</v>
      </c>
      <c r="AI184" s="481" t="s">
        <v>3005</v>
      </c>
      <c r="AK184" s="668" t="s">
        <v>3006</v>
      </c>
      <c r="AL184" s="354"/>
      <c r="AM184" s="331" t="s">
        <v>1867</v>
      </c>
    </row>
    <row r="185" spans="2:39" ht="15.5" customHeight="1">
      <c r="B185" s="492" t="s">
        <v>1411</v>
      </c>
      <c r="C185" s="558" t="s">
        <v>2140</v>
      </c>
      <c r="D185" s="481" t="s">
        <v>3000</v>
      </c>
      <c r="E185" s="481" t="s">
        <v>92</v>
      </c>
      <c r="F185" s="481" t="s">
        <v>3007</v>
      </c>
      <c r="G185" s="481" t="s">
        <v>2989</v>
      </c>
      <c r="H185" s="481" t="s">
        <v>2990</v>
      </c>
      <c r="I185" s="481" t="s">
        <v>2991</v>
      </c>
      <c r="J185" s="481" t="s">
        <v>2992</v>
      </c>
      <c r="K185" s="526" t="s">
        <v>2993</v>
      </c>
      <c r="L185" s="1315"/>
      <c r="M185" s="651">
        <v>72</v>
      </c>
      <c r="N185" s="2014" t="s">
        <v>3008</v>
      </c>
      <c r="O185" s="2014"/>
      <c r="P185" s="2014"/>
      <c r="Q185" s="2014"/>
      <c r="R185" s="2015"/>
      <c r="S185" s="375">
        <v>72</v>
      </c>
      <c r="T185" s="2014" t="s">
        <v>3009</v>
      </c>
      <c r="U185" s="2014"/>
      <c r="V185" s="2014"/>
      <c r="W185" s="2014"/>
      <c r="X185" s="2015"/>
      <c r="AE185" s="492"/>
      <c r="AF185" s="663" t="s">
        <v>3010</v>
      </c>
      <c r="AI185" s="481" t="s">
        <v>3011</v>
      </c>
      <c r="AK185" s="668" t="s">
        <v>3012</v>
      </c>
      <c r="AL185" s="354"/>
      <c r="AM185" s="331" t="s">
        <v>1874</v>
      </c>
    </row>
    <row r="186" spans="2:39" ht="15.5" customHeight="1">
      <c r="B186" s="492" t="s">
        <v>3013</v>
      </c>
      <c r="C186" s="558" t="s">
        <v>2140</v>
      </c>
      <c r="D186" s="481" t="s">
        <v>3000</v>
      </c>
      <c r="E186" s="481" t="s">
        <v>92</v>
      </c>
      <c r="F186" s="481" t="s">
        <v>3014</v>
      </c>
      <c r="G186" s="481" t="s">
        <v>2989</v>
      </c>
      <c r="H186" s="481" t="s">
        <v>2990</v>
      </c>
      <c r="I186" s="481" t="s">
        <v>2991</v>
      </c>
      <c r="J186" s="481" t="s">
        <v>2992</v>
      </c>
      <c r="K186" s="526" t="s">
        <v>2993</v>
      </c>
      <c r="L186" s="1315"/>
      <c r="M186" s="651">
        <v>73</v>
      </c>
      <c r="N186" s="2014" t="s">
        <v>3015</v>
      </c>
      <c r="O186" s="2014"/>
      <c r="P186" s="2014"/>
      <c r="Q186" s="2014"/>
      <c r="R186" s="2015"/>
      <c r="S186" s="375">
        <v>73</v>
      </c>
      <c r="T186" s="2014" t="s">
        <v>3016</v>
      </c>
      <c r="U186" s="2014"/>
      <c r="V186" s="2014"/>
      <c r="W186" s="2014"/>
      <c r="X186" s="2015"/>
      <c r="AE186" s="492"/>
      <c r="AF186" s="663" t="s">
        <v>3017</v>
      </c>
      <c r="AI186" s="481" t="s">
        <v>3018</v>
      </c>
      <c r="AK186" s="668" t="s">
        <v>3019</v>
      </c>
      <c r="AL186" s="354"/>
      <c r="AM186" s="331" t="s">
        <v>1881</v>
      </c>
    </row>
    <row r="187" spans="2:39" ht="15.5" customHeight="1">
      <c r="B187" s="492" t="s">
        <v>1409</v>
      </c>
      <c r="C187" s="558" t="s">
        <v>2561</v>
      </c>
      <c r="D187" s="481" t="s">
        <v>3000</v>
      </c>
      <c r="E187" s="481" t="s">
        <v>92</v>
      </c>
      <c r="F187" s="481" t="s">
        <v>3020</v>
      </c>
      <c r="G187" s="481" t="s">
        <v>2989</v>
      </c>
      <c r="H187" s="481" t="s">
        <v>2990</v>
      </c>
      <c r="I187" s="481" t="s">
        <v>2991</v>
      </c>
      <c r="J187" s="481" t="s">
        <v>2992</v>
      </c>
      <c r="K187" s="526" t="s">
        <v>2993</v>
      </c>
      <c r="L187" s="1315"/>
      <c r="M187" s="651">
        <v>74</v>
      </c>
      <c r="N187" s="2014" t="s">
        <v>3021</v>
      </c>
      <c r="O187" s="2014"/>
      <c r="P187" s="2014"/>
      <c r="Q187" s="2014"/>
      <c r="R187" s="2015"/>
      <c r="S187" s="375">
        <v>74</v>
      </c>
      <c r="T187" s="2014" t="s">
        <v>3022</v>
      </c>
      <c r="U187" s="2014"/>
      <c r="V187" s="2014"/>
      <c r="W187" s="2014"/>
      <c r="X187" s="2015"/>
      <c r="AE187" s="492"/>
      <c r="AF187" s="663" t="s">
        <v>3023</v>
      </c>
      <c r="AK187" s="668" t="s">
        <v>456</v>
      </c>
      <c r="AL187" s="354"/>
      <c r="AM187" s="331" t="s">
        <v>1889</v>
      </c>
    </row>
    <row r="188" spans="2:39" ht="15.5" customHeight="1">
      <c r="B188" s="492" t="s">
        <v>1414</v>
      </c>
      <c r="C188" s="558" t="s">
        <v>2140</v>
      </c>
      <c r="D188" s="481" t="s">
        <v>3000</v>
      </c>
      <c r="E188" s="481" t="s">
        <v>92</v>
      </c>
      <c r="F188" s="481" t="s">
        <v>3024</v>
      </c>
      <c r="G188" s="481" t="s">
        <v>2989</v>
      </c>
      <c r="H188" s="481" t="s">
        <v>2990</v>
      </c>
      <c r="I188" s="481" t="s">
        <v>2991</v>
      </c>
      <c r="J188" s="481" t="s">
        <v>2992</v>
      </c>
      <c r="K188" s="526" t="s">
        <v>2993</v>
      </c>
      <c r="L188" s="1315"/>
      <c r="M188" s="651">
        <v>75</v>
      </c>
      <c r="N188" s="2014" t="s">
        <v>3025</v>
      </c>
      <c r="O188" s="2014"/>
      <c r="P188" s="2014"/>
      <c r="Q188" s="2014"/>
      <c r="R188" s="2015"/>
      <c r="S188" s="375">
        <v>75</v>
      </c>
      <c r="T188" s="2014" t="s">
        <v>3026</v>
      </c>
      <c r="U188" s="2014"/>
      <c r="V188" s="2014"/>
      <c r="W188" s="2014"/>
      <c r="X188" s="2015"/>
      <c r="AE188" s="495"/>
      <c r="AF188" s="663" t="s">
        <v>3027</v>
      </c>
      <c r="AG188" s="497"/>
      <c r="AH188" s="497"/>
      <c r="AI188" s="481" t="s">
        <v>3028</v>
      </c>
      <c r="AJ188" s="497"/>
      <c r="AK188" s="668" t="s">
        <v>3029</v>
      </c>
      <c r="AL188" s="355"/>
      <c r="AM188" s="331" t="s">
        <v>1897</v>
      </c>
    </row>
    <row r="189" spans="2:39" ht="15.5" customHeight="1">
      <c r="B189" s="492" t="s">
        <v>3030</v>
      </c>
      <c r="C189" s="558" t="s">
        <v>2140</v>
      </c>
      <c r="D189" s="481" t="s">
        <v>3000</v>
      </c>
      <c r="E189" s="481" t="s">
        <v>92</v>
      </c>
      <c r="F189" s="481" t="s">
        <v>3031</v>
      </c>
      <c r="G189" s="481" t="s">
        <v>2989</v>
      </c>
      <c r="H189" s="481" t="s">
        <v>2990</v>
      </c>
      <c r="I189" s="481" t="s">
        <v>2991</v>
      </c>
      <c r="J189" s="481" t="s">
        <v>2992</v>
      </c>
      <c r="K189" s="526" t="s">
        <v>2993</v>
      </c>
      <c r="L189" s="1315"/>
      <c r="M189" s="651">
        <v>76</v>
      </c>
      <c r="N189" s="2014" t="s">
        <v>3032</v>
      </c>
      <c r="O189" s="2014"/>
      <c r="P189" s="2014"/>
      <c r="Q189" s="2014"/>
      <c r="R189" s="2015"/>
      <c r="S189" s="375">
        <v>76</v>
      </c>
      <c r="T189" s="2014" t="s">
        <v>3033</v>
      </c>
      <c r="U189" s="2014"/>
      <c r="V189" s="2014"/>
      <c r="W189" s="2014"/>
      <c r="X189" s="2015"/>
      <c r="AF189" s="481" t="s">
        <v>303</v>
      </c>
      <c r="AI189" s="481" t="s">
        <v>3034</v>
      </c>
      <c r="AK189" s="668" t="s">
        <v>3035</v>
      </c>
      <c r="AL189" s="331"/>
      <c r="AM189" s="331" t="s">
        <v>1906</v>
      </c>
    </row>
    <row r="190" spans="2:39" ht="15.5" customHeight="1">
      <c r="B190" s="492" t="s">
        <v>1416</v>
      </c>
      <c r="C190" s="558" t="s">
        <v>2140</v>
      </c>
      <c r="D190" s="481" t="s">
        <v>3000</v>
      </c>
      <c r="E190" s="481" t="s">
        <v>92</v>
      </c>
      <c r="F190" s="481" t="s">
        <v>3036</v>
      </c>
      <c r="G190" s="481" t="s">
        <v>2989</v>
      </c>
      <c r="H190" s="481" t="s">
        <v>2990</v>
      </c>
      <c r="I190" s="481" t="s">
        <v>2991</v>
      </c>
      <c r="J190" s="481" t="s">
        <v>2992</v>
      </c>
      <c r="K190" s="526" t="s">
        <v>2993</v>
      </c>
      <c r="L190" s="1315"/>
      <c r="M190" s="651">
        <v>77</v>
      </c>
      <c r="N190" s="2014" t="s">
        <v>3037</v>
      </c>
      <c r="O190" s="2014"/>
      <c r="P190" s="2014"/>
      <c r="Q190" s="2014"/>
      <c r="R190" s="2015"/>
      <c r="S190" s="375">
        <v>77</v>
      </c>
      <c r="T190" s="2014" t="s">
        <v>3038</v>
      </c>
      <c r="U190" s="2014"/>
      <c r="V190" s="2014"/>
      <c r="W190" s="2014"/>
      <c r="X190" s="2015"/>
      <c r="AI190" s="481" t="s">
        <v>3039</v>
      </c>
      <c r="AK190" s="668" t="s">
        <v>3040</v>
      </c>
      <c r="AL190" s="331"/>
      <c r="AM190" s="331" t="s">
        <v>1915</v>
      </c>
    </row>
    <row r="191" spans="2:39" ht="15.5" customHeight="1">
      <c r="B191" s="492" t="s">
        <v>3041</v>
      </c>
      <c r="C191" s="558" t="s">
        <v>2140</v>
      </c>
      <c r="D191" s="481" t="s">
        <v>3000</v>
      </c>
      <c r="E191" s="481" t="s">
        <v>92</v>
      </c>
      <c r="F191" s="481" t="s">
        <v>3042</v>
      </c>
      <c r="G191" s="481" t="s">
        <v>2989</v>
      </c>
      <c r="H191" s="481" t="s">
        <v>2990</v>
      </c>
      <c r="I191" s="481" t="s">
        <v>2991</v>
      </c>
      <c r="J191" s="481" t="s">
        <v>2992</v>
      </c>
      <c r="K191" s="526" t="s">
        <v>2993</v>
      </c>
      <c r="L191" s="1315"/>
      <c r="M191" s="651">
        <v>78</v>
      </c>
      <c r="N191" s="2014" t="s">
        <v>3043</v>
      </c>
      <c r="O191" s="2014"/>
      <c r="P191" s="2014"/>
      <c r="Q191" s="2014"/>
      <c r="R191" s="2015"/>
      <c r="S191" s="375">
        <v>78</v>
      </c>
      <c r="T191" s="2014" t="s">
        <v>3044</v>
      </c>
      <c r="U191" s="2014"/>
      <c r="V191" s="2014"/>
      <c r="W191" s="2014"/>
      <c r="X191" s="2015"/>
      <c r="AI191" s="481" t="s">
        <v>3045</v>
      </c>
      <c r="AK191" s="668" t="s">
        <v>3046</v>
      </c>
      <c r="AL191" s="331"/>
      <c r="AM191" s="331" t="s">
        <v>1924</v>
      </c>
    </row>
    <row r="192" spans="2:39" ht="15.5" customHeight="1">
      <c r="B192" s="492" t="s">
        <v>3047</v>
      </c>
      <c r="C192" s="558" t="s">
        <v>2140</v>
      </c>
      <c r="D192" s="481" t="s">
        <v>3000</v>
      </c>
      <c r="E192" s="481" t="s">
        <v>92</v>
      </c>
      <c r="F192" s="481" t="s">
        <v>3048</v>
      </c>
      <c r="G192" s="481" t="s">
        <v>2989</v>
      </c>
      <c r="H192" s="481" t="s">
        <v>2990</v>
      </c>
      <c r="I192" s="481" t="s">
        <v>2991</v>
      </c>
      <c r="J192" s="481" t="s">
        <v>2992</v>
      </c>
      <c r="K192" s="526" t="s">
        <v>2993</v>
      </c>
      <c r="L192" s="1315"/>
      <c r="M192" s="651">
        <v>79</v>
      </c>
      <c r="N192" s="2014" t="s">
        <v>3049</v>
      </c>
      <c r="O192" s="2014"/>
      <c r="P192" s="2014"/>
      <c r="Q192" s="2014"/>
      <c r="R192" s="2015"/>
      <c r="S192" s="375">
        <v>79</v>
      </c>
      <c r="T192" s="2014" t="s">
        <v>3050</v>
      </c>
      <c r="U192" s="2014"/>
      <c r="V192" s="2014"/>
      <c r="W192" s="2014"/>
      <c r="X192" s="2015"/>
      <c r="AI192" s="481" t="s">
        <v>3051</v>
      </c>
      <c r="AK192" s="668" t="s">
        <v>3052</v>
      </c>
      <c r="AM192" s="331" t="s">
        <v>1932</v>
      </c>
    </row>
    <row r="193" spans="2:39" ht="15.5" customHeight="1">
      <c r="B193" s="492" t="s">
        <v>3053</v>
      </c>
      <c r="C193" s="558" t="s">
        <v>2140</v>
      </c>
      <c r="D193" s="481" t="s">
        <v>3000</v>
      </c>
      <c r="E193" s="481" t="s">
        <v>92</v>
      </c>
      <c r="F193" s="481" t="s">
        <v>3054</v>
      </c>
      <c r="G193" s="481" t="s">
        <v>2989</v>
      </c>
      <c r="H193" s="481" t="s">
        <v>2990</v>
      </c>
      <c r="I193" s="481" t="s">
        <v>2991</v>
      </c>
      <c r="J193" s="481" t="s">
        <v>2992</v>
      </c>
      <c r="K193" s="526" t="s">
        <v>2993</v>
      </c>
      <c r="L193" s="1315"/>
      <c r="M193" s="651">
        <v>80</v>
      </c>
      <c r="N193" s="2014" t="s">
        <v>3055</v>
      </c>
      <c r="O193" s="2014"/>
      <c r="P193" s="2014"/>
      <c r="Q193" s="2014"/>
      <c r="R193" s="2015"/>
      <c r="S193" s="375">
        <v>80</v>
      </c>
      <c r="T193" s="2014" t="s">
        <v>3056</v>
      </c>
      <c r="U193" s="2014"/>
      <c r="V193" s="2014"/>
      <c r="W193" s="2014"/>
      <c r="X193" s="2015"/>
      <c r="AI193" s="481" t="s">
        <v>3057</v>
      </c>
      <c r="AK193" s="668" t="s">
        <v>3058</v>
      </c>
      <c r="AL193" s="331"/>
      <c r="AM193" s="331" t="s">
        <v>1940</v>
      </c>
    </row>
    <row r="194" spans="2:39" ht="15.5" customHeight="1">
      <c r="B194" s="492" t="s">
        <v>3059</v>
      </c>
      <c r="C194" s="558" t="s">
        <v>2140</v>
      </c>
      <c r="D194" s="481" t="s">
        <v>3000</v>
      </c>
      <c r="E194" s="481" t="s">
        <v>92</v>
      </c>
      <c r="F194" s="481" t="s">
        <v>3060</v>
      </c>
      <c r="G194" s="481" t="s">
        <v>2989</v>
      </c>
      <c r="H194" s="481" t="s">
        <v>2990</v>
      </c>
      <c r="I194" s="481" t="s">
        <v>2991</v>
      </c>
      <c r="J194" s="481" t="s">
        <v>2992</v>
      </c>
      <c r="K194" s="526" t="s">
        <v>2993</v>
      </c>
      <c r="L194" s="1315"/>
      <c r="M194" s="651">
        <v>81</v>
      </c>
      <c r="N194" s="2014" t="s">
        <v>3061</v>
      </c>
      <c r="O194" s="2014"/>
      <c r="P194" s="2014"/>
      <c r="Q194" s="2014"/>
      <c r="R194" s="2015"/>
      <c r="S194" s="375">
        <v>81</v>
      </c>
      <c r="T194" s="2014" t="s">
        <v>3062</v>
      </c>
      <c r="U194" s="2014"/>
      <c r="V194" s="2014"/>
      <c r="W194" s="2014"/>
      <c r="X194" s="2015"/>
      <c r="AK194" s="668" t="s">
        <v>3063</v>
      </c>
      <c r="AL194" s="331"/>
      <c r="AM194" s="331" t="s">
        <v>1949</v>
      </c>
    </row>
    <row r="195" spans="2:39" ht="15.5" customHeight="1">
      <c r="B195" s="492" t="s">
        <v>3064</v>
      </c>
      <c r="C195" s="558" t="s">
        <v>2140</v>
      </c>
      <c r="D195" s="481" t="s">
        <v>3000</v>
      </c>
      <c r="E195" s="481" t="s">
        <v>92</v>
      </c>
      <c r="F195" s="481" t="s">
        <v>3065</v>
      </c>
      <c r="G195" s="481" t="s">
        <v>2989</v>
      </c>
      <c r="H195" s="481" t="s">
        <v>2990</v>
      </c>
      <c r="I195" s="481" t="s">
        <v>2991</v>
      </c>
      <c r="J195" s="481" t="s">
        <v>2992</v>
      </c>
      <c r="K195" s="526" t="s">
        <v>2993</v>
      </c>
      <c r="L195" s="1315"/>
      <c r="M195" s="651">
        <v>82</v>
      </c>
      <c r="N195" s="2014" t="s">
        <v>3066</v>
      </c>
      <c r="O195" s="2014"/>
      <c r="P195" s="2014"/>
      <c r="Q195" s="2014"/>
      <c r="R195" s="2015"/>
      <c r="S195" s="375">
        <v>82</v>
      </c>
      <c r="T195" s="2014" t="s">
        <v>3067</v>
      </c>
      <c r="U195" s="2014"/>
      <c r="V195" s="2014"/>
      <c r="W195" s="2014"/>
      <c r="X195" s="2015"/>
      <c r="AI195" s="481" t="s">
        <v>3068</v>
      </c>
      <c r="AK195" s="668" t="s">
        <v>3069</v>
      </c>
      <c r="AL195" s="331"/>
      <c r="AM195" s="331" t="s">
        <v>1959</v>
      </c>
    </row>
    <row r="196" spans="2:39" ht="15.5" customHeight="1">
      <c r="B196" s="492" t="s">
        <v>3070</v>
      </c>
      <c r="C196" s="558" t="s">
        <v>2140</v>
      </c>
      <c r="D196" s="481" t="s">
        <v>3000</v>
      </c>
      <c r="E196" s="481" t="s">
        <v>92</v>
      </c>
      <c r="F196" s="481" t="s">
        <v>3071</v>
      </c>
      <c r="G196" s="481" t="s">
        <v>2989</v>
      </c>
      <c r="H196" s="481" t="s">
        <v>2990</v>
      </c>
      <c r="I196" s="481" t="s">
        <v>2991</v>
      </c>
      <c r="J196" s="481" t="s">
        <v>2992</v>
      </c>
      <c r="K196" s="526" t="s">
        <v>2993</v>
      </c>
      <c r="L196" s="1315"/>
      <c r="M196" s="651">
        <v>83</v>
      </c>
      <c r="N196" s="2014" t="s">
        <v>3072</v>
      </c>
      <c r="O196" s="2014"/>
      <c r="P196" s="2014"/>
      <c r="Q196" s="2014"/>
      <c r="R196" s="2015"/>
      <c r="S196" s="375">
        <v>83</v>
      </c>
      <c r="T196" s="2014" t="s">
        <v>3073</v>
      </c>
      <c r="U196" s="2014"/>
      <c r="V196" s="2014"/>
      <c r="W196" s="2014"/>
      <c r="X196" s="2015"/>
      <c r="AI196" s="481" t="s">
        <v>3074</v>
      </c>
      <c r="AK196" s="668" t="s">
        <v>3075</v>
      </c>
      <c r="AL196" s="331"/>
      <c r="AM196" s="331" t="s">
        <v>1968</v>
      </c>
    </row>
    <row r="197" spans="2:39" ht="15.5" customHeight="1">
      <c r="B197" s="492" t="s">
        <v>2179</v>
      </c>
      <c r="C197" s="558" t="s">
        <v>456</v>
      </c>
      <c r="D197" s="481" t="s">
        <v>456</v>
      </c>
      <c r="E197" s="481" t="s">
        <v>456</v>
      </c>
      <c r="F197" s="481" t="s">
        <v>456</v>
      </c>
      <c r="G197" s="481" t="s">
        <v>456</v>
      </c>
      <c r="H197" s="481" t="s">
        <v>456</v>
      </c>
      <c r="I197" s="481" t="s">
        <v>456</v>
      </c>
      <c r="J197" s="481" t="s">
        <v>456</v>
      </c>
      <c r="K197" s="526" t="s">
        <v>456</v>
      </c>
      <c r="L197" s="1315"/>
      <c r="M197" s="651">
        <v>84</v>
      </c>
      <c r="N197" s="2014" t="s">
        <v>3076</v>
      </c>
      <c r="O197" s="2014"/>
      <c r="P197" s="2014"/>
      <c r="Q197" s="2014"/>
      <c r="R197" s="2015"/>
      <c r="S197" s="375">
        <v>84</v>
      </c>
      <c r="T197" s="2014" t="s">
        <v>3077</v>
      </c>
      <c r="U197" s="2014"/>
      <c r="V197" s="2014"/>
      <c r="W197" s="2014"/>
      <c r="X197" s="2015"/>
      <c r="AI197" s="481" t="s">
        <v>3078</v>
      </c>
      <c r="AK197" s="668" t="s">
        <v>3079</v>
      </c>
      <c r="AL197" s="331"/>
      <c r="AM197" s="331" t="s">
        <v>1976</v>
      </c>
    </row>
    <row r="198" spans="2:39" ht="15.5" customHeight="1">
      <c r="B198" s="578" t="s">
        <v>120</v>
      </c>
      <c r="C198" s="558" t="s">
        <v>2561</v>
      </c>
      <c r="D198" s="481" t="s">
        <v>92</v>
      </c>
      <c r="E198" s="481" t="s">
        <v>3080</v>
      </c>
      <c r="F198" s="481" t="s">
        <v>3081</v>
      </c>
      <c r="G198" s="481" t="s">
        <v>3082</v>
      </c>
      <c r="H198" s="481" t="s">
        <v>3083</v>
      </c>
      <c r="I198" s="481" t="s">
        <v>3084</v>
      </c>
      <c r="J198" s="481" t="s">
        <v>3085</v>
      </c>
      <c r="K198" s="526" t="s">
        <v>3086</v>
      </c>
      <c r="L198" s="1315"/>
      <c r="M198" s="651">
        <v>85</v>
      </c>
      <c r="N198" s="2014" t="s">
        <v>3087</v>
      </c>
      <c r="O198" s="2014"/>
      <c r="P198" s="2014"/>
      <c r="Q198" s="2014"/>
      <c r="R198" s="2015"/>
      <c r="S198" s="375">
        <v>85</v>
      </c>
      <c r="T198" s="2014" t="s">
        <v>3088</v>
      </c>
      <c r="U198" s="2014"/>
      <c r="V198" s="2014"/>
      <c r="W198" s="2014"/>
      <c r="X198" s="2015"/>
      <c r="AI198" s="481" t="s">
        <v>3089</v>
      </c>
      <c r="AK198" s="668" t="s">
        <v>3090</v>
      </c>
      <c r="AL198" s="331"/>
      <c r="AM198" s="331" t="s">
        <v>1985</v>
      </c>
    </row>
    <row r="199" spans="2:39" ht="15.5" customHeight="1">
      <c r="B199" s="578" t="s">
        <v>122</v>
      </c>
      <c r="C199" s="558" t="s">
        <v>2631</v>
      </c>
      <c r="D199" s="481" t="s">
        <v>92</v>
      </c>
      <c r="E199" s="481" t="s">
        <v>3091</v>
      </c>
      <c r="F199" s="481" t="s">
        <v>3092</v>
      </c>
      <c r="G199" s="481" t="s">
        <v>3093</v>
      </c>
      <c r="H199" s="481" t="s">
        <v>3094</v>
      </c>
      <c r="I199" s="481" t="s">
        <v>3095</v>
      </c>
      <c r="J199" s="481" t="s">
        <v>3096</v>
      </c>
      <c r="K199" s="526" t="s">
        <v>3097</v>
      </c>
      <c r="L199" s="1315"/>
      <c r="M199" s="651">
        <v>86</v>
      </c>
      <c r="N199" s="2014" t="s">
        <v>3098</v>
      </c>
      <c r="O199" s="2014"/>
      <c r="P199" s="2014"/>
      <c r="Q199" s="2014"/>
      <c r="R199" s="2015"/>
      <c r="S199" s="375">
        <v>86</v>
      </c>
      <c r="T199" s="2014" t="s">
        <v>3099</v>
      </c>
      <c r="U199" s="2014"/>
      <c r="V199" s="2014"/>
      <c r="W199" s="2014"/>
      <c r="X199" s="2015"/>
      <c r="AI199" s="481" t="s">
        <v>3100</v>
      </c>
      <c r="AK199" s="668" t="s">
        <v>3101</v>
      </c>
      <c r="AM199" s="331" t="s">
        <v>1994</v>
      </c>
    </row>
    <row r="200" spans="2:39" ht="15.5" customHeight="1">
      <c r="B200" s="578" t="s">
        <v>126</v>
      </c>
      <c r="C200" s="558" t="s">
        <v>2468</v>
      </c>
      <c r="D200" s="481" t="s">
        <v>92</v>
      </c>
      <c r="E200" s="481" t="s">
        <v>3102</v>
      </c>
      <c r="F200" s="481" t="s">
        <v>3103</v>
      </c>
      <c r="G200" s="481" t="s">
        <v>3104</v>
      </c>
      <c r="H200" s="481" t="s">
        <v>3105</v>
      </c>
      <c r="I200" s="481" t="s">
        <v>3106</v>
      </c>
      <c r="J200" s="481" t="s">
        <v>3107</v>
      </c>
      <c r="K200" s="526" t="s">
        <v>3108</v>
      </c>
      <c r="L200" s="1315"/>
      <c r="M200" s="651">
        <v>87</v>
      </c>
      <c r="N200" s="2014" t="s">
        <v>3109</v>
      </c>
      <c r="O200" s="2014"/>
      <c r="P200" s="2014"/>
      <c r="Q200" s="2014"/>
      <c r="R200" s="2015"/>
      <c r="S200" s="375">
        <v>87</v>
      </c>
      <c r="T200" s="2014" t="s">
        <v>3110</v>
      </c>
      <c r="U200" s="2014"/>
      <c r="V200" s="2014"/>
      <c r="W200" s="2014"/>
      <c r="X200" s="2015"/>
      <c r="AI200" s="481" t="s">
        <v>3111</v>
      </c>
      <c r="AK200" s="668" t="s">
        <v>456</v>
      </c>
      <c r="AL200" s="331"/>
      <c r="AM200" s="331" t="s">
        <v>2003</v>
      </c>
    </row>
    <row r="201" spans="2:39" ht="15.5" customHeight="1">
      <c r="B201" s="578" t="s">
        <v>131</v>
      </c>
      <c r="C201" s="558" t="s">
        <v>2561</v>
      </c>
      <c r="D201" s="481" t="s">
        <v>2188</v>
      </c>
      <c r="E201" s="481" t="s">
        <v>3112</v>
      </c>
      <c r="F201" s="481" t="s">
        <v>3113</v>
      </c>
      <c r="G201" s="481" t="s">
        <v>3114</v>
      </c>
      <c r="H201" s="481" t="s">
        <v>3115</v>
      </c>
      <c r="I201" s="481" t="s">
        <v>3116</v>
      </c>
      <c r="J201" s="481" t="s">
        <v>3117</v>
      </c>
      <c r="K201" s="676" t="s">
        <v>3118</v>
      </c>
      <c r="L201" s="1315"/>
      <c r="M201" s="651">
        <v>88</v>
      </c>
      <c r="N201" s="2014" t="s">
        <v>3119</v>
      </c>
      <c r="O201" s="2014"/>
      <c r="P201" s="2014"/>
      <c r="Q201" s="2014"/>
      <c r="R201" s="2015"/>
      <c r="S201" s="375">
        <v>88</v>
      </c>
      <c r="T201" s="2014" t="s">
        <v>3120</v>
      </c>
      <c r="U201" s="2014"/>
      <c r="V201" s="2014"/>
      <c r="W201" s="2014"/>
      <c r="X201" s="2015"/>
      <c r="AI201" s="481" t="s">
        <v>3121</v>
      </c>
      <c r="AK201" s="668" t="s">
        <v>3122</v>
      </c>
      <c r="AL201" s="331"/>
      <c r="AM201" s="331" t="s">
        <v>2011</v>
      </c>
    </row>
    <row r="202" spans="2:39" ht="15.5" customHeight="1">
      <c r="B202" s="578" t="s">
        <v>134</v>
      </c>
      <c r="C202" s="558" t="s">
        <v>2468</v>
      </c>
      <c r="D202" s="481" t="s">
        <v>92</v>
      </c>
      <c r="E202" s="481" t="s">
        <v>3123</v>
      </c>
      <c r="F202" s="481" t="s">
        <v>3124</v>
      </c>
      <c r="G202" s="481" t="s">
        <v>3125</v>
      </c>
      <c r="H202" s="481" t="s">
        <v>3126</v>
      </c>
      <c r="I202" s="481" t="s">
        <v>3127</v>
      </c>
      <c r="J202" s="481" t="s">
        <v>3128</v>
      </c>
      <c r="K202" s="526" t="s">
        <v>3129</v>
      </c>
      <c r="L202" s="1315"/>
      <c r="M202" s="651">
        <v>89</v>
      </c>
      <c r="N202" s="2014" t="s">
        <v>3130</v>
      </c>
      <c r="O202" s="2014"/>
      <c r="P202" s="2014"/>
      <c r="Q202" s="2014"/>
      <c r="R202" s="2015"/>
      <c r="S202" s="375">
        <v>89</v>
      </c>
      <c r="T202" s="2014" t="s">
        <v>3131</v>
      </c>
      <c r="U202" s="2014"/>
      <c r="V202" s="2014"/>
      <c r="W202" s="2014"/>
      <c r="X202" s="2015"/>
      <c r="AI202" s="481" t="s">
        <v>3132</v>
      </c>
      <c r="AK202" s="668" t="s">
        <v>3133</v>
      </c>
      <c r="AL202" s="331"/>
      <c r="AM202" s="331" t="s">
        <v>2018</v>
      </c>
    </row>
    <row r="203" spans="2:39" ht="15.5" customHeight="1">
      <c r="B203" s="578" t="s">
        <v>137</v>
      </c>
      <c r="C203" s="558" t="s">
        <v>2468</v>
      </c>
      <c r="D203" s="481" t="s">
        <v>92</v>
      </c>
      <c r="E203" s="481" t="s">
        <v>3134</v>
      </c>
      <c r="F203" s="481" t="s">
        <v>3135</v>
      </c>
      <c r="G203" s="660" t="s">
        <v>3136</v>
      </c>
      <c r="H203" s="481" t="s">
        <v>3137</v>
      </c>
      <c r="I203" s="481" t="s">
        <v>3138</v>
      </c>
      <c r="J203" s="481" t="s">
        <v>3139</v>
      </c>
      <c r="K203" s="526" t="s">
        <v>3140</v>
      </c>
      <c r="L203" s="1315"/>
      <c r="M203" s="651">
        <v>90</v>
      </c>
      <c r="N203" s="2014" t="s">
        <v>3141</v>
      </c>
      <c r="O203" s="2014"/>
      <c r="P203" s="2014"/>
      <c r="Q203" s="2014"/>
      <c r="R203" s="2015"/>
      <c r="S203" s="375">
        <v>90</v>
      </c>
      <c r="T203" s="2014" t="s">
        <v>3142</v>
      </c>
      <c r="U203" s="2014"/>
      <c r="V203" s="2014"/>
      <c r="W203" s="2014"/>
      <c r="X203" s="2015"/>
      <c r="AI203" s="481" t="s">
        <v>3143</v>
      </c>
      <c r="AK203" s="668" t="s">
        <v>3144</v>
      </c>
      <c r="AL203" s="331"/>
      <c r="AM203" s="331" t="s">
        <v>2026</v>
      </c>
    </row>
    <row r="204" spans="2:39" ht="15.5" customHeight="1">
      <c r="B204" s="578" t="s">
        <v>139</v>
      </c>
      <c r="C204" s="558" t="s">
        <v>2561</v>
      </c>
      <c r="D204" s="481" t="s">
        <v>92</v>
      </c>
      <c r="E204" s="481" t="s">
        <v>3145</v>
      </c>
      <c r="F204" s="481" t="s">
        <v>3146</v>
      </c>
      <c r="G204" s="481" t="s">
        <v>3147</v>
      </c>
      <c r="H204" s="675" t="s">
        <v>3148</v>
      </c>
      <c r="I204" s="481" t="s">
        <v>3149</v>
      </c>
      <c r="J204" s="481" t="s">
        <v>3150</v>
      </c>
      <c r="K204" s="526" t="s">
        <v>3151</v>
      </c>
      <c r="L204" s="1315"/>
      <c r="M204" s="651">
        <v>91</v>
      </c>
      <c r="N204" s="2014" t="s">
        <v>3152</v>
      </c>
      <c r="O204" s="2014"/>
      <c r="P204" s="2014"/>
      <c r="Q204" s="2014"/>
      <c r="R204" s="2015"/>
      <c r="S204" s="375">
        <v>91</v>
      </c>
      <c r="T204" s="2014" t="s">
        <v>3153</v>
      </c>
      <c r="U204" s="2014"/>
      <c r="V204" s="2014"/>
      <c r="W204" s="2014"/>
      <c r="X204" s="2015"/>
      <c r="AI204" s="481" t="s">
        <v>3154</v>
      </c>
      <c r="AK204" s="668" t="s">
        <v>3155</v>
      </c>
      <c r="AM204" s="331" t="s">
        <v>2034</v>
      </c>
    </row>
    <row r="205" spans="2:39" ht="15.5" customHeight="1">
      <c r="B205" s="580" t="s">
        <v>3156</v>
      </c>
      <c r="C205" s="558" t="s">
        <v>2125</v>
      </c>
      <c r="D205" s="481" t="s">
        <v>3157</v>
      </c>
      <c r="E205" s="481" t="s">
        <v>92</v>
      </c>
      <c r="F205" s="481" t="s">
        <v>3158</v>
      </c>
      <c r="G205" s="481" t="s">
        <v>3159</v>
      </c>
      <c r="H205" s="481" t="s">
        <v>3160</v>
      </c>
      <c r="I205" s="481" t="s">
        <v>3161</v>
      </c>
      <c r="J205" s="451" t="s">
        <v>3162</v>
      </c>
      <c r="K205" s="526" t="s">
        <v>3163</v>
      </c>
      <c r="L205" s="1315"/>
      <c r="M205" s="651">
        <v>92</v>
      </c>
      <c r="N205" s="2014" t="s">
        <v>3164</v>
      </c>
      <c r="O205" s="2014"/>
      <c r="P205" s="2014"/>
      <c r="Q205" s="2014"/>
      <c r="R205" s="2015"/>
      <c r="S205" s="375">
        <v>92</v>
      </c>
      <c r="T205" s="2014" t="s">
        <v>3165</v>
      </c>
      <c r="U205" s="2014"/>
      <c r="V205" s="2014"/>
      <c r="W205" s="2014"/>
      <c r="X205" s="2015"/>
      <c r="AI205" s="481" t="s">
        <v>3166</v>
      </c>
      <c r="AK205" s="668" t="s">
        <v>3167</v>
      </c>
      <c r="AL205" s="331"/>
      <c r="AM205" s="331" t="s">
        <v>2040</v>
      </c>
    </row>
    <row r="206" spans="2:39" ht="15.5" customHeight="1">
      <c r="B206" s="580" t="s">
        <v>143</v>
      </c>
      <c r="C206" s="558" t="s">
        <v>2140</v>
      </c>
      <c r="D206" s="481" t="s">
        <v>3157</v>
      </c>
      <c r="E206" s="481" t="s">
        <v>92</v>
      </c>
      <c r="F206" s="481" t="s">
        <v>3168</v>
      </c>
      <c r="G206" s="481" t="s">
        <v>3169</v>
      </c>
      <c r="H206" s="481" t="s">
        <v>3170</v>
      </c>
      <c r="I206" s="481" t="s">
        <v>3171</v>
      </c>
      <c r="J206" s="481" t="s">
        <v>3172</v>
      </c>
      <c r="K206" s="526" t="s">
        <v>3173</v>
      </c>
      <c r="L206" s="1315"/>
      <c r="M206" s="651">
        <v>93</v>
      </c>
      <c r="N206" s="2014" t="s">
        <v>3174</v>
      </c>
      <c r="O206" s="2014"/>
      <c r="P206" s="2014"/>
      <c r="Q206" s="2014"/>
      <c r="R206" s="2015"/>
      <c r="S206" s="375">
        <v>93</v>
      </c>
      <c r="T206" s="2014" t="s">
        <v>3175</v>
      </c>
      <c r="U206" s="2014"/>
      <c r="V206" s="2014"/>
      <c r="W206" s="2014"/>
      <c r="X206" s="2015"/>
      <c r="AI206" s="481" t="s">
        <v>3176</v>
      </c>
      <c r="AK206" s="668" t="s">
        <v>3177</v>
      </c>
      <c r="AL206" s="331"/>
      <c r="AM206" s="331" t="s">
        <v>2046</v>
      </c>
    </row>
    <row r="207" spans="2:39" ht="15.5" customHeight="1">
      <c r="B207" s="580" t="s">
        <v>145</v>
      </c>
      <c r="C207" s="558" t="s">
        <v>2140</v>
      </c>
      <c r="D207" s="481" t="s">
        <v>3157</v>
      </c>
      <c r="E207" s="481" t="s">
        <v>92</v>
      </c>
      <c r="F207" s="481" t="s">
        <v>3178</v>
      </c>
      <c r="G207" s="481" t="s">
        <v>3179</v>
      </c>
      <c r="H207" s="660" t="s">
        <v>3180</v>
      </c>
      <c r="I207" s="481" t="s">
        <v>3181</v>
      </c>
      <c r="J207" s="481" t="s">
        <v>3182</v>
      </c>
      <c r="K207" s="526" t="s">
        <v>3183</v>
      </c>
      <c r="L207" s="1315"/>
      <c r="M207" s="651">
        <v>94</v>
      </c>
      <c r="N207" s="2014" t="s">
        <v>3184</v>
      </c>
      <c r="O207" s="2014"/>
      <c r="P207" s="2014"/>
      <c r="Q207" s="2014"/>
      <c r="R207" s="2015"/>
      <c r="S207" s="375">
        <v>94</v>
      </c>
      <c r="T207" s="2014" t="s">
        <v>3185</v>
      </c>
      <c r="U207" s="2014"/>
      <c r="V207" s="2014"/>
      <c r="W207" s="2014"/>
      <c r="X207" s="2015"/>
      <c r="AK207" s="668" t="s">
        <v>3186</v>
      </c>
      <c r="AL207" s="331"/>
      <c r="AM207" s="331" t="s">
        <v>2054</v>
      </c>
    </row>
    <row r="208" spans="2:39" ht="15.5" customHeight="1">
      <c r="B208" s="580" t="s">
        <v>148</v>
      </c>
      <c r="C208" s="558" t="s">
        <v>2140</v>
      </c>
      <c r="D208" s="481" t="s">
        <v>3157</v>
      </c>
      <c r="E208" s="481" t="s">
        <v>3187</v>
      </c>
      <c r="F208" s="481" t="s">
        <v>3188</v>
      </c>
      <c r="G208" s="481" t="s">
        <v>3189</v>
      </c>
      <c r="H208" s="481" t="s">
        <v>3190</v>
      </c>
      <c r="I208" s="481" t="s">
        <v>3191</v>
      </c>
      <c r="J208" s="481" t="s">
        <v>3192</v>
      </c>
      <c r="K208" s="526" t="s">
        <v>3193</v>
      </c>
      <c r="L208" s="1315"/>
      <c r="M208" s="651">
        <v>95</v>
      </c>
      <c r="N208" s="2014" t="s">
        <v>3194</v>
      </c>
      <c r="O208" s="2014"/>
      <c r="P208" s="2014"/>
      <c r="Q208" s="2014"/>
      <c r="R208" s="2015"/>
      <c r="S208" s="375">
        <v>95</v>
      </c>
      <c r="T208" s="2014" t="s">
        <v>3195</v>
      </c>
      <c r="U208" s="2014"/>
      <c r="V208" s="2014"/>
      <c r="W208" s="2014"/>
      <c r="X208" s="2015"/>
      <c r="AI208" s="481" t="s">
        <v>3196</v>
      </c>
      <c r="AK208" s="668" t="s">
        <v>3197</v>
      </c>
      <c r="AL208" s="331"/>
      <c r="AM208" s="331" t="s">
        <v>2063</v>
      </c>
    </row>
    <row r="209" spans="2:39" ht="15.5" customHeight="1">
      <c r="B209" s="580" t="s">
        <v>150</v>
      </c>
      <c r="C209" s="558" t="s">
        <v>2140</v>
      </c>
      <c r="D209" s="481" t="s">
        <v>3157</v>
      </c>
      <c r="E209" s="481" t="s">
        <v>3198</v>
      </c>
      <c r="F209" s="481" t="s">
        <v>3199</v>
      </c>
      <c r="G209" s="481" t="s">
        <v>92</v>
      </c>
      <c r="H209" s="481" t="s">
        <v>92</v>
      </c>
      <c r="I209" s="481" t="s">
        <v>3200</v>
      </c>
      <c r="J209" s="481" t="s">
        <v>3201</v>
      </c>
      <c r="K209" s="526" t="s">
        <v>3202</v>
      </c>
      <c r="L209" s="1315"/>
      <c r="M209" s="651">
        <v>96</v>
      </c>
      <c r="N209" s="2014" t="s">
        <v>3203</v>
      </c>
      <c r="O209" s="2014"/>
      <c r="P209" s="2014"/>
      <c r="Q209" s="2014"/>
      <c r="R209" s="2015"/>
      <c r="S209" s="375">
        <v>96</v>
      </c>
      <c r="T209" s="2014" t="s">
        <v>3204</v>
      </c>
      <c r="U209" s="2014"/>
      <c r="V209" s="2014"/>
      <c r="W209" s="2014"/>
      <c r="X209" s="2015"/>
      <c r="AI209" s="481" t="s">
        <v>3205</v>
      </c>
      <c r="AK209" s="668" t="s">
        <v>3206</v>
      </c>
      <c r="AL209" s="331"/>
      <c r="AM209" s="331" t="s">
        <v>2071</v>
      </c>
    </row>
    <row r="210" spans="2:39" ht="15.5" customHeight="1">
      <c r="B210" s="580" t="s">
        <v>152</v>
      </c>
      <c r="C210" s="558" t="s">
        <v>2140</v>
      </c>
      <c r="D210" s="481" t="s">
        <v>3207</v>
      </c>
      <c r="E210" s="481" t="s">
        <v>92</v>
      </c>
      <c r="F210" s="481" t="s">
        <v>3208</v>
      </c>
      <c r="G210" s="481" t="s">
        <v>3209</v>
      </c>
      <c r="H210" s="481" t="s">
        <v>3210</v>
      </c>
      <c r="I210" s="481" t="s">
        <v>2600</v>
      </c>
      <c r="J210" s="481" t="s">
        <v>92</v>
      </c>
      <c r="K210" s="526" t="s">
        <v>92</v>
      </c>
      <c r="L210" s="1315"/>
      <c r="M210" s="651">
        <v>97</v>
      </c>
      <c r="N210" s="2014" t="s">
        <v>3211</v>
      </c>
      <c r="O210" s="2014"/>
      <c r="P210" s="2014"/>
      <c r="Q210" s="2014"/>
      <c r="R210" s="2015"/>
      <c r="S210" s="375">
        <v>97</v>
      </c>
      <c r="T210" s="2014" t="s">
        <v>3212</v>
      </c>
      <c r="U210" s="2014"/>
      <c r="V210" s="2014"/>
      <c r="W210" s="2014"/>
      <c r="X210" s="2015"/>
      <c r="AI210" s="481" t="s">
        <v>3213</v>
      </c>
      <c r="AK210" s="668" t="s">
        <v>456</v>
      </c>
      <c r="AL210" s="331"/>
      <c r="AM210" s="331" t="s">
        <v>2079</v>
      </c>
    </row>
    <row r="211" spans="2:39" ht="15.5" customHeight="1">
      <c r="B211" s="580" t="s">
        <v>154</v>
      </c>
      <c r="C211" s="558" t="s">
        <v>2140</v>
      </c>
      <c r="D211" s="481" t="s">
        <v>3214</v>
      </c>
      <c r="E211" s="481" t="s">
        <v>92</v>
      </c>
      <c r="F211" s="332" t="s">
        <v>3215</v>
      </c>
      <c r="G211" s="481" t="s">
        <v>92</v>
      </c>
      <c r="H211" s="481" t="s">
        <v>92</v>
      </c>
      <c r="I211" s="481" t="s">
        <v>92</v>
      </c>
      <c r="J211" s="481" t="s">
        <v>92</v>
      </c>
      <c r="K211" s="526" t="s">
        <v>92</v>
      </c>
      <c r="L211" s="1315"/>
      <c r="M211" s="651">
        <v>98</v>
      </c>
      <c r="N211" s="2014" t="s">
        <v>3216</v>
      </c>
      <c r="O211" s="2014"/>
      <c r="P211" s="2014"/>
      <c r="Q211" s="2014"/>
      <c r="R211" s="2015"/>
      <c r="S211" s="375">
        <v>98</v>
      </c>
      <c r="T211" s="2014" t="s">
        <v>3217</v>
      </c>
      <c r="U211" s="2014"/>
      <c r="V211" s="2014"/>
      <c r="W211" s="2014"/>
      <c r="X211" s="2015"/>
      <c r="AI211" s="481" t="s">
        <v>3218</v>
      </c>
      <c r="AK211" s="668" t="s">
        <v>3219</v>
      </c>
      <c r="AL211" s="331"/>
      <c r="AM211" s="331" t="s">
        <v>2087</v>
      </c>
    </row>
    <row r="212" spans="2:39" ht="15.5" customHeight="1">
      <c r="B212" s="495">
        <f>人物卡!AU26</f>
        <v>0</v>
      </c>
      <c r="C212" s="674">
        <f>人物卡!BA26</f>
        <v>0</v>
      </c>
      <c r="D212" s="497" t="s">
        <v>156</v>
      </c>
      <c r="E212" s="497" t="s">
        <v>456</v>
      </c>
      <c r="F212" s="497" t="str">
        <f>IF(ISBLANK(人物卡!BA29),"",人物卡!BA29)</f>
        <v>基础值</v>
      </c>
      <c r="G212" s="497" t="s">
        <v>456</v>
      </c>
      <c r="H212" s="497" t="s">
        <v>456</v>
      </c>
      <c r="I212" s="497" t="s">
        <v>456</v>
      </c>
      <c r="J212" s="497" t="s">
        <v>456</v>
      </c>
      <c r="K212" s="527" t="s">
        <v>456</v>
      </c>
      <c r="L212" s="1315"/>
      <c r="M212" s="651">
        <v>99</v>
      </c>
      <c r="N212" s="2014" t="s">
        <v>3220</v>
      </c>
      <c r="O212" s="2014"/>
      <c r="P212" s="2014"/>
      <c r="Q212" s="2014"/>
      <c r="R212" s="2015"/>
      <c r="S212" s="375">
        <v>99</v>
      </c>
      <c r="T212" s="2014" t="s">
        <v>3221</v>
      </c>
      <c r="U212" s="2014"/>
      <c r="V212" s="2014"/>
      <c r="W212" s="2014"/>
      <c r="X212" s="2015"/>
      <c r="AI212" s="481" t="s">
        <v>303</v>
      </c>
      <c r="AK212" s="668" t="s">
        <v>3222</v>
      </c>
      <c r="AL212" s="331"/>
      <c r="AM212" s="331" t="s">
        <v>2095</v>
      </c>
    </row>
    <row r="213" spans="2:39" ht="15.5" customHeight="1">
      <c r="B213" s="332" t="s">
        <v>3223</v>
      </c>
      <c r="C213" s="481">
        <v>0</v>
      </c>
      <c r="D213" s="481">
        <v>0</v>
      </c>
      <c r="E213" s="481">
        <v>0</v>
      </c>
      <c r="F213" s="481">
        <v>0</v>
      </c>
      <c r="G213" s="481">
        <v>0</v>
      </c>
      <c r="H213" s="481">
        <v>0</v>
      </c>
      <c r="I213" s="481">
        <v>0</v>
      </c>
      <c r="J213" s="481">
        <v>0</v>
      </c>
      <c r="K213" s="481">
        <v>0</v>
      </c>
      <c r="L213" s="1315"/>
      <c r="M213" s="651">
        <v>100</v>
      </c>
      <c r="N213" s="2014" t="s">
        <v>3224</v>
      </c>
      <c r="O213" s="2014"/>
      <c r="P213" s="2014"/>
      <c r="Q213" s="2014"/>
      <c r="R213" s="2015"/>
      <c r="S213" s="375">
        <v>100</v>
      </c>
      <c r="T213" s="2014" t="s">
        <v>3225</v>
      </c>
      <c r="U213" s="2014"/>
      <c r="V213" s="2014"/>
      <c r="W213" s="2014"/>
      <c r="X213" s="2015"/>
      <c r="AK213" s="668" t="s">
        <v>3226</v>
      </c>
      <c r="AL213" s="331"/>
    </row>
    <row r="214" spans="2:39" ht="15.5" customHeight="1">
      <c r="L214" s="1315"/>
      <c r="M214" s="651"/>
      <c r="N214" s="2014" t="s">
        <v>3227</v>
      </c>
      <c r="O214" s="2014"/>
      <c r="P214" s="2014"/>
      <c r="Q214" s="2014"/>
      <c r="R214" s="2015"/>
      <c r="S214" s="328"/>
      <c r="T214" s="2016"/>
      <c r="U214" s="2016"/>
      <c r="V214" s="2016"/>
      <c r="W214" s="2016"/>
      <c r="X214" s="2017"/>
      <c r="AK214" s="668" t="s">
        <v>3228</v>
      </c>
      <c r="AL214" s="331"/>
    </row>
    <row r="215" spans="2:39" ht="15.5" customHeight="1">
      <c r="M215" s="677"/>
      <c r="N215" s="2042" t="s">
        <v>3229</v>
      </c>
      <c r="O215" s="2042"/>
      <c r="P215" s="2042"/>
      <c r="Q215" s="2042"/>
      <c r="R215" s="2043"/>
      <c r="S215" s="687"/>
      <c r="T215" s="2044"/>
      <c r="U215" s="2044"/>
      <c r="V215" s="2044"/>
      <c r="W215" s="2044"/>
      <c r="X215" s="2045"/>
      <c r="AK215" s="668" t="s">
        <v>3230</v>
      </c>
      <c r="AL215" s="331"/>
    </row>
    <row r="216" spans="2:39" ht="30">
      <c r="AK216" s="668" t="s">
        <v>3231</v>
      </c>
    </row>
    <row r="217" spans="2:39" ht="17">
      <c r="M217" s="2046" t="s">
        <v>2187</v>
      </c>
      <c r="N217" s="2047"/>
      <c r="O217" s="2046" t="s">
        <v>2987</v>
      </c>
      <c r="P217" s="2047"/>
      <c r="Q217" s="2046" t="s">
        <v>2677</v>
      </c>
      <c r="R217" s="2070"/>
      <c r="S217" s="1105" t="s">
        <v>365</v>
      </c>
      <c r="T217" s="2070"/>
      <c r="U217" s="1103" t="s">
        <v>159</v>
      </c>
      <c r="V217" s="2071"/>
      <c r="AK217" s="668" t="s">
        <v>3232</v>
      </c>
      <c r="AL217" s="331"/>
    </row>
    <row r="218" spans="2:39" ht="30">
      <c r="M218" s="678" t="s">
        <v>311</v>
      </c>
      <c r="N218" s="457" t="s">
        <v>89</v>
      </c>
      <c r="O218" s="678" t="s">
        <v>311</v>
      </c>
      <c r="P218" s="457" t="s">
        <v>89</v>
      </c>
      <c r="Q218" s="678" t="s">
        <v>311</v>
      </c>
      <c r="R218" s="17" t="s">
        <v>89</v>
      </c>
      <c r="S218" s="457" t="s">
        <v>311</v>
      </c>
      <c r="T218" s="17" t="s">
        <v>89</v>
      </c>
      <c r="U218" s="16" t="s">
        <v>311</v>
      </c>
      <c r="V218" s="17" t="s">
        <v>89</v>
      </c>
      <c r="AK218" s="668" t="s">
        <v>3233</v>
      </c>
      <c r="AL218" s="331"/>
    </row>
    <row r="219" spans="2:39" ht="19" customHeight="1">
      <c r="M219" s="679" t="s">
        <v>1363</v>
      </c>
      <c r="N219" s="15">
        <v>5</v>
      </c>
      <c r="O219" s="679" t="s">
        <v>2999</v>
      </c>
      <c r="P219" s="15">
        <v>1</v>
      </c>
      <c r="Q219" s="680" t="s">
        <v>133</v>
      </c>
      <c r="R219" s="682">
        <v>20</v>
      </c>
      <c r="S219" s="688" t="s">
        <v>3234</v>
      </c>
      <c r="T219" s="682">
        <v>1</v>
      </c>
      <c r="U219" s="26" t="s">
        <v>119</v>
      </c>
      <c r="V219" s="469">
        <v>25</v>
      </c>
      <c r="Z219" s="1743" t="s">
        <v>3235</v>
      </c>
      <c r="AA219" s="1791"/>
      <c r="AB219" s="1791"/>
      <c r="AC219" s="1791"/>
      <c r="AD219" s="1791"/>
      <c r="AE219" s="1791"/>
      <c r="AF219" s="1791"/>
      <c r="AG219" s="1791"/>
      <c r="AH219" s="1791"/>
      <c r="AK219" s="668" t="s">
        <v>3236</v>
      </c>
      <c r="AL219" s="331"/>
    </row>
    <row r="220" spans="2:39" ht="18" customHeight="1">
      <c r="M220" s="680" t="s">
        <v>2210</v>
      </c>
      <c r="N220" s="681">
        <v>5</v>
      </c>
      <c r="O220" s="680" t="s">
        <v>1411</v>
      </c>
      <c r="P220" s="681">
        <v>1</v>
      </c>
      <c r="Q220" s="679" t="s">
        <v>374</v>
      </c>
      <c r="R220" s="469">
        <v>25</v>
      </c>
      <c r="S220" s="689" t="s">
        <v>1404</v>
      </c>
      <c r="T220" s="690">
        <v>1</v>
      </c>
      <c r="U220" s="26" t="s">
        <v>2608</v>
      </c>
      <c r="V220" s="469">
        <v>5</v>
      </c>
      <c r="Z220" s="499"/>
      <c r="AA220" s="500"/>
      <c r="AJ220" s="711"/>
      <c r="AK220" s="668" t="s">
        <v>456</v>
      </c>
      <c r="AL220" s="331"/>
    </row>
    <row r="221" spans="2:39" ht="18" customHeight="1">
      <c r="M221" s="679" t="s">
        <v>1368</v>
      </c>
      <c r="N221" s="15">
        <v>5</v>
      </c>
      <c r="O221" s="679" t="s">
        <v>3013</v>
      </c>
      <c r="P221" s="15">
        <v>1</v>
      </c>
      <c r="Q221" s="680" t="s">
        <v>2697</v>
      </c>
      <c r="R221" s="682">
        <v>15</v>
      </c>
      <c r="S221" s="691" t="str">
        <f>IF(ISBLANK(人物卡!AU26),"",人物卡!AU26)</f>
        <v/>
      </c>
      <c r="T221" s="690" t="str">
        <f>IF(ISBLANK(人物卡!BA26),"",人物卡!BA26)</f>
        <v/>
      </c>
      <c r="U221" s="693" t="s">
        <v>2619</v>
      </c>
      <c r="V221" s="682">
        <v>10</v>
      </c>
      <c r="Z221" s="1989" t="s">
        <v>3237</v>
      </c>
      <c r="AA221" s="1990"/>
      <c r="AB221" s="2048"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AC221" s="2049"/>
      <c r="AD221" s="522" t="s">
        <v>3238</v>
      </c>
      <c r="AE221" s="2018" t="s">
        <v>3239</v>
      </c>
      <c r="AF221" s="2072"/>
      <c r="AG221" s="2073"/>
      <c r="AK221" s="668" t="s">
        <v>3240</v>
      </c>
      <c r="AL221" s="331"/>
    </row>
    <row r="222" spans="2:39" ht="18" customHeight="1">
      <c r="M222" s="680" t="s">
        <v>1367</v>
      </c>
      <c r="N222" s="681">
        <v>5</v>
      </c>
      <c r="O222" s="680" t="s">
        <v>1409</v>
      </c>
      <c r="P222" s="681">
        <v>1</v>
      </c>
      <c r="Q222" s="679" t="s">
        <v>1395</v>
      </c>
      <c r="R222" s="469">
        <v>15</v>
      </c>
      <c r="T222" s="15"/>
      <c r="U222" s="26" t="s">
        <v>2653</v>
      </c>
      <c r="V222" s="469">
        <v>10</v>
      </c>
      <c r="Z222" s="2029" t="s">
        <v>94</v>
      </c>
      <c r="AA222" s="2030"/>
      <c r="AB222" s="1999"/>
      <c r="AC222" s="2050"/>
      <c r="AD222" s="526">
        <f>人物卡!R26</f>
        <v>50</v>
      </c>
      <c r="AE222" s="702"/>
      <c r="AF222" s="702" t="s">
        <v>12</v>
      </c>
      <c r="AG222" s="712" t="s">
        <v>3241</v>
      </c>
      <c r="AK222" s="668" t="s">
        <v>3242</v>
      </c>
      <c r="AL222" s="331"/>
    </row>
    <row r="223" spans="2:39" ht="18" customHeight="1">
      <c r="M223" s="679" t="s">
        <v>1379</v>
      </c>
      <c r="N223" s="15">
        <v>5</v>
      </c>
      <c r="O223" s="679" t="s">
        <v>1414</v>
      </c>
      <c r="P223" s="15">
        <v>1</v>
      </c>
      <c r="Q223" s="680" t="s">
        <v>2716</v>
      </c>
      <c r="R223" s="682">
        <v>10</v>
      </c>
      <c r="T223" s="15"/>
      <c r="U223" s="693" t="s">
        <v>2647</v>
      </c>
      <c r="V223" s="682">
        <v>15</v>
      </c>
      <c r="Z223" s="2031" t="str">
        <f>AD222&amp;"%/"&amp;AD223&amp;"%/"&amp;AD224&amp;"%"</f>
        <v>50%/25%/10%</v>
      </c>
      <c r="AA223" s="2032"/>
      <c r="AB223" s="1999"/>
      <c r="AC223" s="2050"/>
      <c r="AD223" s="526">
        <f>人物卡!T26</f>
        <v>25</v>
      </c>
      <c r="AE223" s="696" t="s">
        <v>176</v>
      </c>
      <c r="AF223" s="617" t="str">
        <f>VLOOKUP(AF226,Z243:AC263,2,FALSE)</f>
        <v>50</v>
      </c>
      <c r="AG223" s="648" t="str">
        <f>VLOOKUP(AF226,AE243:AH263,2,FALSE)</f>
        <v>50</v>
      </c>
      <c r="AK223" s="668" t="s">
        <v>3243</v>
      </c>
      <c r="AL223" s="331"/>
    </row>
    <row r="224" spans="2:39" ht="18" customHeight="1">
      <c r="M224" s="680" t="s">
        <v>1374</v>
      </c>
      <c r="N224" s="681">
        <v>5</v>
      </c>
      <c r="O224" s="680" t="s">
        <v>3030</v>
      </c>
      <c r="P224" s="681">
        <v>1</v>
      </c>
      <c r="Q224" s="679" t="s">
        <v>2728</v>
      </c>
      <c r="R224" s="469">
        <v>10</v>
      </c>
      <c r="T224" s="15"/>
      <c r="U224" s="693" t="s">
        <v>2630</v>
      </c>
      <c r="V224" s="682">
        <v>15</v>
      </c>
      <c r="Z224" s="1776" t="s">
        <v>175</v>
      </c>
      <c r="AA224" s="2033"/>
      <c r="AB224" s="1999"/>
      <c r="AC224" s="2050"/>
      <c r="AD224" s="527">
        <f>人物卡!V26</f>
        <v>10</v>
      </c>
      <c r="AE224" s="696" t="s">
        <v>3244</v>
      </c>
      <c r="AF224" s="481">
        <f>VLOOKUP(AF226,Z243:AC263,3,FALSE)</f>
        <v>250</v>
      </c>
      <c r="AG224" s="526">
        <f>VLOOKUP(AF226,AE243:AH263,3,FALSE)</f>
        <v>250</v>
      </c>
      <c r="AK224" s="668" t="s">
        <v>3245</v>
      </c>
    </row>
    <row r="225" spans="13:37" ht="18" customHeight="1">
      <c r="M225" s="679" t="s">
        <v>2247</v>
      </c>
      <c r="N225" s="15">
        <v>5</v>
      </c>
      <c r="O225" s="679" t="s">
        <v>1416</v>
      </c>
      <c r="P225" s="15">
        <v>1</v>
      </c>
      <c r="Q225" s="683" t="s">
        <v>2741</v>
      </c>
      <c r="R225" s="684">
        <v>10</v>
      </c>
      <c r="T225" s="15"/>
      <c r="U225" s="26" t="s">
        <v>1393</v>
      </c>
      <c r="V225" s="469">
        <v>20</v>
      </c>
      <c r="Z225" s="1741" t="str">
        <f>LOOKUP(AD222,{0,1,10,50,90,99},{"身无分文","贫穷","标准","小康","富裕","富豪"})</f>
        <v>小康</v>
      </c>
      <c r="AA225" s="2034"/>
      <c r="AB225" s="1999"/>
      <c r="AC225" s="2050"/>
      <c r="AE225" s="703" t="s">
        <v>177</v>
      </c>
      <c r="AF225" s="497">
        <f>VLOOKUP(AF226,Z243:AC263,4,FALSE)</f>
        <v>25000</v>
      </c>
      <c r="AG225" s="527">
        <f>VLOOKUP(AF226,AE243:AH263,4,FALSE)</f>
        <v>25000</v>
      </c>
      <c r="AK225" s="668" t="s">
        <v>3246</v>
      </c>
    </row>
    <row r="226" spans="13:37" ht="18" customHeight="1">
      <c r="M226" s="680" t="s">
        <v>1377</v>
      </c>
      <c r="N226" s="681">
        <v>5</v>
      </c>
      <c r="O226" s="680" t="s">
        <v>3041</v>
      </c>
      <c r="P226" s="681">
        <v>1</v>
      </c>
      <c r="Q226" s="683" t="str">
        <f>IF(ISBLANK(人物卡!AU26),"",人物卡!AU26)</f>
        <v/>
      </c>
      <c r="R226" s="684" t="str">
        <f>IF(ISBLANK(人物卡!BA26),"",人物卡!BA26)</f>
        <v/>
      </c>
      <c r="T226" s="15"/>
      <c r="U226" s="694" t="s">
        <v>1392</v>
      </c>
      <c r="V226" s="695">
        <v>20</v>
      </c>
      <c r="Z226" s="2035" t="s">
        <v>176</v>
      </c>
      <c r="AA226" s="2036"/>
      <c r="AB226" s="1999"/>
      <c r="AC226" s="2050"/>
      <c r="AE226" s="704" t="s">
        <v>3247</v>
      </c>
      <c r="AF226" s="607" t="str">
        <f>人物卡!S62</f>
        <v>美元</v>
      </c>
      <c r="AK226" s="668" t="s">
        <v>3248</v>
      </c>
    </row>
    <row r="227" spans="13:37" ht="18" customHeight="1">
      <c r="M227" s="679" t="s">
        <v>2264</v>
      </c>
      <c r="N227" s="15">
        <v>5</v>
      </c>
      <c r="O227" s="679" t="s">
        <v>3047</v>
      </c>
      <c r="P227" s="469">
        <v>1</v>
      </c>
      <c r="Q227" s="15"/>
      <c r="T227" s="15"/>
      <c r="U227" s="27" t="str">
        <f>IF(ISBLANK(人物卡!AU26),"",人物卡!AU26)</f>
        <v/>
      </c>
      <c r="V227" s="684" t="str">
        <f>IF(ISBLANK(人物卡!BA26),"",人物卡!BA26)</f>
        <v/>
      </c>
      <c r="Z227" s="203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50</v>
      </c>
      <c r="AA227" s="2038"/>
      <c r="AB227" s="1999"/>
      <c r="AC227" s="2050"/>
      <c r="AE227" s="705" t="s">
        <v>3249</v>
      </c>
      <c r="AF227" s="525" t="str">
        <f>人物卡!M4</f>
        <v>1920s</v>
      </c>
      <c r="AK227" s="668" t="s">
        <v>456</v>
      </c>
    </row>
    <row r="228" spans="13:37" ht="18" customHeight="1">
      <c r="M228" s="680" t="s">
        <v>2273</v>
      </c>
      <c r="N228" s="681">
        <v>5</v>
      </c>
      <c r="O228" s="680" t="s">
        <v>3053</v>
      </c>
      <c r="P228" s="682">
        <v>1</v>
      </c>
      <c r="Q228" s="15"/>
      <c r="T228" s="15"/>
      <c r="U228" s="1"/>
      <c r="V228" s="1"/>
      <c r="Z228" s="2039" t="s">
        <v>177</v>
      </c>
      <c r="AA228" s="2040"/>
      <c r="AB228" s="1999"/>
      <c r="AC228" s="2050"/>
      <c r="AE228" s="2018" t="s">
        <v>3250</v>
      </c>
      <c r="AF228" s="2019"/>
      <c r="AG228" s="2020"/>
      <c r="AK228" s="668" t="s">
        <v>3251</v>
      </c>
    </row>
    <row r="229" spans="13:37" ht="18" customHeight="1">
      <c r="M229" s="679" t="s">
        <v>2280</v>
      </c>
      <c r="N229" s="15">
        <v>5</v>
      </c>
      <c r="O229" s="679" t="s">
        <v>3059</v>
      </c>
      <c r="P229" s="469">
        <v>1</v>
      </c>
      <c r="Q229" s="15"/>
      <c r="T229" s="15"/>
      <c r="U229" s="1"/>
      <c r="V229" s="1"/>
      <c r="Z229" s="1741">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25000</v>
      </c>
      <c r="AA229" s="2041"/>
      <c r="AB229" s="1999"/>
      <c r="AC229" s="2050"/>
      <c r="AE229" s="341" t="s">
        <v>176</v>
      </c>
      <c r="AF229" s="342" t="s">
        <v>3244</v>
      </c>
      <c r="AG229" s="352" t="s">
        <v>177</v>
      </c>
      <c r="AK229" s="668" t="s">
        <v>3252</v>
      </c>
    </row>
    <row r="230" spans="13:37" ht="18" customHeight="1">
      <c r="M230" s="680" t="s">
        <v>1383</v>
      </c>
      <c r="N230" s="681">
        <v>5</v>
      </c>
      <c r="O230" s="680" t="s">
        <v>3064</v>
      </c>
      <c r="P230" s="682">
        <v>1</v>
      </c>
      <c r="Q230" s="15"/>
      <c r="T230" s="15"/>
      <c r="U230" s="1"/>
      <c r="V230" s="1"/>
      <c r="Z230" s="2029" t="s">
        <v>178</v>
      </c>
      <c r="AA230" s="2040"/>
      <c r="AB230" s="1999"/>
      <c r="AC230" s="2050"/>
      <c r="AE230" s="706" t="str">
        <f>IF(AF227="1920s",AG223,IF(AF227="现代",AF223,IF(AF227="其他","——")))</f>
        <v>50</v>
      </c>
      <c r="AF230" s="707">
        <f>IF(AF227="1920s",AG224,IF(AF227="现代",AF224,IF(AF227="其他","——")))</f>
        <v>250</v>
      </c>
      <c r="AG230" s="713">
        <f>IF(AF227="1920s",AG225,IF(AF227="现代",AF225,IF(AF227="其他","——")))</f>
        <v>25000</v>
      </c>
      <c r="AK230" s="668" t="s">
        <v>3253</v>
      </c>
    </row>
    <row r="231" spans="13:37" ht="18" customHeight="1">
      <c r="M231" s="679" t="s">
        <v>2299</v>
      </c>
      <c r="N231" s="15">
        <v>5</v>
      </c>
      <c r="O231" s="683" t="s">
        <v>3070</v>
      </c>
      <c r="P231" s="684">
        <v>1</v>
      </c>
      <c r="Q231" s="15"/>
      <c r="T231" s="15"/>
      <c r="U231" s="1"/>
      <c r="V231" s="1"/>
      <c r="Z231" s="2068">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250</v>
      </c>
      <c r="AA231" s="2069"/>
      <c r="AB231" s="2051"/>
      <c r="AC231" s="2052"/>
      <c r="AE231" s="698">
        <f>ABS(AE230)</f>
        <v>50</v>
      </c>
      <c r="AF231" s="698">
        <f>ABS(AF230)</f>
        <v>250</v>
      </c>
      <c r="AG231" s="698">
        <f>IF(AG230="没有",0,ABS(AG230))</f>
        <v>25000</v>
      </c>
      <c r="AK231" s="668" t="s">
        <v>3254</v>
      </c>
    </row>
    <row r="232" spans="13:37" ht="18" customHeight="1">
      <c r="M232" s="680" t="s">
        <v>2311</v>
      </c>
      <c r="N232" s="681">
        <v>5</v>
      </c>
      <c r="O232" s="683" t="str">
        <f>IF(ISBLANK(人物卡!AU26),"",人物卡!AU26)</f>
        <v/>
      </c>
      <c r="P232" s="684" t="str">
        <f>IF(ISBLANK(人物卡!BA26),"",人物卡!BA26)</f>
        <v/>
      </c>
      <c r="Q232" s="15"/>
      <c r="T232" s="15"/>
      <c r="U232" s="1"/>
      <c r="V232" s="1"/>
      <c r="AE232" s="2018" t="s">
        <v>3255</v>
      </c>
      <c r="AF232" s="2019"/>
      <c r="AG232" s="2020"/>
      <c r="AK232" s="668" t="s">
        <v>3256</v>
      </c>
    </row>
    <row r="233" spans="13:37" ht="18" customHeight="1">
      <c r="M233" s="679" t="s">
        <v>1376</v>
      </c>
      <c r="N233" s="469">
        <v>5</v>
      </c>
      <c r="Q233" s="15"/>
      <c r="T233" s="15"/>
      <c r="Z233" s="2018" t="s">
        <v>3257</v>
      </c>
      <c r="AA233" s="2019"/>
      <c r="AB233" s="2019"/>
      <c r="AC233" s="2020"/>
      <c r="AE233" s="341" t="s">
        <v>176</v>
      </c>
      <c r="AF233" s="342" t="s">
        <v>3244</v>
      </c>
      <c r="AG233" s="352" t="s">
        <v>177</v>
      </c>
      <c r="AK233" s="668" t="s">
        <v>3258</v>
      </c>
    </row>
    <row r="234" spans="13:37" ht="18" customHeight="1">
      <c r="M234" s="680" t="s">
        <v>2331</v>
      </c>
      <c r="N234" s="682">
        <v>5</v>
      </c>
      <c r="Q234" s="15"/>
      <c r="R234" s="692"/>
      <c r="Z234" s="609"/>
      <c r="AA234" s="697" t="s">
        <v>176</v>
      </c>
      <c r="AB234" s="697" t="s">
        <v>3244</v>
      </c>
      <c r="AC234" s="708" t="s">
        <v>177</v>
      </c>
      <c r="AE234" s="589" t="str">
        <f>AE230/10000&amp;"万"</f>
        <v>0.005万</v>
      </c>
      <c r="AF234" s="519" t="str">
        <f>AF230/10000&amp;"万"</f>
        <v>0.025万</v>
      </c>
      <c r="AG234" s="536" t="str">
        <f>IF(AG230="没有","没有",AG230/10000&amp;"万")</f>
        <v>2.5万</v>
      </c>
      <c r="AK234" s="668" t="s">
        <v>3259</v>
      </c>
    </row>
    <row r="235" spans="13:37" ht="18" customHeight="1">
      <c r="M235" s="679" t="s">
        <v>2341</v>
      </c>
      <c r="N235" s="469">
        <v>5</v>
      </c>
      <c r="Q235" s="15"/>
      <c r="R235" s="692"/>
      <c r="S235" s="205"/>
      <c r="T235" s="15"/>
      <c r="Z235" s="609" t="s">
        <v>3255</v>
      </c>
      <c r="AA235" s="481">
        <f>IF((AE231&gt;=AA237),1,0)</f>
        <v>0</v>
      </c>
      <c r="AB235" s="481">
        <f>IF(AF231&gt;=AA237,1,0)</f>
        <v>0</v>
      </c>
      <c r="AC235" s="526">
        <f>IF(AG231&gt;=AA237,1,0)</f>
        <v>1</v>
      </c>
      <c r="AE235" s="2018" t="s">
        <v>3260</v>
      </c>
      <c r="AF235" s="2019"/>
      <c r="AG235" s="2020"/>
      <c r="AK235" s="668" t="s">
        <v>3261</v>
      </c>
    </row>
    <row r="236" spans="13:37" ht="18" customHeight="1">
      <c r="M236" s="680" t="s">
        <v>1388</v>
      </c>
      <c r="N236" s="682">
        <v>5</v>
      </c>
      <c r="Q236" s="15"/>
      <c r="R236" s="692"/>
      <c r="S236" s="205"/>
      <c r="X236" s="330"/>
      <c r="Z236" s="611" t="s">
        <v>3260</v>
      </c>
      <c r="AA236" s="497">
        <f>IF(AE231&gt;=AC237,1,0)</f>
        <v>0</v>
      </c>
      <c r="AB236" s="497">
        <f>IF(AF231&gt;=AC237,1,0)</f>
        <v>0</v>
      </c>
      <c r="AC236" s="527">
        <f>IF(AG231&gt;=AC237,1,0)</f>
        <v>0</v>
      </c>
      <c r="AE236" s="341" t="s">
        <v>176</v>
      </c>
      <c r="AF236" s="342" t="s">
        <v>3244</v>
      </c>
      <c r="AG236" s="352" t="s">
        <v>177</v>
      </c>
      <c r="AK236" s="668" t="s">
        <v>456</v>
      </c>
    </row>
    <row r="237" spans="13:37" ht="18" customHeight="1">
      <c r="M237" s="679" t="s">
        <v>2359</v>
      </c>
      <c r="N237" s="469">
        <v>5</v>
      </c>
      <c r="Q237" s="15"/>
      <c r="R237" s="692"/>
      <c r="S237" s="205"/>
      <c r="AA237" s="698">
        <v>10000</v>
      </c>
      <c r="AC237" s="709">
        <v>100000000</v>
      </c>
      <c r="AE237" s="589" t="str">
        <f>AE230/100000000&amp;"亿"</f>
        <v>0.0000005亿</v>
      </c>
      <c r="AF237" s="519" t="str">
        <f>AF230/100000000&amp;"亿"</f>
        <v>0.0000025亿</v>
      </c>
      <c r="AG237" s="536" t="str">
        <f>IF(AG230="没有","没有",AG230/100000000&amp;"亿")</f>
        <v>0.00025亿</v>
      </c>
      <c r="AK237" s="668" t="s">
        <v>3262</v>
      </c>
    </row>
    <row r="238" spans="13:37" ht="18" customHeight="1">
      <c r="M238" s="680" t="s">
        <v>2372</v>
      </c>
      <c r="N238" s="682">
        <v>5</v>
      </c>
      <c r="Q238" s="15"/>
      <c r="R238" s="692"/>
      <c r="S238" s="205"/>
      <c r="AE238" s="2018" t="s">
        <v>1479</v>
      </c>
      <c r="AF238" s="2019"/>
      <c r="AG238" s="2020"/>
      <c r="AK238" s="668" t="s">
        <v>3263</v>
      </c>
    </row>
    <row r="239" spans="13:37" ht="18" customHeight="1">
      <c r="M239" s="679" t="s">
        <v>1370</v>
      </c>
      <c r="N239" s="469">
        <v>5</v>
      </c>
      <c r="Q239" s="15"/>
      <c r="R239" s="692"/>
      <c r="S239" s="205"/>
      <c r="AE239" s="341" t="s">
        <v>176</v>
      </c>
      <c r="AF239" s="342" t="s">
        <v>3244</v>
      </c>
      <c r="AG239" s="352" t="s">
        <v>177</v>
      </c>
      <c r="AK239" s="668" t="s">
        <v>3264</v>
      </c>
    </row>
    <row r="240" spans="13:37" ht="18" customHeight="1">
      <c r="M240" s="680" t="s">
        <v>2391</v>
      </c>
      <c r="N240" s="682">
        <v>5</v>
      </c>
      <c r="Q240" s="15"/>
      <c r="R240" s="692"/>
      <c r="S240" s="205"/>
      <c r="AE240" s="589" t="str">
        <f>IF(AF227="其他",AE230,IF(AA236=1,AE237,IF(AA235=1,AE234,AE230)))</f>
        <v>50</v>
      </c>
      <c r="AF240" s="519">
        <f>IF(AF227="其他",AE230,IF(AB236=1,AF237,IF(AB235=1,AF234,AF230)))</f>
        <v>250</v>
      </c>
      <c r="AG240" s="536" t="str">
        <f>IF(AF227="其他",AE230,IF(AC236=1,AG237,IF(AC235=1,AG234,AG230)))</f>
        <v>2.5万</v>
      </c>
      <c r="AK240" s="668" t="s">
        <v>3265</v>
      </c>
    </row>
    <row r="241" spans="13:37" ht="18" customHeight="1">
      <c r="M241" s="679" t="s">
        <v>2400</v>
      </c>
      <c r="N241" s="469">
        <v>5</v>
      </c>
      <c r="Q241" s="15"/>
      <c r="R241" s="692"/>
      <c r="S241" s="205"/>
      <c r="Z241" s="1354" t="s">
        <v>3266</v>
      </c>
      <c r="AA241" s="2021"/>
      <c r="AB241" s="2021"/>
      <c r="AC241" s="2021"/>
      <c r="AD241" s="2021"/>
      <c r="AE241" s="2021"/>
      <c r="AF241" s="2021"/>
      <c r="AG241" s="2022"/>
      <c r="AK241" s="668" t="s">
        <v>456</v>
      </c>
    </row>
    <row r="242" spans="13:37" ht="18" customHeight="1">
      <c r="M242" s="680" t="s">
        <v>1375</v>
      </c>
      <c r="N242" s="352">
        <v>5</v>
      </c>
      <c r="Q242" s="15"/>
      <c r="R242" s="692"/>
      <c r="Z242" s="504"/>
      <c r="AA242" s="632" t="s">
        <v>176</v>
      </c>
      <c r="AB242" s="632" t="s">
        <v>3244</v>
      </c>
      <c r="AC242" s="632" t="s">
        <v>177</v>
      </c>
      <c r="AD242" s="505"/>
      <c r="AE242" s="510"/>
      <c r="AF242" s="632" t="s">
        <v>176</v>
      </c>
      <c r="AG242" s="632" t="s">
        <v>3244</v>
      </c>
      <c r="AH242" s="714" t="s">
        <v>177</v>
      </c>
      <c r="AK242" s="668" t="s">
        <v>3267</v>
      </c>
    </row>
    <row r="243" spans="13:37" ht="18" customHeight="1">
      <c r="M243" s="679" t="s">
        <v>2418</v>
      </c>
      <c r="N243" s="351">
        <v>5</v>
      </c>
      <c r="Q243" s="15"/>
      <c r="R243" s="692"/>
      <c r="S243" s="205"/>
      <c r="Z243" s="591" t="s">
        <v>182</v>
      </c>
      <c r="AA243" s="584" t="str">
        <f>Z227</f>
        <v>50</v>
      </c>
      <c r="AB243" s="584">
        <f>Z231</f>
        <v>250</v>
      </c>
      <c r="AC243" s="584">
        <f>Z229</f>
        <v>25000</v>
      </c>
      <c r="AD243" s="584"/>
      <c r="AE243" s="591" t="s">
        <v>182</v>
      </c>
      <c r="AF243" s="584" t="str">
        <f>Z227</f>
        <v>50</v>
      </c>
      <c r="AG243" s="584">
        <f>Z231</f>
        <v>250</v>
      </c>
      <c r="AH243" s="607">
        <f>Z229</f>
        <v>25000</v>
      </c>
      <c r="AK243" s="668" t="s">
        <v>3268</v>
      </c>
    </row>
    <row r="244" spans="13:37" ht="18" customHeight="1">
      <c r="M244" s="680" t="s">
        <v>2425</v>
      </c>
      <c r="N244" s="352">
        <v>5</v>
      </c>
      <c r="Q244" s="15"/>
      <c r="R244" s="692"/>
      <c r="S244" s="205"/>
      <c r="Z244" s="492" t="s">
        <v>3269</v>
      </c>
      <c r="AE244" s="492" t="s">
        <v>3270</v>
      </c>
      <c r="AH244" s="526"/>
      <c r="AK244" s="668" t="s">
        <v>3271</v>
      </c>
    </row>
    <row r="245" spans="13:37" ht="18" customHeight="1">
      <c r="M245" s="679" t="s">
        <v>2432</v>
      </c>
      <c r="N245" s="351">
        <v>5</v>
      </c>
      <c r="Q245" s="15"/>
      <c r="R245" s="692"/>
      <c r="S245" s="205"/>
      <c r="Z245" s="699" t="s">
        <v>3272</v>
      </c>
      <c r="AA245" s="342">
        <f>Z227*AD245</f>
        <v>351.5</v>
      </c>
      <c r="AB245" s="342">
        <f>Z231*AD245</f>
        <v>1757.5</v>
      </c>
      <c r="AC245" s="342">
        <f>IF(Z229="没有","没有",Z229*AD245)</f>
        <v>175750</v>
      </c>
      <c r="AD245" s="481">
        <v>7.03</v>
      </c>
      <c r="AE245" s="699" t="s">
        <v>3272</v>
      </c>
      <c r="AF245" s="342">
        <f t="shared" ref="AF245:AH245" si="5">AA245</f>
        <v>351.5</v>
      </c>
      <c r="AG245" s="342">
        <f t="shared" si="5"/>
        <v>1757.5</v>
      </c>
      <c r="AH245" s="352">
        <f t="shared" si="5"/>
        <v>175750</v>
      </c>
      <c r="AK245" s="668" t="s">
        <v>456</v>
      </c>
    </row>
    <row r="246" spans="13:37" ht="18" customHeight="1">
      <c r="M246" s="685" t="s">
        <v>2441</v>
      </c>
      <c r="N246" s="353">
        <v>5</v>
      </c>
      <c r="Z246" s="700" t="s">
        <v>3273</v>
      </c>
      <c r="AA246" s="342">
        <f>附表!Z227*AD246</f>
        <v>391.5</v>
      </c>
      <c r="AB246" s="342">
        <f>附表!Z231*AD246</f>
        <v>1957.5</v>
      </c>
      <c r="AC246" s="342">
        <f>IF(Z229="没有","没有",Z229*AD246)</f>
        <v>195750</v>
      </c>
      <c r="AD246" s="481">
        <v>7.83</v>
      </c>
      <c r="AE246" s="700" t="s">
        <v>3273</v>
      </c>
      <c r="AF246" s="342">
        <f t="shared" ref="AF246:AH246" si="6">AA246</f>
        <v>391.5</v>
      </c>
      <c r="AG246" s="342">
        <f t="shared" si="6"/>
        <v>1957.5</v>
      </c>
      <c r="AH246" s="352">
        <f t="shared" si="6"/>
        <v>195750</v>
      </c>
      <c r="AK246" s="668" t="s">
        <v>3274</v>
      </c>
    </row>
    <row r="247" spans="13:37" ht="18" customHeight="1">
      <c r="M247" s="686" t="str">
        <f>IF(ISBLANK(人物卡!AU26),"",人物卡!AU26)</f>
        <v/>
      </c>
      <c r="N247" s="536" t="str">
        <f>IF(ISBLANK(人物卡!BA26),"",人物卡!BA26)</f>
        <v/>
      </c>
      <c r="Z247" s="701" t="s">
        <v>3275</v>
      </c>
      <c r="AA247" s="342">
        <f>Z227*AD247</f>
        <v>1567</v>
      </c>
      <c r="AB247" s="342">
        <f>Z231*AD247</f>
        <v>7835</v>
      </c>
      <c r="AC247" s="342">
        <f>IF(Z229="没有","没有",Z229*AD247)</f>
        <v>783500</v>
      </c>
      <c r="AD247" s="481">
        <v>31.34</v>
      </c>
      <c r="AE247" s="701" t="s">
        <v>3275</v>
      </c>
      <c r="AF247" s="342">
        <f t="shared" ref="AF247:AH247" si="7">AA247</f>
        <v>1567</v>
      </c>
      <c r="AG247" s="342">
        <f t="shared" si="7"/>
        <v>7835</v>
      </c>
      <c r="AH247" s="352">
        <f t="shared" si="7"/>
        <v>783500</v>
      </c>
      <c r="AK247" s="668" t="s">
        <v>3276</v>
      </c>
    </row>
    <row r="248" spans="13:37" ht="18" customHeight="1">
      <c r="Z248" s="701" t="s">
        <v>3277</v>
      </c>
      <c r="AA248" s="342">
        <f>Z227*AD248</f>
        <v>5444</v>
      </c>
      <c r="AB248" s="342">
        <f>Z231*AD248</f>
        <v>27220</v>
      </c>
      <c r="AC248" s="342">
        <f>IF(Z229="没有","没有",Z229*AD248)</f>
        <v>2722000</v>
      </c>
      <c r="AD248" s="481">
        <v>108.88</v>
      </c>
      <c r="AE248" s="701" t="s">
        <v>3277</v>
      </c>
      <c r="AF248" s="342">
        <f t="shared" ref="AF248:AH248" si="8">AA248</f>
        <v>5444</v>
      </c>
      <c r="AG248" s="342">
        <f t="shared" si="8"/>
        <v>27220</v>
      </c>
      <c r="AH248" s="352">
        <f t="shared" si="8"/>
        <v>2722000</v>
      </c>
      <c r="AK248" s="668" t="s">
        <v>3278</v>
      </c>
    </row>
    <row r="249" spans="13:37" ht="18" customHeight="1">
      <c r="Z249" s="701" t="s">
        <v>3279</v>
      </c>
      <c r="AA249" s="342">
        <f>Z227*AD249</f>
        <v>58670.500000000007</v>
      </c>
      <c r="AB249" s="342">
        <f>Z231*AD249</f>
        <v>293352.5</v>
      </c>
      <c r="AC249" s="342">
        <f>IF(Z229="没有","没有",Z229*AD249)</f>
        <v>29335250.000000004</v>
      </c>
      <c r="AD249" s="360">
        <v>1173.4100000000001</v>
      </c>
      <c r="AE249" s="701" t="s">
        <v>3279</v>
      </c>
      <c r="AF249" s="342">
        <f t="shared" ref="AF249:AH249" si="9">AA249</f>
        <v>58670.500000000007</v>
      </c>
      <c r="AG249" s="342">
        <f t="shared" si="9"/>
        <v>293352.5</v>
      </c>
      <c r="AH249" s="352">
        <f t="shared" si="9"/>
        <v>29335250.000000004</v>
      </c>
      <c r="AK249" s="668" t="s">
        <v>456</v>
      </c>
    </row>
    <row r="250" spans="13:37" ht="18" customHeight="1">
      <c r="Z250" s="701" t="s">
        <v>3280</v>
      </c>
      <c r="AA250" s="342">
        <f>Z227*AD250</f>
        <v>1511.5</v>
      </c>
      <c r="AB250" s="342">
        <f>Z231*AD250</f>
        <v>7557.5</v>
      </c>
      <c r="AC250" s="342">
        <f>IF(Z229="没有","没有",Z229*AD250)</f>
        <v>755750</v>
      </c>
      <c r="AD250" s="481">
        <v>30.23</v>
      </c>
      <c r="AE250" s="701" t="s">
        <v>3280</v>
      </c>
      <c r="AF250" s="342">
        <f t="shared" ref="AF250:AH250" si="10">AA250</f>
        <v>1511.5</v>
      </c>
      <c r="AG250" s="342">
        <f t="shared" si="10"/>
        <v>7557.5</v>
      </c>
      <c r="AH250" s="352">
        <f t="shared" si="10"/>
        <v>755750</v>
      </c>
      <c r="AK250" s="668" t="s">
        <v>3281</v>
      </c>
    </row>
    <row r="251" spans="13:37" ht="18" customHeight="1">
      <c r="Z251" s="700" t="s">
        <v>3282</v>
      </c>
      <c r="AA251" s="342">
        <f>Z227*AD251</f>
        <v>68.5</v>
      </c>
      <c r="AB251" s="342">
        <f>Z231*AD251</f>
        <v>342.5</v>
      </c>
      <c r="AC251" s="342">
        <f>IF(Z229="没有","没有",Z229*AD251)</f>
        <v>34250</v>
      </c>
      <c r="AD251" s="360">
        <v>1.37</v>
      </c>
      <c r="AE251" s="700" t="s">
        <v>3282</v>
      </c>
      <c r="AF251" s="342">
        <f t="shared" ref="AF251:AH251" si="11">AA251</f>
        <v>68.5</v>
      </c>
      <c r="AG251" s="342">
        <f t="shared" si="11"/>
        <v>342.5</v>
      </c>
      <c r="AH251" s="352">
        <f t="shared" si="11"/>
        <v>34250</v>
      </c>
      <c r="AK251" s="668" t="s">
        <v>3283</v>
      </c>
    </row>
    <row r="252" spans="13:37" ht="18" customHeight="1">
      <c r="Z252" s="492" t="s">
        <v>3284</v>
      </c>
      <c r="AA252" s="340"/>
      <c r="AB252" s="340"/>
      <c r="AC252" s="340"/>
      <c r="AE252" s="492" t="s">
        <v>3285</v>
      </c>
      <c r="AH252" s="526"/>
      <c r="AK252" s="668" t="s">
        <v>3286</v>
      </c>
    </row>
    <row r="253" spans="13:37" ht="18" customHeight="1">
      <c r="Z253" s="700" t="s">
        <v>3287</v>
      </c>
      <c r="AA253" s="342">
        <f>附表!Z227*AD253</f>
        <v>45.5</v>
      </c>
      <c r="AB253" s="342">
        <f>附表!Z231*AD253</f>
        <v>227.5</v>
      </c>
      <c r="AC253" s="342">
        <f>IF(Z229="没有","没有",Z229*AD253)</f>
        <v>22750</v>
      </c>
      <c r="AD253" s="481">
        <v>0.91</v>
      </c>
      <c r="AE253" s="700" t="s">
        <v>3287</v>
      </c>
      <c r="AF253" s="342">
        <f t="shared" ref="AF253:AH253" si="12">AA253</f>
        <v>45.5</v>
      </c>
      <c r="AG253" s="342">
        <f t="shared" si="12"/>
        <v>227.5</v>
      </c>
      <c r="AH253" s="352">
        <f t="shared" si="12"/>
        <v>22750</v>
      </c>
      <c r="AI253" s="715"/>
      <c r="AK253" s="668" t="s">
        <v>456</v>
      </c>
    </row>
    <row r="254" spans="13:37" ht="18" customHeight="1">
      <c r="Z254" s="701" t="s">
        <v>3288</v>
      </c>
      <c r="AA254" s="342">
        <f>附表!Z227*AD254</f>
        <v>39</v>
      </c>
      <c r="AB254" s="342">
        <f>附表!Z231*AD254</f>
        <v>195</v>
      </c>
      <c r="AC254" s="342">
        <f>IF(Z229="没有","没有",Z229*AD254)</f>
        <v>19500</v>
      </c>
      <c r="AD254" s="481">
        <v>0.78</v>
      </c>
      <c r="AE254" s="701" t="s">
        <v>3288</v>
      </c>
      <c r="AF254" s="342">
        <f t="shared" ref="AF254:AH254" si="13">AA254</f>
        <v>39</v>
      </c>
      <c r="AG254" s="342">
        <f t="shared" si="13"/>
        <v>195</v>
      </c>
      <c r="AH254" s="352">
        <f t="shared" si="13"/>
        <v>19500</v>
      </c>
      <c r="AK254" s="668" t="s">
        <v>3289</v>
      </c>
    </row>
    <row r="255" spans="13:37" ht="18" customHeight="1">
      <c r="Z255" s="701" t="s">
        <v>3290</v>
      </c>
      <c r="AA255" s="342">
        <f>附表!Z227*AD255</f>
        <v>3195</v>
      </c>
      <c r="AB255" s="342">
        <f>附表!Z231*AD255</f>
        <v>15975</v>
      </c>
      <c r="AC255" s="342">
        <f>IF(Z229="没有","没有",Z229*AD255)</f>
        <v>1597500</v>
      </c>
      <c r="AD255" s="710">
        <v>63.9</v>
      </c>
      <c r="AE255" s="701" t="s">
        <v>3290</v>
      </c>
      <c r="AF255" s="342">
        <f t="shared" ref="AF255:AH255" si="14">AA255</f>
        <v>3195</v>
      </c>
      <c r="AG255" s="342">
        <f t="shared" si="14"/>
        <v>15975</v>
      </c>
      <c r="AH255" s="352">
        <f t="shared" si="14"/>
        <v>1597500</v>
      </c>
      <c r="AK255" s="668" t="s">
        <v>3291</v>
      </c>
    </row>
    <row r="256" spans="13:37" ht="18" customHeight="1">
      <c r="Z256" s="492" t="s">
        <v>3292</v>
      </c>
      <c r="AA256" s="340"/>
      <c r="AB256" s="340"/>
      <c r="AC256" s="340"/>
      <c r="AE256" s="492" t="s">
        <v>3293</v>
      </c>
      <c r="AH256" s="526"/>
      <c r="AK256" s="668" t="s">
        <v>3294</v>
      </c>
    </row>
    <row r="257" spans="26:39" ht="18" customHeight="1">
      <c r="Z257" s="700" t="s">
        <v>3295</v>
      </c>
      <c r="AA257" s="342">
        <f>Z227*AD257</f>
        <v>66.5</v>
      </c>
      <c r="AB257" s="342">
        <f>Z231*AD257</f>
        <v>332.5</v>
      </c>
      <c r="AC257" s="342">
        <f>IF(Z229="没有","没有",Z229*AD257)</f>
        <v>33250</v>
      </c>
      <c r="AD257" s="360">
        <v>1.33</v>
      </c>
      <c r="AE257" s="700" t="s">
        <v>3295</v>
      </c>
      <c r="AF257" s="342">
        <f t="shared" ref="AF257:AH257" si="15">AA257</f>
        <v>66.5</v>
      </c>
      <c r="AG257" s="342">
        <f t="shared" si="15"/>
        <v>332.5</v>
      </c>
      <c r="AH257" s="352">
        <f t="shared" si="15"/>
        <v>33250</v>
      </c>
      <c r="AK257" s="668" t="s">
        <v>3296</v>
      </c>
    </row>
    <row r="258" spans="26:39" ht="18" customHeight="1">
      <c r="Z258" s="700" t="s">
        <v>3297</v>
      </c>
      <c r="AA258" s="342">
        <f>Z227*AD258</f>
        <v>969.99999999999989</v>
      </c>
      <c r="AB258" s="342">
        <f>Z231*AD258</f>
        <v>4850</v>
      </c>
      <c r="AC258" s="342">
        <f>IF(Z229="没有","没有",Z229*AD258)</f>
        <v>484999.99999999994</v>
      </c>
      <c r="AD258" s="718">
        <v>19.399999999999999</v>
      </c>
      <c r="AE258" s="700" t="s">
        <v>3297</v>
      </c>
      <c r="AF258" s="342">
        <f t="shared" ref="AF258:AH258" si="16">AA258</f>
        <v>969.99999999999989</v>
      </c>
      <c r="AG258" s="342">
        <f t="shared" si="16"/>
        <v>4850</v>
      </c>
      <c r="AH258" s="352">
        <f t="shared" si="16"/>
        <v>484999.99999999994</v>
      </c>
      <c r="AK258" s="668" t="s">
        <v>3298</v>
      </c>
    </row>
    <row r="259" spans="26:39" ht="18" customHeight="1">
      <c r="Z259" s="701" t="s">
        <v>3299</v>
      </c>
      <c r="AA259" s="342">
        <f>Z227*AD259</f>
        <v>201.5</v>
      </c>
      <c r="AB259" s="342">
        <f>Z231*AD259</f>
        <v>1007.5000000000001</v>
      </c>
      <c r="AC259" s="342">
        <f>IF(Z229="没有","没有",Z229*AD259)</f>
        <v>100750</v>
      </c>
      <c r="AD259" s="481">
        <v>4.03</v>
      </c>
      <c r="AE259" s="701" t="s">
        <v>3299</v>
      </c>
      <c r="AF259" s="342">
        <f t="shared" ref="AF259:AH259" si="17">AA259</f>
        <v>201.5</v>
      </c>
      <c r="AG259" s="342">
        <f t="shared" si="17"/>
        <v>1007.5000000000001</v>
      </c>
      <c r="AH259" s="352">
        <f t="shared" si="17"/>
        <v>100750</v>
      </c>
      <c r="AK259" s="668" t="s">
        <v>456</v>
      </c>
    </row>
    <row r="260" spans="26:39" ht="18" customHeight="1">
      <c r="Z260" s="492" t="s">
        <v>3300</v>
      </c>
      <c r="AA260" s="340"/>
      <c r="AB260" s="340"/>
      <c r="AC260" s="340"/>
      <c r="AE260" s="492" t="s">
        <v>1803</v>
      </c>
      <c r="AH260" s="526"/>
      <c r="AK260" s="668" t="s">
        <v>3301</v>
      </c>
    </row>
    <row r="261" spans="26:39" ht="18" customHeight="1">
      <c r="Z261" s="700" t="s">
        <v>3302</v>
      </c>
      <c r="AA261" s="342">
        <f>Z227*AD261</f>
        <v>74</v>
      </c>
      <c r="AB261" s="342">
        <f>Z231*AD261</f>
        <v>370</v>
      </c>
      <c r="AC261" s="342">
        <f>IF(Z229="没有","没有",Z229*AD261)</f>
        <v>37000</v>
      </c>
      <c r="AD261" s="481">
        <v>1.48</v>
      </c>
      <c r="AE261" s="700" t="s">
        <v>3302</v>
      </c>
      <c r="AF261" s="342">
        <f t="shared" ref="AF261:AH261" si="18">AA261</f>
        <v>74</v>
      </c>
      <c r="AG261" s="342">
        <f t="shared" si="18"/>
        <v>370</v>
      </c>
      <c r="AH261" s="352">
        <f t="shared" si="18"/>
        <v>37000</v>
      </c>
      <c r="AK261" s="668" t="s">
        <v>3303</v>
      </c>
    </row>
    <row r="262" spans="26:39" ht="18" customHeight="1">
      <c r="Z262" s="700" t="s">
        <v>3304</v>
      </c>
      <c r="AA262" s="342">
        <f>Z227*AD262</f>
        <v>738.5</v>
      </c>
      <c r="AB262" s="342">
        <f>Z231*AD262</f>
        <v>3692.5</v>
      </c>
      <c r="AC262" s="342">
        <f>IF(Z229="没有","没有",Z229*AD262)</f>
        <v>369250</v>
      </c>
      <c r="AD262" s="360">
        <v>14.77</v>
      </c>
      <c r="AE262" s="700" t="s">
        <v>3304</v>
      </c>
      <c r="AF262" s="342">
        <f t="shared" ref="AF262:AH262" si="19">AA262</f>
        <v>738.5</v>
      </c>
      <c r="AG262" s="342">
        <f t="shared" si="19"/>
        <v>3692.5</v>
      </c>
      <c r="AH262" s="352">
        <f t="shared" si="19"/>
        <v>369250</v>
      </c>
      <c r="AK262" s="668" t="s">
        <v>3305</v>
      </c>
    </row>
    <row r="263" spans="26:39" ht="18" customHeight="1">
      <c r="Z263" s="716" t="str">
        <f>IF(ISBLANK(人物卡!BK37),"",人物卡!BK37)</f>
        <v/>
      </c>
      <c r="AA263" s="345">
        <f>Z227*AD263</f>
        <v>0</v>
      </c>
      <c r="AB263" s="345">
        <f>Z231*AD263</f>
        <v>0</v>
      </c>
      <c r="AC263" s="345">
        <f>IF(Z229="没有","没有",Z229*AD263)</f>
        <v>0</v>
      </c>
      <c r="AD263" s="508">
        <f>人物卡!BO37</f>
        <v>0</v>
      </c>
      <c r="AE263" s="716" t="str">
        <f>IF(ISBLANK(人物卡!BK37),"",人物卡!BK37)</f>
        <v/>
      </c>
      <c r="AF263" s="345">
        <f>AA263/20</f>
        <v>0</v>
      </c>
      <c r="AG263" s="345">
        <f>AB263/20</f>
        <v>0</v>
      </c>
      <c r="AH263" s="353">
        <f>AC263</f>
        <v>0</v>
      </c>
      <c r="AK263" s="668" t="s">
        <v>456</v>
      </c>
    </row>
    <row r="264" spans="26:39" ht="18" customHeight="1">
      <c r="AK264" s="668" t="s">
        <v>3306</v>
      </c>
    </row>
    <row r="265" spans="26:39" ht="18" customHeight="1">
      <c r="AK265" s="668" t="s">
        <v>3307</v>
      </c>
    </row>
    <row r="266" spans="26:39" ht="18" customHeight="1">
      <c r="AK266" s="668" t="s">
        <v>3308</v>
      </c>
    </row>
    <row r="267" spans="26:39" ht="18" customHeight="1">
      <c r="AA267" s="38"/>
      <c r="AB267" s="38"/>
      <c r="AC267" s="38"/>
      <c r="AD267" s="38"/>
      <c r="AF267" s="38"/>
      <c r="AG267" s="38"/>
      <c r="AH267" s="38"/>
      <c r="AI267" s="38"/>
      <c r="AK267" s="668" t="s">
        <v>3309</v>
      </c>
      <c r="AL267" s="331"/>
    </row>
    <row r="268" spans="26:39" ht="18" customHeight="1">
      <c r="AK268" s="668" t="s">
        <v>456</v>
      </c>
      <c r="AL268" s="331"/>
    </row>
    <row r="269" spans="26:39" ht="18" customHeight="1">
      <c r="AA269" s="360"/>
      <c r="AB269" s="360"/>
      <c r="AC269" s="360"/>
      <c r="AD269" s="360"/>
      <c r="AE269" s="360"/>
      <c r="AF269" s="360"/>
      <c r="AG269" s="360"/>
      <c r="AH269" s="360"/>
      <c r="AI269" s="360"/>
      <c r="AK269" s="668" t="s">
        <v>3310</v>
      </c>
      <c r="AL269" s="331"/>
      <c r="AM269" s="331"/>
    </row>
    <row r="270" spans="26:39" ht="18" customHeight="1">
      <c r="AA270" s="360"/>
      <c r="AB270" s="360"/>
      <c r="AC270" s="360"/>
      <c r="AD270" s="360"/>
      <c r="AE270" s="360"/>
      <c r="AF270" s="360"/>
      <c r="AG270" s="360"/>
      <c r="AH270" s="360"/>
      <c r="AI270" s="360"/>
      <c r="AK270" s="668" t="s">
        <v>3311</v>
      </c>
      <c r="AL270" s="331"/>
    </row>
    <row r="271" spans="26:39" ht="18" customHeight="1">
      <c r="AA271" s="38"/>
      <c r="AB271" s="38"/>
      <c r="AC271" s="38"/>
      <c r="AD271" s="38"/>
      <c r="AF271" s="38"/>
      <c r="AG271" s="38"/>
      <c r="AH271" s="38"/>
      <c r="AI271" s="38"/>
      <c r="AK271" s="668" t="s">
        <v>3312</v>
      </c>
      <c r="AL271" s="331"/>
    </row>
    <row r="272" spans="26:39" ht="18" customHeight="1">
      <c r="AA272" s="717"/>
      <c r="AB272" s="38"/>
      <c r="AC272" s="38"/>
      <c r="AD272" s="38"/>
      <c r="AF272" s="717"/>
      <c r="AG272" s="38"/>
      <c r="AH272" s="38"/>
      <c r="AI272" s="38"/>
      <c r="AK272" s="668" t="s">
        <v>3313</v>
      </c>
      <c r="AL272" s="331"/>
    </row>
    <row r="273" spans="27:38" ht="18" customHeight="1">
      <c r="AA273" s="38"/>
      <c r="AB273" s="38"/>
      <c r="AC273" s="38"/>
      <c r="AD273" s="38"/>
      <c r="AF273" s="38"/>
      <c r="AG273" s="38"/>
      <c r="AH273" s="38"/>
      <c r="AI273" s="38"/>
      <c r="AK273" s="668" t="s">
        <v>456</v>
      </c>
      <c r="AL273" s="331"/>
    </row>
    <row r="274" spans="27:38" ht="18" customHeight="1">
      <c r="AA274" s="717"/>
      <c r="AB274" s="38"/>
      <c r="AC274" s="38"/>
      <c r="AD274" s="38"/>
      <c r="AF274" s="717"/>
      <c r="AG274" s="38"/>
      <c r="AH274" s="38"/>
      <c r="AI274" s="38"/>
      <c r="AK274" s="668" t="s">
        <v>3314</v>
      </c>
    </row>
    <row r="275" spans="27:38" ht="18" customHeight="1">
      <c r="AK275" s="668" t="s">
        <v>3315</v>
      </c>
    </row>
    <row r="276" spans="27:38" ht="18" customHeight="1">
      <c r="AK276" s="668" t="s">
        <v>3316</v>
      </c>
    </row>
    <row r="277" spans="27:38" ht="18" customHeight="1">
      <c r="AK277" s="668" t="s">
        <v>456</v>
      </c>
    </row>
    <row r="278" spans="27:38" ht="18" customHeight="1">
      <c r="AK278" s="668" t="s">
        <v>3317</v>
      </c>
    </row>
    <row r="279" spans="27:38" ht="18" customHeight="1">
      <c r="AK279" s="668" t="s">
        <v>3318</v>
      </c>
    </row>
    <row r="280" spans="27:38" ht="18" customHeight="1">
      <c r="AK280" s="668" t="s">
        <v>3319</v>
      </c>
    </row>
    <row r="281" spans="27:38" ht="18" customHeight="1">
      <c r="AK281" s="668" t="s">
        <v>456</v>
      </c>
    </row>
    <row r="282" spans="27:38" ht="18" customHeight="1">
      <c r="AK282" s="668" t="s">
        <v>3320</v>
      </c>
    </row>
    <row r="283" spans="27:38" ht="18" customHeight="1">
      <c r="AK283" s="668" t="s">
        <v>3321</v>
      </c>
    </row>
    <row r="284" spans="27:38" ht="18" customHeight="1">
      <c r="AK284" s="668" t="s">
        <v>456</v>
      </c>
    </row>
    <row r="285" spans="27:38" ht="18" customHeight="1">
      <c r="AK285" s="668" t="s">
        <v>3322</v>
      </c>
    </row>
    <row r="286" spans="27:38" ht="18" customHeight="1">
      <c r="AK286" s="668" t="s">
        <v>3323</v>
      </c>
    </row>
    <row r="287" spans="27:38" ht="18" customHeight="1">
      <c r="AK287" s="668" t="s">
        <v>456</v>
      </c>
    </row>
    <row r="288" spans="27:38" ht="18" customHeight="1">
      <c r="AK288" s="668" t="s">
        <v>3324</v>
      </c>
    </row>
    <row r="289" spans="37:37" ht="18" customHeight="1">
      <c r="AK289" s="668" t="s">
        <v>3325</v>
      </c>
    </row>
    <row r="290" spans="37:37" ht="18" customHeight="1">
      <c r="AK290" s="668" t="s">
        <v>456</v>
      </c>
    </row>
    <row r="291" spans="37:37" ht="18" customHeight="1">
      <c r="AK291" s="668" t="s">
        <v>3326</v>
      </c>
    </row>
    <row r="292" spans="37:37" ht="18" customHeight="1">
      <c r="AK292" s="668" t="s">
        <v>3327</v>
      </c>
    </row>
    <row r="293" spans="37:37" ht="18" customHeight="1">
      <c r="AK293" s="668" t="s">
        <v>456</v>
      </c>
    </row>
    <row r="294" spans="37:37" ht="18" customHeight="1">
      <c r="AK294" s="668" t="s">
        <v>3328</v>
      </c>
    </row>
    <row r="295" spans="37:37" ht="18" customHeight="1">
      <c r="AK295" s="668" t="s">
        <v>3329</v>
      </c>
    </row>
    <row r="296" spans="37:37" ht="18" customHeight="1">
      <c r="AK296" s="668" t="s">
        <v>456</v>
      </c>
    </row>
    <row r="297" spans="37:37" ht="18" customHeight="1">
      <c r="AK297" s="668" t="s">
        <v>3330</v>
      </c>
    </row>
    <row r="298" spans="37:37" ht="18" customHeight="1">
      <c r="AK298" s="668" t="s">
        <v>3331</v>
      </c>
    </row>
    <row r="299" spans="37:37" ht="18" customHeight="1">
      <c r="AK299" s="668" t="s">
        <v>456</v>
      </c>
    </row>
    <row r="300" spans="37:37" ht="18" customHeight="1">
      <c r="AK300" s="668" t="s">
        <v>3332</v>
      </c>
    </row>
    <row r="301" spans="37:37" ht="18" customHeight="1">
      <c r="AK301" s="668" t="s">
        <v>3333</v>
      </c>
    </row>
    <row r="302" spans="37:37" ht="18" customHeight="1">
      <c r="AK302" s="668" t="s">
        <v>456</v>
      </c>
    </row>
    <row r="303" spans="37:37" ht="18" customHeight="1">
      <c r="AK303" s="668" t="s">
        <v>3334</v>
      </c>
    </row>
    <row r="304" spans="37:37" ht="18" customHeight="1">
      <c r="AK304" s="668" t="s">
        <v>3335</v>
      </c>
    </row>
    <row r="305" spans="37:37" ht="18" customHeight="1">
      <c r="AK305" s="668" t="s">
        <v>456</v>
      </c>
    </row>
    <row r="306" spans="37:37" ht="18" customHeight="1">
      <c r="AK306" s="668" t="s">
        <v>3336</v>
      </c>
    </row>
    <row r="307" spans="37:37" ht="18" customHeight="1">
      <c r="AK307" s="668" t="s">
        <v>3337</v>
      </c>
    </row>
    <row r="308" spans="37:37" ht="18" customHeight="1">
      <c r="AK308" s="668" t="s">
        <v>456</v>
      </c>
    </row>
    <row r="309" spans="37:37" ht="18" customHeight="1">
      <c r="AK309" s="668" t="s">
        <v>456</v>
      </c>
    </row>
    <row r="310" spans="37:37" ht="18" customHeight="1">
      <c r="AK310" s="668" t="s">
        <v>3338</v>
      </c>
    </row>
    <row r="311" spans="37:37" ht="18" customHeight="1">
      <c r="AK311" s="668" t="s">
        <v>3339</v>
      </c>
    </row>
    <row r="312" spans="37:37" ht="18" customHeight="1">
      <c r="AK312" s="668" t="s">
        <v>3340</v>
      </c>
    </row>
    <row r="313" spans="37:37" ht="18" customHeight="1">
      <c r="AK313" s="668" t="s">
        <v>3341</v>
      </c>
    </row>
    <row r="314" spans="37:37" ht="18" customHeight="1">
      <c r="AK314" s="668" t="s">
        <v>3342</v>
      </c>
    </row>
    <row r="315" spans="37:37" ht="18" customHeight="1">
      <c r="AK315" s="668" t="s">
        <v>3343</v>
      </c>
    </row>
    <row r="316" spans="37:37" ht="18" customHeight="1">
      <c r="AK316" s="668" t="s">
        <v>3344</v>
      </c>
    </row>
    <row r="317" spans="37:37" ht="18" customHeight="1">
      <c r="AK317" s="668" t="s">
        <v>3345</v>
      </c>
    </row>
    <row r="318" spans="37:37" ht="18" customHeight="1">
      <c r="AK318" s="668" t="s">
        <v>3346</v>
      </c>
    </row>
    <row r="319" spans="37:37" ht="18" customHeight="1">
      <c r="AK319" s="668" t="s">
        <v>3347</v>
      </c>
    </row>
    <row r="320" spans="37:37" ht="18" customHeight="1">
      <c r="AK320" s="668" t="s">
        <v>3348</v>
      </c>
    </row>
    <row r="321" spans="37:37" ht="18" customHeight="1">
      <c r="AK321" s="668" t="s">
        <v>3349</v>
      </c>
    </row>
    <row r="322" spans="37:37" ht="18" customHeight="1">
      <c r="AK322" s="668" t="s">
        <v>3350</v>
      </c>
    </row>
    <row r="323" spans="37:37" ht="18" customHeight="1">
      <c r="AK323" s="668" t="s">
        <v>3351</v>
      </c>
    </row>
    <row r="324" spans="37:37">
      <c r="AK324" s="668" t="s">
        <v>3352</v>
      </c>
    </row>
    <row r="325" spans="37:37" ht="30">
      <c r="AK325" s="668" t="s">
        <v>3353</v>
      </c>
    </row>
    <row r="326" spans="37:37">
      <c r="AK326" s="668" t="s">
        <v>3354</v>
      </c>
    </row>
    <row r="327" spans="37:37">
      <c r="AK327" s="668" t="s">
        <v>456</v>
      </c>
    </row>
    <row r="328" spans="37:37">
      <c r="AK328" s="668" t="s">
        <v>3355</v>
      </c>
    </row>
    <row r="329" spans="37:37" ht="30">
      <c r="AK329" s="668" t="s">
        <v>3356</v>
      </c>
    </row>
    <row r="330" spans="37:37">
      <c r="AK330" s="668" t="s">
        <v>3357</v>
      </c>
    </row>
    <row r="331" spans="37:37" ht="30">
      <c r="AK331" s="668" t="s">
        <v>3358</v>
      </c>
    </row>
    <row r="332" spans="37:37">
      <c r="AK332" s="668" t="s">
        <v>3359</v>
      </c>
    </row>
    <row r="333" spans="37:37" ht="30">
      <c r="AK333" s="668" t="s">
        <v>3360</v>
      </c>
    </row>
    <row r="334" spans="37:37" ht="30">
      <c r="AK334" s="668" t="s">
        <v>3361</v>
      </c>
    </row>
    <row r="335" spans="37:37">
      <c r="AK335" s="668" t="s">
        <v>3362</v>
      </c>
    </row>
    <row r="336" spans="37:37" ht="30">
      <c r="AK336" s="668" t="s">
        <v>3363</v>
      </c>
    </row>
    <row r="337" spans="37:37">
      <c r="AK337" s="668" t="s">
        <v>456</v>
      </c>
    </row>
    <row r="338" spans="37:37">
      <c r="AK338" s="668" t="s">
        <v>3364</v>
      </c>
    </row>
    <row r="339" spans="37:37">
      <c r="AK339" s="668" t="s">
        <v>3365</v>
      </c>
    </row>
    <row r="340" spans="37:37">
      <c r="AK340" s="668" t="s">
        <v>3366</v>
      </c>
    </row>
    <row r="341" spans="37:37">
      <c r="AK341" s="668" t="s">
        <v>3367</v>
      </c>
    </row>
    <row r="342" spans="37:37">
      <c r="AK342" s="668" t="s">
        <v>456</v>
      </c>
    </row>
    <row r="343" spans="37:37">
      <c r="AK343" s="668" t="s">
        <v>3368</v>
      </c>
    </row>
    <row r="344" spans="37:37">
      <c r="AK344" s="668" t="s">
        <v>3369</v>
      </c>
    </row>
    <row r="345" spans="37:37" ht="30">
      <c r="AK345" s="668" t="s">
        <v>3370</v>
      </c>
    </row>
    <row r="346" spans="37:37">
      <c r="AK346" s="668" t="s">
        <v>3371</v>
      </c>
    </row>
    <row r="347" spans="37:37">
      <c r="AK347" s="668" t="s">
        <v>3372</v>
      </c>
    </row>
    <row r="348" spans="37:37">
      <c r="AK348" s="668" t="s">
        <v>3373</v>
      </c>
    </row>
    <row r="349" spans="37:37" ht="30">
      <c r="AK349" s="668" t="s">
        <v>3374</v>
      </c>
    </row>
    <row r="350" spans="37:37">
      <c r="AK350" s="668" t="s">
        <v>456</v>
      </c>
    </row>
    <row r="351" spans="37:37" ht="30">
      <c r="AK351" s="668" t="s">
        <v>3375</v>
      </c>
    </row>
    <row r="352" spans="37:37">
      <c r="AK352" s="668" t="s">
        <v>3376</v>
      </c>
    </row>
    <row r="353" spans="37:37" ht="30">
      <c r="AK353" s="668" t="s">
        <v>3377</v>
      </c>
    </row>
    <row r="354" spans="37:37">
      <c r="AK354" s="668" t="s">
        <v>3378</v>
      </c>
    </row>
    <row r="355" spans="37:37" ht="30">
      <c r="AK355" s="668" t="s">
        <v>3379</v>
      </c>
    </row>
    <row r="356" spans="37:37">
      <c r="AK356" s="668" t="s">
        <v>3380</v>
      </c>
    </row>
    <row r="357" spans="37:37">
      <c r="AK357" s="668" t="s">
        <v>3381</v>
      </c>
    </row>
    <row r="358" spans="37:37">
      <c r="AK358" s="668" t="s">
        <v>456</v>
      </c>
    </row>
    <row r="359" spans="37:37">
      <c r="AK359" s="668" t="s">
        <v>3382</v>
      </c>
    </row>
    <row r="360" spans="37:37">
      <c r="AK360" s="668" t="s">
        <v>3383</v>
      </c>
    </row>
    <row r="361" spans="37:37">
      <c r="AK361" s="668" t="s">
        <v>3384</v>
      </c>
    </row>
    <row r="362" spans="37:37">
      <c r="AK362" s="668" t="s">
        <v>456</v>
      </c>
    </row>
    <row r="363" spans="37:37" ht="30">
      <c r="AK363" s="668" t="s">
        <v>3385</v>
      </c>
    </row>
    <row r="364" spans="37:37">
      <c r="AK364" s="668" t="s">
        <v>3386</v>
      </c>
    </row>
    <row r="365" spans="37:37">
      <c r="AK365" s="668" t="s">
        <v>3387</v>
      </c>
    </row>
    <row r="366" spans="37:37" ht="30">
      <c r="AK366" s="668" t="s">
        <v>3388</v>
      </c>
    </row>
    <row r="367" spans="37:37">
      <c r="AK367" s="668" t="s">
        <v>456</v>
      </c>
    </row>
    <row r="368" spans="37:37">
      <c r="AK368" s="668" t="s">
        <v>3389</v>
      </c>
    </row>
    <row r="369" spans="37:37">
      <c r="AK369" s="668" t="s">
        <v>3390</v>
      </c>
    </row>
    <row r="370" spans="37:37">
      <c r="AK370" s="668" t="s">
        <v>456</v>
      </c>
    </row>
    <row r="371" spans="37:37">
      <c r="AK371" s="668" t="s">
        <v>3391</v>
      </c>
    </row>
    <row r="372" spans="37:37">
      <c r="AK372" s="668" t="s">
        <v>3392</v>
      </c>
    </row>
    <row r="373" spans="37:37">
      <c r="AK373" s="668" t="s">
        <v>3393</v>
      </c>
    </row>
    <row r="374" spans="37:37">
      <c r="AK374" s="668" t="s">
        <v>3394</v>
      </c>
    </row>
    <row r="375" spans="37:37">
      <c r="AK375" s="668" t="s">
        <v>456</v>
      </c>
    </row>
    <row r="376" spans="37:37">
      <c r="AK376" s="668" t="s">
        <v>3395</v>
      </c>
    </row>
    <row r="377" spans="37:37">
      <c r="AK377" s="668" t="s">
        <v>3396</v>
      </c>
    </row>
    <row r="378" spans="37:37">
      <c r="AK378" s="668" t="s">
        <v>456</v>
      </c>
    </row>
    <row r="379" spans="37:37" ht="30">
      <c r="AK379" s="668" t="s">
        <v>3397</v>
      </c>
    </row>
    <row r="380" spans="37:37">
      <c r="AK380" s="668" t="s">
        <v>3398</v>
      </c>
    </row>
    <row r="381" spans="37:37" ht="30">
      <c r="AK381" s="668" t="s">
        <v>3399</v>
      </c>
    </row>
    <row r="382" spans="37:37">
      <c r="AK382" s="668" t="s">
        <v>3400</v>
      </c>
    </row>
    <row r="383" spans="37:37">
      <c r="AK383" s="668" t="s">
        <v>3401</v>
      </c>
    </row>
    <row r="384" spans="37:37">
      <c r="AK384" s="668" t="s">
        <v>3402</v>
      </c>
    </row>
    <row r="385" spans="37:37" ht="30">
      <c r="AK385" s="668" t="s">
        <v>3403</v>
      </c>
    </row>
    <row r="386" spans="37:37">
      <c r="AK386" s="668" t="s">
        <v>3404</v>
      </c>
    </row>
    <row r="387" spans="37:37">
      <c r="AK387" s="668" t="s">
        <v>456</v>
      </c>
    </row>
    <row r="388" spans="37:37">
      <c r="AK388" s="668" t="s">
        <v>3405</v>
      </c>
    </row>
    <row r="389" spans="37:37">
      <c r="AK389" s="668" t="s">
        <v>3406</v>
      </c>
    </row>
    <row r="390" spans="37:37">
      <c r="AK390" s="668" t="s">
        <v>3407</v>
      </c>
    </row>
    <row r="391" spans="37:37">
      <c r="AK391" s="668" t="s">
        <v>3408</v>
      </c>
    </row>
    <row r="392" spans="37:37">
      <c r="AK392" s="668" t="s">
        <v>3409</v>
      </c>
    </row>
    <row r="393" spans="37:37">
      <c r="AK393" s="668" t="s">
        <v>3410</v>
      </c>
    </row>
    <row r="394" spans="37:37">
      <c r="AK394" s="668" t="s">
        <v>3411</v>
      </c>
    </row>
    <row r="395" spans="37:37">
      <c r="AK395" s="668" t="s">
        <v>456</v>
      </c>
    </row>
    <row r="396" spans="37:37">
      <c r="AK396" s="668" t="s">
        <v>3412</v>
      </c>
    </row>
    <row r="397" spans="37:37">
      <c r="AK397" s="668" t="s">
        <v>3413</v>
      </c>
    </row>
    <row r="398" spans="37:37">
      <c r="AK398" s="668" t="s">
        <v>456</v>
      </c>
    </row>
    <row r="399" spans="37:37">
      <c r="AK399" s="668" t="s">
        <v>3414</v>
      </c>
    </row>
    <row r="400" spans="37:37">
      <c r="AK400" s="668" t="s">
        <v>3415</v>
      </c>
    </row>
    <row r="401" spans="37:37">
      <c r="AK401" s="668" t="s">
        <v>3416</v>
      </c>
    </row>
    <row r="402" spans="37:37">
      <c r="AK402" s="668" t="s">
        <v>456</v>
      </c>
    </row>
    <row r="403" spans="37:37">
      <c r="AK403" s="668" t="s">
        <v>3417</v>
      </c>
    </row>
    <row r="404" spans="37:37">
      <c r="AK404" s="668" t="s">
        <v>3418</v>
      </c>
    </row>
    <row r="405" spans="37:37">
      <c r="AK405" s="668" t="s">
        <v>3419</v>
      </c>
    </row>
    <row r="406" spans="37:37">
      <c r="AK406" s="668" t="s">
        <v>3400</v>
      </c>
    </row>
    <row r="407" spans="37:37">
      <c r="AK407" s="668" t="s">
        <v>456</v>
      </c>
    </row>
    <row r="408" spans="37:37" ht="45">
      <c r="AK408" s="668" t="s">
        <v>3420</v>
      </c>
    </row>
    <row r="409" spans="37:37">
      <c r="AK409" s="668" t="s">
        <v>3421</v>
      </c>
    </row>
    <row r="410" spans="37:37">
      <c r="AK410" s="668" t="s">
        <v>456</v>
      </c>
    </row>
    <row r="411" spans="37:37" ht="30">
      <c r="AK411" s="668" t="s">
        <v>3422</v>
      </c>
    </row>
    <row r="412" spans="37:37">
      <c r="AK412" s="668" t="s">
        <v>3423</v>
      </c>
    </row>
    <row r="413" spans="37:37">
      <c r="AK413" s="668" t="s">
        <v>456</v>
      </c>
    </row>
    <row r="414" spans="37:37">
      <c r="AK414" s="668" t="s">
        <v>3424</v>
      </c>
    </row>
    <row r="415" spans="37:37">
      <c r="AK415" s="668" t="s">
        <v>3425</v>
      </c>
    </row>
    <row r="416" spans="37:37">
      <c r="AK416" s="668" t="s">
        <v>3410</v>
      </c>
    </row>
    <row r="417" spans="37:37">
      <c r="AK417" s="668" t="s">
        <v>3426</v>
      </c>
    </row>
    <row r="418" spans="37:37">
      <c r="AK418" s="668" t="s">
        <v>3427</v>
      </c>
    </row>
    <row r="419" spans="37:37">
      <c r="AK419" s="668" t="s">
        <v>456</v>
      </c>
    </row>
    <row r="420" spans="37:37">
      <c r="AK420" s="668" t="s">
        <v>3428</v>
      </c>
    </row>
    <row r="421" spans="37:37">
      <c r="AK421" s="668" t="s">
        <v>3429</v>
      </c>
    </row>
    <row r="422" spans="37:37">
      <c r="AK422" s="668" t="s">
        <v>3430</v>
      </c>
    </row>
    <row r="423" spans="37:37">
      <c r="AK423" s="668" t="s">
        <v>456</v>
      </c>
    </row>
    <row r="424" spans="37:37">
      <c r="AK424" s="668" t="s">
        <v>3431</v>
      </c>
    </row>
    <row r="425" spans="37:37" ht="30">
      <c r="AK425" s="668" t="s">
        <v>3432</v>
      </c>
    </row>
    <row r="426" spans="37:37" ht="30">
      <c r="AK426" s="668" t="s">
        <v>3433</v>
      </c>
    </row>
    <row r="427" spans="37:37" ht="30">
      <c r="AK427" s="668" t="s">
        <v>3434</v>
      </c>
    </row>
    <row r="428" spans="37:37">
      <c r="AK428" s="668" t="s">
        <v>456</v>
      </c>
    </row>
    <row r="429" spans="37:37">
      <c r="AK429" s="668" t="s">
        <v>3435</v>
      </c>
    </row>
    <row r="430" spans="37:37">
      <c r="AK430" s="668" t="s">
        <v>3436</v>
      </c>
    </row>
    <row r="431" spans="37:37" ht="30">
      <c r="AK431" s="668" t="s">
        <v>3437</v>
      </c>
    </row>
    <row r="432" spans="37:37" ht="30">
      <c r="AK432" s="668" t="s">
        <v>3438</v>
      </c>
    </row>
    <row r="433" spans="37:37" ht="30">
      <c r="AK433" s="668" t="s">
        <v>3439</v>
      </c>
    </row>
    <row r="434" spans="37:37" ht="30">
      <c r="AK434" s="668" t="s">
        <v>3440</v>
      </c>
    </row>
    <row r="435" spans="37:37" ht="30">
      <c r="AK435" s="668" t="s">
        <v>3441</v>
      </c>
    </row>
    <row r="436" spans="37:37" ht="30">
      <c r="AK436" s="668" t="s">
        <v>3442</v>
      </c>
    </row>
    <row r="437" spans="37:37">
      <c r="AK437" s="668" t="s">
        <v>456</v>
      </c>
    </row>
    <row r="438" spans="37:37">
      <c r="AK438" s="668" t="s">
        <v>3443</v>
      </c>
    </row>
    <row r="439" spans="37:37" ht="30">
      <c r="AK439" s="668" t="s">
        <v>3444</v>
      </c>
    </row>
    <row r="440" spans="37:37" ht="30">
      <c r="AK440" s="668" t="s">
        <v>3445</v>
      </c>
    </row>
    <row r="441" spans="37:37" ht="30">
      <c r="AK441" s="668" t="s">
        <v>3446</v>
      </c>
    </row>
    <row r="442" spans="37:37" ht="30">
      <c r="AK442" s="668" t="s">
        <v>3447</v>
      </c>
    </row>
    <row r="443" spans="37:37" ht="30">
      <c r="AK443" s="668" t="s">
        <v>3448</v>
      </c>
    </row>
    <row r="444" spans="37:37">
      <c r="AK444" s="668" t="s">
        <v>456</v>
      </c>
    </row>
    <row r="445" spans="37:37">
      <c r="AK445" s="668" t="s">
        <v>3449</v>
      </c>
    </row>
    <row r="446" spans="37:37" ht="30">
      <c r="AK446" s="668" t="s">
        <v>3450</v>
      </c>
    </row>
    <row r="447" spans="37:37" ht="30">
      <c r="AK447" s="668" t="s">
        <v>3451</v>
      </c>
    </row>
    <row r="448" spans="37:37" ht="30">
      <c r="AK448" s="668" t="s">
        <v>3452</v>
      </c>
    </row>
    <row r="449" spans="37:37" ht="30">
      <c r="AK449" s="668" t="s">
        <v>3453</v>
      </c>
    </row>
    <row r="450" spans="37:37">
      <c r="AK450" s="668" t="s">
        <v>456</v>
      </c>
    </row>
    <row r="451" spans="37:37">
      <c r="AK451" s="668" t="s">
        <v>3454</v>
      </c>
    </row>
    <row r="452" spans="37:37">
      <c r="AK452" s="668" t="s">
        <v>3455</v>
      </c>
    </row>
    <row r="453" spans="37:37">
      <c r="AK453" s="668" t="s">
        <v>456</v>
      </c>
    </row>
    <row r="454" spans="37:37">
      <c r="AK454" s="668" t="s">
        <v>3456</v>
      </c>
    </row>
    <row r="455" spans="37:37" ht="30">
      <c r="AK455" s="668" t="s">
        <v>3457</v>
      </c>
    </row>
    <row r="456" spans="37:37">
      <c r="AK456" s="668" t="s">
        <v>456</v>
      </c>
    </row>
    <row r="457" spans="37:37">
      <c r="AK457" s="668" t="s">
        <v>3458</v>
      </c>
    </row>
    <row r="458" spans="37:37" ht="30">
      <c r="AK458" s="668" t="s">
        <v>3459</v>
      </c>
    </row>
    <row r="459" spans="37:37" ht="30">
      <c r="AK459" s="668" t="s">
        <v>3460</v>
      </c>
    </row>
    <row r="460" spans="37:37" ht="30">
      <c r="AK460" s="668" t="s">
        <v>3461</v>
      </c>
    </row>
    <row r="461" spans="37:37">
      <c r="AK461" s="668" t="s">
        <v>3462</v>
      </c>
    </row>
    <row r="462" spans="37:37">
      <c r="AK462" s="668" t="s">
        <v>3463</v>
      </c>
    </row>
    <row r="463" spans="37:37">
      <c r="AK463" s="668" t="s">
        <v>3464</v>
      </c>
    </row>
    <row r="464" spans="37:37">
      <c r="AK464" s="668" t="s">
        <v>3465</v>
      </c>
    </row>
    <row r="465" spans="37:37">
      <c r="AK465" s="668" t="s">
        <v>456</v>
      </c>
    </row>
    <row r="466" spans="37:37">
      <c r="AK466" s="668" t="s">
        <v>3466</v>
      </c>
    </row>
    <row r="467" spans="37:37">
      <c r="AK467" s="668" t="s">
        <v>3467</v>
      </c>
    </row>
    <row r="468" spans="37:37">
      <c r="AK468" s="668" t="s">
        <v>3427</v>
      </c>
    </row>
    <row r="469" spans="37:37">
      <c r="AK469" s="668" t="s">
        <v>456</v>
      </c>
    </row>
    <row r="470" spans="37:37">
      <c r="AK470" s="668" t="s">
        <v>3468</v>
      </c>
    </row>
    <row r="471" spans="37:37">
      <c r="AK471" s="668" t="s">
        <v>3469</v>
      </c>
    </row>
    <row r="472" spans="37:37">
      <c r="AK472" s="668" t="s">
        <v>3402</v>
      </c>
    </row>
    <row r="473" spans="37:37">
      <c r="AK473" s="668" t="s">
        <v>456</v>
      </c>
    </row>
    <row r="474" spans="37:37">
      <c r="AK474" s="668" t="s">
        <v>3470</v>
      </c>
    </row>
    <row r="475" spans="37:37">
      <c r="AK475" s="668" t="s">
        <v>3471</v>
      </c>
    </row>
    <row r="476" spans="37:37">
      <c r="AK476" s="668" t="s">
        <v>3472</v>
      </c>
    </row>
    <row r="477" spans="37:37">
      <c r="AK477" s="668" t="s">
        <v>3473</v>
      </c>
    </row>
    <row r="478" spans="37:37">
      <c r="AK478" s="668" t="s">
        <v>3474</v>
      </c>
    </row>
    <row r="479" spans="37:37">
      <c r="AK479" s="668" t="s">
        <v>3475</v>
      </c>
    </row>
    <row r="480" spans="37:37">
      <c r="AK480" s="668" t="s">
        <v>456</v>
      </c>
    </row>
    <row r="481" spans="37:37">
      <c r="AK481" s="668" t="s">
        <v>3476</v>
      </c>
    </row>
    <row r="482" spans="37:37">
      <c r="AK482" s="668" t="s">
        <v>3477</v>
      </c>
    </row>
    <row r="483" spans="37:37">
      <c r="AK483" s="668" t="s">
        <v>456</v>
      </c>
    </row>
    <row r="484" spans="37:37">
      <c r="AK484" s="668" t="s">
        <v>3478</v>
      </c>
    </row>
    <row r="485" spans="37:37" ht="30">
      <c r="AK485" s="668" t="s">
        <v>3479</v>
      </c>
    </row>
    <row r="486" spans="37:37">
      <c r="AK486" s="668" t="s">
        <v>456</v>
      </c>
    </row>
    <row r="487" spans="37:37" ht="30">
      <c r="AK487" s="668" t="s">
        <v>3480</v>
      </c>
    </row>
    <row r="488" spans="37:37" ht="30">
      <c r="AK488" s="668" t="s">
        <v>3481</v>
      </c>
    </row>
    <row r="489" spans="37:37" ht="30">
      <c r="AK489" s="668" t="s">
        <v>3482</v>
      </c>
    </row>
    <row r="490" spans="37:37">
      <c r="AK490" s="668" t="s">
        <v>3483</v>
      </c>
    </row>
    <row r="491" spans="37:37">
      <c r="AK491" s="719" t="s">
        <v>3484</v>
      </c>
    </row>
    <row r="492" spans="37:37">
      <c r="AK492" s="481" t="s">
        <v>303</v>
      </c>
    </row>
  </sheetData>
  <mergeCells count="291">
    <mergeCell ref="AV38:AV47"/>
    <mergeCell ref="BA14:BA23"/>
    <mergeCell ref="AB221:AC231"/>
    <mergeCell ref="E53:I58"/>
    <mergeCell ref="S24:V35"/>
    <mergeCell ref="S37:V38"/>
    <mergeCell ref="S46:V61"/>
    <mergeCell ref="S76:V87"/>
    <mergeCell ref="J53:K58"/>
    <mergeCell ref="S63:V74"/>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N200:R200"/>
    <mergeCell ref="T200:X200"/>
    <mergeCell ref="N201:R201"/>
    <mergeCell ref="T201:X201"/>
    <mergeCell ref="N202:R202"/>
    <mergeCell ref="T202:X202"/>
    <mergeCell ref="N203:R203"/>
    <mergeCell ref="T203:X203"/>
    <mergeCell ref="N204:R204"/>
    <mergeCell ref="T204:X204"/>
    <mergeCell ref="N195:R195"/>
    <mergeCell ref="T195:X195"/>
    <mergeCell ref="N196:R196"/>
    <mergeCell ref="T196:X196"/>
    <mergeCell ref="N197:R197"/>
    <mergeCell ref="T197:X197"/>
    <mergeCell ref="N198:R198"/>
    <mergeCell ref="T198:X198"/>
    <mergeCell ref="N199:R199"/>
    <mergeCell ref="T199:X199"/>
    <mergeCell ref="N190:R190"/>
    <mergeCell ref="T190:X190"/>
    <mergeCell ref="N191:R191"/>
    <mergeCell ref="T191:X191"/>
    <mergeCell ref="N192:R192"/>
    <mergeCell ref="T192:X192"/>
    <mergeCell ref="N193:R193"/>
    <mergeCell ref="T193:X193"/>
    <mergeCell ref="N194:R194"/>
    <mergeCell ref="T194:X194"/>
    <mergeCell ref="N185:R185"/>
    <mergeCell ref="T185:X185"/>
    <mergeCell ref="N186:R186"/>
    <mergeCell ref="T186:X186"/>
    <mergeCell ref="N187:R187"/>
    <mergeCell ref="T187:X187"/>
    <mergeCell ref="N188:R188"/>
    <mergeCell ref="T188:X188"/>
    <mergeCell ref="N189:R189"/>
    <mergeCell ref="T189:X189"/>
    <mergeCell ref="N180:R180"/>
    <mergeCell ref="T180:X180"/>
    <mergeCell ref="N181:R181"/>
    <mergeCell ref="T181:X181"/>
    <mergeCell ref="N182:R182"/>
    <mergeCell ref="T182:X182"/>
    <mergeCell ref="N183:R183"/>
    <mergeCell ref="T183:X183"/>
    <mergeCell ref="N184:R184"/>
    <mergeCell ref="T184:X184"/>
    <mergeCell ref="N175:R175"/>
    <mergeCell ref="T175:X175"/>
    <mergeCell ref="N176:R176"/>
    <mergeCell ref="T176:X176"/>
    <mergeCell ref="N177:R177"/>
    <mergeCell ref="T177:X177"/>
    <mergeCell ref="N178:R178"/>
    <mergeCell ref="T178:X178"/>
    <mergeCell ref="N179:R179"/>
    <mergeCell ref="T179:X179"/>
    <mergeCell ref="N170:R170"/>
    <mergeCell ref="T170:X170"/>
    <mergeCell ref="N171:R171"/>
    <mergeCell ref="T171:X171"/>
    <mergeCell ref="N172:R172"/>
    <mergeCell ref="T172:X172"/>
    <mergeCell ref="N173:R173"/>
    <mergeCell ref="T173:X173"/>
    <mergeCell ref="N174:R174"/>
    <mergeCell ref="T174:X174"/>
    <mergeCell ref="N165:R165"/>
    <mergeCell ref="T165:X165"/>
    <mergeCell ref="N166:R166"/>
    <mergeCell ref="T166:X166"/>
    <mergeCell ref="N167:R167"/>
    <mergeCell ref="T167:X167"/>
    <mergeCell ref="N168:R168"/>
    <mergeCell ref="T168:X168"/>
    <mergeCell ref="N169:R169"/>
    <mergeCell ref="T169:X169"/>
    <mergeCell ref="N160:R160"/>
    <mergeCell ref="T160:X160"/>
    <mergeCell ref="N161:R161"/>
    <mergeCell ref="T161:X161"/>
    <mergeCell ref="N162:R162"/>
    <mergeCell ref="T162:X162"/>
    <mergeCell ref="N163:R163"/>
    <mergeCell ref="T163:X163"/>
    <mergeCell ref="N164:R164"/>
    <mergeCell ref="T164:X164"/>
    <mergeCell ref="N155:R155"/>
    <mergeCell ref="T155:X155"/>
    <mergeCell ref="N156:R156"/>
    <mergeCell ref="T156:X156"/>
    <mergeCell ref="N157:R157"/>
    <mergeCell ref="T157:X157"/>
    <mergeCell ref="N158:R158"/>
    <mergeCell ref="T158:X158"/>
    <mergeCell ref="N159:R159"/>
    <mergeCell ref="T159:X159"/>
    <mergeCell ref="N150:R150"/>
    <mergeCell ref="T150:X150"/>
    <mergeCell ref="N151:R151"/>
    <mergeCell ref="T151:X151"/>
    <mergeCell ref="N152:R152"/>
    <mergeCell ref="T152:X152"/>
    <mergeCell ref="N153:R153"/>
    <mergeCell ref="T153:X153"/>
    <mergeCell ref="N154:R154"/>
    <mergeCell ref="T154:X154"/>
    <mergeCell ref="N145:R145"/>
    <mergeCell ref="T145:X145"/>
    <mergeCell ref="N146:R146"/>
    <mergeCell ref="T146:X146"/>
    <mergeCell ref="N147:R147"/>
    <mergeCell ref="T147:X147"/>
    <mergeCell ref="N148:R148"/>
    <mergeCell ref="T148:X148"/>
    <mergeCell ref="N149:R149"/>
    <mergeCell ref="T149:X149"/>
    <mergeCell ref="N140:R140"/>
    <mergeCell ref="T140:X140"/>
    <mergeCell ref="N141:R141"/>
    <mergeCell ref="T141:X141"/>
    <mergeCell ref="N142:R142"/>
    <mergeCell ref="T142:X142"/>
    <mergeCell ref="N143:R143"/>
    <mergeCell ref="T143:X143"/>
    <mergeCell ref="N144:R144"/>
    <mergeCell ref="T144:X144"/>
    <mergeCell ref="N135:R135"/>
    <mergeCell ref="T135:X135"/>
    <mergeCell ref="N136:R136"/>
    <mergeCell ref="T136:X136"/>
    <mergeCell ref="N137:R137"/>
    <mergeCell ref="T137:X137"/>
    <mergeCell ref="N138:R138"/>
    <mergeCell ref="T138:X138"/>
    <mergeCell ref="N139:R139"/>
    <mergeCell ref="T139:X139"/>
    <mergeCell ref="N130:R130"/>
    <mergeCell ref="T130:X130"/>
    <mergeCell ref="N131:R131"/>
    <mergeCell ref="T131:X131"/>
    <mergeCell ref="N132:R132"/>
    <mergeCell ref="T132:X132"/>
    <mergeCell ref="N133:R133"/>
    <mergeCell ref="T133:X133"/>
    <mergeCell ref="N134:R134"/>
    <mergeCell ref="T134:X134"/>
    <mergeCell ref="N125:R125"/>
    <mergeCell ref="T125:X125"/>
    <mergeCell ref="N126:R126"/>
    <mergeCell ref="T126:X126"/>
    <mergeCell ref="N127:R127"/>
    <mergeCell ref="T127:X127"/>
    <mergeCell ref="N128:R128"/>
    <mergeCell ref="T128:X128"/>
    <mergeCell ref="N129:R129"/>
    <mergeCell ref="T129:X129"/>
    <mergeCell ref="N120:R120"/>
    <mergeCell ref="T120:X120"/>
    <mergeCell ref="N121:R121"/>
    <mergeCell ref="T121:X121"/>
    <mergeCell ref="N122:R122"/>
    <mergeCell ref="T122:X122"/>
    <mergeCell ref="N123:R123"/>
    <mergeCell ref="T123:X123"/>
    <mergeCell ref="N124:R124"/>
    <mergeCell ref="T124:X124"/>
    <mergeCell ref="N115:R115"/>
    <mergeCell ref="T115:X115"/>
    <mergeCell ref="N116:R116"/>
    <mergeCell ref="T116:X116"/>
    <mergeCell ref="N117:R117"/>
    <mergeCell ref="T117:X117"/>
    <mergeCell ref="N118:R118"/>
    <mergeCell ref="T118:X118"/>
    <mergeCell ref="N119:R119"/>
    <mergeCell ref="T119:X119"/>
    <mergeCell ref="E52:G52"/>
    <mergeCell ref="H52:I52"/>
    <mergeCell ref="J52:K52"/>
    <mergeCell ref="N112:R112"/>
    <mergeCell ref="T112:X112"/>
    <mergeCell ref="N113:R113"/>
    <mergeCell ref="T113:X113"/>
    <mergeCell ref="N114:R114"/>
    <mergeCell ref="T114:X114"/>
    <mergeCell ref="E34:K34"/>
    <mergeCell ref="I36:M36"/>
    <mergeCell ref="C38:E38"/>
    <mergeCell ref="S39:V39"/>
    <mergeCell ref="S40:V40"/>
    <mergeCell ref="S41:V41"/>
    <mergeCell ref="S42:V42"/>
    <mergeCell ref="S43:V43"/>
    <mergeCell ref="S44:V44"/>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AJ1:AL1"/>
    <mergeCell ref="B2:E2"/>
    <mergeCell ref="S2:AI2"/>
    <mergeCell ref="N3:P3"/>
    <mergeCell ref="C9:E9"/>
    <mergeCell ref="B10:E10"/>
    <mergeCell ref="O15:Q15"/>
    <mergeCell ref="B18:G18"/>
    <mergeCell ref="E19:G19"/>
  </mergeCells>
  <conditionalFormatting sqref="AJ1 AK4:AK11 S4:S12">
    <cfRule type="expression" dxfId="0" priority="1">
      <formula>"人物卡!$F$5=1"</formula>
    </cfRule>
  </conditionalFormatting>
  <pageMargins left="0.75" right="0.75" top="1" bottom="1" header="0.51180555555555596" footer="0.5118055555555559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Z154"/>
  <sheetViews>
    <sheetView showGridLines="0" workbookViewId="0">
      <selection activeCell="B4" sqref="B4:D9"/>
    </sheetView>
  </sheetViews>
  <sheetFormatPr baseColWidth="10" defaultColWidth="9" defaultRowHeight="17"/>
  <cols>
    <col min="1" max="1" width="16.83203125" style="15" customWidth="1"/>
    <col min="2" max="12" width="8.5" style="15" customWidth="1"/>
    <col min="13" max="13" width="9" style="15" customWidth="1"/>
    <col min="14" max="26" width="8.5" style="15" customWidth="1"/>
  </cols>
  <sheetData>
    <row r="2" spans="1:26" s="329" customFormat="1" ht="18">
      <c r="A2" s="2165" t="s">
        <v>3485</v>
      </c>
      <c r="B2" s="2074" t="s">
        <v>3486</v>
      </c>
      <c r="C2" s="2075"/>
      <c r="D2" s="2075"/>
      <c r="E2" s="2075"/>
      <c r="F2" s="2075"/>
      <c r="G2" s="2075"/>
      <c r="H2" s="2075"/>
      <c r="I2" s="2075"/>
      <c r="J2" s="2075"/>
      <c r="K2" s="2075"/>
      <c r="L2" s="2076"/>
      <c r="M2" s="456"/>
      <c r="N2" s="1103" t="s">
        <v>3487</v>
      </c>
      <c r="O2" s="2077"/>
      <c r="P2" s="2077"/>
      <c r="Q2" s="2077"/>
      <c r="R2" s="2077"/>
      <c r="S2" s="2077"/>
      <c r="T2" s="2077"/>
      <c r="U2" s="2077"/>
      <c r="V2" s="2077"/>
      <c r="W2" s="2077"/>
      <c r="X2" s="2077"/>
      <c r="Y2" s="2077"/>
      <c r="Z2" s="2070"/>
    </row>
    <row r="3" spans="1:26" s="15" customFormat="1" ht="18">
      <c r="A3" s="2166"/>
      <c r="B3" s="2078" t="s">
        <v>54</v>
      </c>
      <c r="C3" s="2079"/>
      <c r="D3" s="2079"/>
      <c r="E3" s="2080" t="s">
        <v>3488</v>
      </c>
      <c r="F3" s="2079"/>
      <c r="G3" s="2080" t="s">
        <v>2110</v>
      </c>
      <c r="H3" s="2079"/>
      <c r="I3" s="2080" t="s">
        <v>3489</v>
      </c>
      <c r="J3" s="2081"/>
      <c r="K3" s="2081"/>
      <c r="L3" s="2082"/>
      <c r="M3" s="456"/>
      <c r="N3" s="16" t="s">
        <v>163</v>
      </c>
      <c r="O3" s="2083" t="s">
        <v>3490</v>
      </c>
      <c r="P3" s="2084"/>
      <c r="Q3" s="2084"/>
      <c r="R3" s="2084"/>
      <c r="S3" s="2084"/>
      <c r="T3" s="2084"/>
      <c r="U3" s="2084"/>
      <c r="V3" s="2084"/>
      <c r="W3" s="2084"/>
      <c r="X3" s="2084"/>
      <c r="Y3" s="2084"/>
      <c r="Z3" s="2085"/>
    </row>
    <row r="4" spans="1:26" s="15" customFormat="1" ht="18">
      <c r="A4" s="2166"/>
      <c r="B4" s="2100" t="s">
        <v>67</v>
      </c>
      <c r="C4" s="2101"/>
      <c r="D4" s="2101"/>
      <c r="E4" s="2093" t="str">
        <f>IF($B4=附表!B213,"【←下拉框】",VLOOKUP($B4,附表!B95:K212,2,FALSE))</f>
        <v>20%</v>
      </c>
      <c r="F4" s="2093"/>
      <c r="G4" s="2094" t="str">
        <f>IF($B4=附表!B213,"",VLOOKUP($B4,附表!B95:K212,3,FALSE))</f>
        <v>——</v>
      </c>
      <c r="H4" s="2094"/>
      <c r="I4" s="2095"/>
      <c r="J4" s="2095"/>
      <c r="K4" s="2096"/>
      <c r="L4" s="2097"/>
      <c r="M4" s="456"/>
      <c r="N4" s="458" t="s">
        <v>3491</v>
      </c>
      <c r="O4" s="2086" t="s">
        <v>3492</v>
      </c>
      <c r="P4" s="2086"/>
      <c r="Q4" s="2086"/>
      <c r="R4" s="2086"/>
      <c r="S4" s="2086"/>
      <c r="T4" s="2086"/>
      <c r="U4" s="2086"/>
      <c r="V4" s="2086"/>
      <c r="W4" s="2086"/>
      <c r="X4" s="2086"/>
      <c r="Y4" s="2086"/>
      <c r="Z4" s="2087"/>
    </row>
    <row r="5" spans="1:26" s="15" customFormat="1">
      <c r="A5" s="2166"/>
      <c r="B5" s="2102"/>
      <c r="C5" s="2103"/>
      <c r="D5" s="2103"/>
      <c r="E5" s="2093"/>
      <c r="F5" s="2093"/>
      <c r="G5" s="2094"/>
      <c r="H5" s="2094"/>
      <c r="I5" s="2095"/>
      <c r="J5" s="2095"/>
      <c r="K5" s="2098"/>
      <c r="L5" s="2099"/>
      <c r="M5" s="456"/>
      <c r="N5" s="459"/>
      <c r="O5" s="460"/>
      <c r="P5" s="460"/>
      <c r="Q5" s="460"/>
      <c r="R5" s="460"/>
      <c r="S5" s="460"/>
      <c r="T5" s="460"/>
      <c r="U5" s="460"/>
      <c r="V5" s="460"/>
      <c r="W5" s="460"/>
      <c r="X5" s="460"/>
      <c r="Y5" s="460"/>
      <c r="Z5" s="466"/>
    </row>
    <row r="6" spans="1:26" s="15" customFormat="1" ht="18">
      <c r="A6" s="2166"/>
      <c r="B6" s="2102"/>
      <c r="C6" s="2103"/>
      <c r="D6" s="2103"/>
      <c r="E6" s="2093"/>
      <c r="F6" s="2093"/>
      <c r="G6" s="2094"/>
      <c r="H6" s="2094"/>
      <c r="I6" s="2095"/>
      <c r="J6" s="2095"/>
      <c r="K6" s="2098"/>
      <c r="L6" s="2099"/>
      <c r="M6" s="456"/>
      <c r="N6" s="461" t="s">
        <v>3493</v>
      </c>
      <c r="O6" s="2088" t="s">
        <v>3494</v>
      </c>
      <c r="P6" s="2088"/>
      <c r="Q6" s="2088"/>
      <c r="R6" s="2088"/>
      <c r="S6" s="2088"/>
      <c r="T6" s="2088"/>
      <c r="U6" s="2088"/>
      <c r="V6" s="2088"/>
      <c r="W6" s="2088"/>
      <c r="X6" s="2088"/>
      <c r="Y6" s="2088"/>
      <c r="Z6" s="2089"/>
    </row>
    <row r="7" spans="1:26" s="15" customFormat="1">
      <c r="A7" s="2166"/>
      <c r="B7" s="2102"/>
      <c r="C7" s="2103"/>
      <c r="D7" s="2103"/>
      <c r="E7" s="2093"/>
      <c r="F7" s="2093"/>
      <c r="G7" s="2094"/>
      <c r="H7" s="2094"/>
      <c r="I7" s="2095"/>
      <c r="J7" s="2095"/>
      <c r="K7" s="2098"/>
      <c r="L7" s="2099"/>
      <c r="M7" s="456"/>
      <c r="N7" s="463"/>
      <c r="O7" s="462"/>
      <c r="P7" s="462"/>
      <c r="Q7" s="462"/>
      <c r="R7" s="462"/>
      <c r="S7" s="462"/>
      <c r="T7" s="462"/>
      <c r="U7" s="462"/>
      <c r="V7" s="462"/>
      <c r="W7" s="462"/>
      <c r="X7" s="462"/>
      <c r="Y7" s="462"/>
      <c r="Z7" s="467"/>
    </row>
    <row r="8" spans="1:26" s="15" customFormat="1" ht="18">
      <c r="A8" s="2166"/>
      <c r="B8" s="2102"/>
      <c r="C8" s="2103"/>
      <c r="D8" s="2103"/>
      <c r="E8" s="2093"/>
      <c r="F8" s="2093"/>
      <c r="G8" s="2094"/>
      <c r="H8" s="2094"/>
      <c r="I8" s="2095"/>
      <c r="J8" s="2095"/>
      <c r="K8" s="2098"/>
      <c r="L8" s="2099"/>
      <c r="M8" s="456"/>
      <c r="N8" s="461" t="s">
        <v>908</v>
      </c>
      <c r="O8" s="2088" t="s">
        <v>3495</v>
      </c>
      <c r="P8" s="2088"/>
      <c r="Q8" s="2088"/>
      <c r="R8" s="2088"/>
      <c r="S8" s="2088"/>
      <c r="T8" s="2088"/>
      <c r="U8" s="2088"/>
      <c r="V8" s="2088"/>
      <c r="W8" s="2088"/>
      <c r="X8" s="2088"/>
      <c r="Y8" s="2088"/>
      <c r="Z8" s="2089"/>
    </row>
    <row r="9" spans="1:26" s="15" customFormat="1">
      <c r="A9" s="2166"/>
      <c r="B9" s="2102"/>
      <c r="C9" s="2103"/>
      <c r="D9" s="2103"/>
      <c r="E9" s="2093"/>
      <c r="F9" s="2093"/>
      <c r="G9" s="2094"/>
      <c r="H9" s="2094"/>
      <c r="I9" s="2095"/>
      <c r="J9" s="2095"/>
      <c r="K9" s="2098"/>
      <c r="L9" s="2099"/>
      <c r="M9" s="456"/>
      <c r="N9" s="461"/>
      <c r="O9" s="464"/>
      <c r="P9" s="464"/>
      <c r="Q9" s="464"/>
      <c r="R9" s="464"/>
      <c r="S9" s="464"/>
      <c r="T9" s="464"/>
      <c r="U9" s="464"/>
      <c r="V9" s="464"/>
      <c r="W9" s="464"/>
      <c r="X9" s="464"/>
      <c r="Y9" s="464"/>
      <c r="Z9" s="468"/>
    </row>
    <row r="10" spans="1:26" s="15" customFormat="1" ht="18">
      <c r="A10" s="2166"/>
      <c r="B10" s="2078" t="s">
        <v>2115</v>
      </c>
      <c r="C10" s="2079"/>
      <c r="D10" s="2090"/>
      <c r="E10" s="2079"/>
      <c r="F10" s="2079"/>
      <c r="G10" s="2079"/>
      <c r="H10" s="2079"/>
      <c r="I10" s="2080" t="s">
        <v>2113</v>
      </c>
      <c r="J10" s="2079"/>
      <c r="K10" s="2091" t="s">
        <v>2114</v>
      </c>
      <c r="L10" s="2092"/>
      <c r="M10" s="456"/>
      <c r="N10" s="459" t="s">
        <v>3496</v>
      </c>
      <c r="O10" s="2088" t="s">
        <v>3497</v>
      </c>
      <c r="P10" s="2088"/>
      <c r="Q10" s="2088"/>
      <c r="R10" s="2088"/>
      <c r="S10" s="2088"/>
      <c r="T10" s="2088"/>
      <c r="U10" s="2088"/>
      <c r="V10" s="2088"/>
      <c r="W10" s="2088"/>
      <c r="X10" s="2088"/>
      <c r="Y10" s="2088"/>
      <c r="Z10" s="2089"/>
    </row>
    <row r="11" spans="1:26" s="15" customFormat="1">
      <c r="A11" s="2166"/>
      <c r="B11" s="2105" t="str">
        <f>IF($B4=附表!B213,"",VLOOKUP($B4,附表!B95:K212,8,FALSE))</f>
        <v>· 保持静止不动并且进行聆听
· 接近声音源（e.g.将耳朵贴在车轨或者门上）
· 让每个人都安静下来（自己制造一个噪音）然后进行聆听</v>
      </c>
      <c r="C11" s="2106"/>
      <c r="D11" s="2107"/>
      <c r="E11" s="2106"/>
      <c r="F11" s="2106"/>
      <c r="G11" s="2106"/>
      <c r="H11" s="2106"/>
      <c r="I11" s="2108" t="str">
        <f>IF($B4=附表!B213,"",VLOOKUP($B4,附表!B95:K212,6,FALSE))</f>
        <v>· 听见某物（潜行技能低于50）正在接近你
· 偷听一场在你附近发生的谈话</v>
      </c>
      <c r="J11" s="2108"/>
      <c r="K11" s="2109" t="str">
        <f>IF($B4=附表!B213,"",VLOOKUP($B4,附表!B95:K212,7,FALSE))</f>
        <v>· 听见某物（潜行技能从50至89）悄悄接近你的声音
· 偷听一场低声的谈话</v>
      </c>
      <c r="L11" s="2110"/>
      <c r="M11" s="456"/>
      <c r="N11" s="463"/>
      <c r="O11" s="462"/>
      <c r="P11" s="462"/>
      <c r="Q11" s="462"/>
      <c r="R11" s="462"/>
      <c r="S11" s="462"/>
      <c r="T11" s="462"/>
      <c r="U11" s="462"/>
      <c r="V11" s="462"/>
      <c r="W11" s="462"/>
      <c r="X11" s="462"/>
      <c r="Y11" s="462"/>
      <c r="Z11" s="467"/>
    </row>
    <row r="12" spans="1:26" s="15" customFormat="1" ht="18">
      <c r="A12" s="2166"/>
      <c r="B12" s="2105"/>
      <c r="C12" s="2106"/>
      <c r="D12" s="2107"/>
      <c r="E12" s="2106"/>
      <c r="F12" s="2106"/>
      <c r="G12" s="2106"/>
      <c r="H12" s="2106"/>
      <c r="I12" s="2108"/>
      <c r="J12" s="2108"/>
      <c r="K12" s="2109"/>
      <c r="L12" s="2110"/>
      <c r="M12" s="456"/>
      <c r="N12" s="461" t="s">
        <v>3498</v>
      </c>
      <c r="O12" s="2088" t="s">
        <v>3499</v>
      </c>
      <c r="P12" s="2088"/>
      <c r="Q12" s="2088"/>
      <c r="R12" s="2088"/>
      <c r="S12" s="2088"/>
      <c r="T12" s="2088"/>
      <c r="U12" s="2088"/>
      <c r="V12" s="2088"/>
      <c r="W12" s="2088"/>
      <c r="X12" s="2088"/>
      <c r="Y12" s="2088"/>
      <c r="Z12" s="2089"/>
    </row>
    <row r="13" spans="1:26" s="15" customFormat="1">
      <c r="A13" s="2166"/>
      <c r="B13" s="2105"/>
      <c r="C13" s="2106"/>
      <c r="D13" s="2107"/>
      <c r="E13" s="2106"/>
      <c r="F13" s="2106"/>
      <c r="G13" s="2106"/>
      <c r="H13" s="2106"/>
      <c r="I13" s="2108"/>
      <c r="J13" s="2108"/>
      <c r="K13" s="2109"/>
      <c r="L13" s="2110"/>
      <c r="M13" s="456"/>
      <c r="N13" s="26"/>
      <c r="Z13" s="469"/>
    </row>
    <row r="14" spans="1:26" s="15" customFormat="1">
      <c r="A14" s="2166"/>
      <c r="B14" s="2105"/>
      <c r="C14" s="2106"/>
      <c r="D14" s="2107"/>
      <c r="E14" s="2106"/>
      <c r="F14" s="2106"/>
      <c r="G14" s="2106"/>
      <c r="H14" s="2106"/>
      <c r="I14" s="2108"/>
      <c r="J14" s="2108"/>
      <c r="K14" s="2109"/>
      <c r="L14" s="2110"/>
      <c r="M14" s="456"/>
      <c r="N14" s="2117" t="s">
        <v>3500</v>
      </c>
      <c r="O14" s="2088" t="s">
        <v>3501</v>
      </c>
      <c r="P14" s="2088"/>
      <c r="Q14" s="2088"/>
      <c r="R14" s="2088"/>
      <c r="S14" s="2088"/>
      <c r="T14" s="2088"/>
      <c r="U14" s="2088"/>
      <c r="V14" s="2088"/>
      <c r="W14" s="2088"/>
      <c r="X14" s="2088"/>
      <c r="Y14" s="2088"/>
      <c r="Z14" s="2089"/>
    </row>
    <row r="15" spans="1:26" s="15" customFormat="1">
      <c r="A15" s="2166"/>
      <c r="B15" s="2105"/>
      <c r="C15" s="2106"/>
      <c r="D15" s="2107"/>
      <c r="E15" s="2106"/>
      <c r="F15" s="2106"/>
      <c r="G15" s="2106"/>
      <c r="H15" s="2106"/>
      <c r="I15" s="2108"/>
      <c r="J15" s="2108"/>
      <c r="K15" s="2109"/>
      <c r="L15" s="2110"/>
      <c r="M15" s="456"/>
      <c r="N15" s="2117"/>
      <c r="O15" s="2088"/>
      <c r="P15" s="2088"/>
      <c r="Q15" s="2088"/>
      <c r="R15" s="2088"/>
      <c r="S15" s="2088"/>
      <c r="T15" s="2088"/>
      <c r="U15" s="2088"/>
      <c r="V15" s="2088"/>
      <c r="W15" s="2088"/>
      <c r="X15" s="2088"/>
      <c r="Y15" s="2088"/>
      <c r="Z15" s="2089"/>
    </row>
    <row r="16" spans="1:26" s="15" customFormat="1">
      <c r="A16" s="2166"/>
      <c r="B16" s="2105"/>
      <c r="C16" s="2106"/>
      <c r="D16" s="2107"/>
      <c r="E16" s="2106"/>
      <c r="F16" s="2106"/>
      <c r="G16" s="2106"/>
      <c r="H16" s="2106"/>
      <c r="I16" s="2108"/>
      <c r="J16" s="2108"/>
      <c r="K16" s="2109"/>
      <c r="L16" s="2110"/>
      <c r="M16" s="456"/>
      <c r="N16" s="26"/>
      <c r="Z16" s="469"/>
    </row>
    <row r="17" spans="1:26" s="15" customFormat="1">
      <c r="A17" s="2166"/>
      <c r="B17" s="2105"/>
      <c r="C17" s="2106"/>
      <c r="D17" s="2107"/>
      <c r="E17" s="2106"/>
      <c r="F17" s="2106"/>
      <c r="G17" s="2106"/>
      <c r="H17" s="2106"/>
      <c r="I17" s="2108"/>
      <c r="J17" s="2108"/>
      <c r="K17" s="2109"/>
      <c r="L17" s="2110"/>
      <c r="M17" s="456"/>
      <c r="N17" s="2117" t="s">
        <v>3502</v>
      </c>
      <c r="O17" s="2088" t="s">
        <v>3503</v>
      </c>
      <c r="P17" s="2088"/>
      <c r="Q17" s="2088"/>
      <c r="R17" s="2088"/>
      <c r="S17" s="2088"/>
      <c r="T17" s="2088"/>
      <c r="U17" s="2088"/>
      <c r="V17" s="2088"/>
      <c r="W17" s="2088"/>
      <c r="X17" s="2088"/>
      <c r="Y17" s="2088"/>
      <c r="Z17" s="2089"/>
    </row>
    <row r="18" spans="1:26" s="15" customFormat="1">
      <c r="A18" s="2166"/>
      <c r="B18" s="2105"/>
      <c r="C18" s="2106"/>
      <c r="D18" s="2107"/>
      <c r="E18" s="2106"/>
      <c r="F18" s="2106"/>
      <c r="G18" s="2106"/>
      <c r="H18" s="2106"/>
      <c r="I18" s="2108"/>
      <c r="J18" s="2108"/>
      <c r="K18" s="2109"/>
      <c r="L18" s="2110"/>
      <c r="M18" s="456"/>
      <c r="N18" s="2117"/>
      <c r="O18" s="2088"/>
      <c r="P18" s="2088"/>
      <c r="Q18" s="2088"/>
      <c r="R18" s="2088"/>
      <c r="S18" s="2088"/>
      <c r="T18" s="2088"/>
      <c r="U18" s="2088"/>
      <c r="V18" s="2088"/>
      <c r="W18" s="2088"/>
      <c r="X18" s="2088"/>
      <c r="Y18" s="2088"/>
      <c r="Z18" s="2089"/>
    </row>
    <row r="19" spans="1:26" s="15" customFormat="1">
      <c r="A19" s="2166"/>
      <c r="B19" s="2105"/>
      <c r="C19" s="2106"/>
      <c r="D19" s="2107"/>
      <c r="E19" s="2106"/>
      <c r="F19" s="2106"/>
      <c r="G19" s="2106"/>
      <c r="H19" s="2106"/>
      <c r="I19" s="2108"/>
      <c r="J19" s="2108"/>
      <c r="K19" s="2109"/>
      <c r="L19" s="2110"/>
      <c r="M19" s="456"/>
      <c r="N19" s="461"/>
      <c r="O19" s="464"/>
      <c r="P19" s="464"/>
      <c r="Q19" s="464"/>
      <c r="R19" s="464"/>
      <c r="S19" s="464"/>
      <c r="T19" s="464"/>
      <c r="U19" s="464"/>
      <c r="V19" s="464"/>
      <c r="W19" s="464"/>
      <c r="X19" s="464"/>
      <c r="Y19" s="464"/>
      <c r="Z19" s="468"/>
    </row>
    <row r="20" spans="1:26" s="15" customFormat="1">
      <c r="A20" s="2166"/>
      <c r="B20" s="2105"/>
      <c r="C20" s="2106"/>
      <c r="D20" s="2107"/>
      <c r="E20" s="2106"/>
      <c r="F20" s="2106"/>
      <c r="G20" s="2106"/>
      <c r="H20" s="2106"/>
      <c r="I20" s="2108"/>
      <c r="J20" s="2108"/>
      <c r="K20" s="2109"/>
      <c r="L20" s="2110"/>
      <c r="M20" s="456"/>
      <c r="N20" s="2117" t="s">
        <v>3504</v>
      </c>
      <c r="O20" s="2111" t="s">
        <v>3505</v>
      </c>
      <c r="P20" s="2112"/>
      <c r="Q20" s="2112"/>
      <c r="R20" s="2112"/>
      <c r="S20" s="2112"/>
      <c r="T20" s="2112"/>
      <c r="U20" s="2112"/>
      <c r="V20" s="2112"/>
      <c r="W20" s="2112"/>
      <c r="X20" s="2112"/>
      <c r="Y20" s="2112"/>
      <c r="Z20" s="2113"/>
    </row>
    <row r="21" spans="1:26" s="15" customFormat="1">
      <c r="A21" s="2166"/>
      <c r="B21" s="2105"/>
      <c r="C21" s="2106"/>
      <c r="D21" s="2107"/>
      <c r="E21" s="2106"/>
      <c r="F21" s="2106"/>
      <c r="G21" s="2106"/>
      <c r="H21" s="2106"/>
      <c r="I21" s="2108"/>
      <c r="J21" s="2108"/>
      <c r="K21" s="2109"/>
      <c r="L21" s="2110"/>
      <c r="M21" s="456"/>
      <c r="N21" s="2117"/>
      <c r="O21" s="2112"/>
      <c r="P21" s="2112"/>
      <c r="Q21" s="2112"/>
      <c r="R21" s="2112"/>
      <c r="S21" s="2112"/>
      <c r="T21" s="2112"/>
      <c r="U21" s="2112"/>
      <c r="V21" s="2112"/>
      <c r="W21" s="2112"/>
      <c r="X21" s="2112"/>
      <c r="Y21" s="2112"/>
      <c r="Z21" s="2113"/>
    </row>
    <row r="22" spans="1:26" s="15" customFormat="1">
      <c r="A22" s="2166"/>
      <c r="B22" s="2105"/>
      <c r="C22" s="2106"/>
      <c r="D22" s="2107"/>
      <c r="E22" s="2106"/>
      <c r="F22" s="2106"/>
      <c r="G22" s="2106"/>
      <c r="H22" s="2106"/>
      <c r="I22" s="2108"/>
      <c r="J22" s="2108"/>
      <c r="K22" s="2109"/>
      <c r="L22" s="2110"/>
      <c r="M22" s="456"/>
      <c r="N22" s="463"/>
      <c r="O22" s="462"/>
      <c r="P22" s="462"/>
      <c r="Q22" s="462"/>
      <c r="R22" s="462"/>
      <c r="S22" s="462"/>
      <c r="T22" s="462"/>
      <c r="U22" s="462"/>
      <c r="V22" s="462"/>
      <c r="W22" s="462"/>
      <c r="X22" s="462"/>
      <c r="Y22" s="462"/>
      <c r="Z22" s="467"/>
    </row>
    <row r="23" spans="1:26" s="15" customFormat="1" ht="18">
      <c r="A23" s="2166"/>
      <c r="B23" s="2105"/>
      <c r="C23" s="2106"/>
      <c r="D23" s="2107"/>
      <c r="E23" s="2106"/>
      <c r="F23" s="2106"/>
      <c r="G23" s="2106"/>
      <c r="H23" s="2106"/>
      <c r="I23" s="2108"/>
      <c r="J23" s="2108"/>
      <c r="K23" s="2109"/>
      <c r="L23" s="2110"/>
      <c r="M23" s="456"/>
      <c r="N23" s="461" t="s">
        <v>3506</v>
      </c>
      <c r="O23" s="2088" t="s">
        <v>3507</v>
      </c>
      <c r="P23" s="2088"/>
      <c r="Q23" s="2088"/>
      <c r="R23" s="2088"/>
      <c r="S23" s="2088"/>
      <c r="T23" s="2088"/>
      <c r="U23" s="2088"/>
      <c r="V23" s="2088"/>
      <c r="W23" s="2088"/>
      <c r="X23" s="2088"/>
      <c r="Y23" s="2088"/>
      <c r="Z23" s="2089"/>
    </row>
    <row r="24" spans="1:26" s="15" customFormat="1" ht="18">
      <c r="A24" s="328"/>
      <c r="B24" s="2078" t="s">
        <v>2116</v>
      </c>
      <c r="C24" s="2079"/>
      <c r="D24" s="2090"/>
      <c r="E24" s="2079"/>
      <c r="F24" s="2079"/>
      <c r="G24" s="2079"/>
      <c r="H24" s="2080" t="s">
        <v>2117</v>
      </c>
      <c r="I24" s="2079"/>
      <c r="J24" s="2079"/>
      <c r="K24" s="2104"/>
      <c r="L24" s="2092"/>
      <c r="M24" s="456"/>
      <c r="N24" s="463"/>
      <c r="O24" s="462"/>
      <c r="P24" s="462"/>
      <c r="Q24" s="462"/>
      <c r="R24" s="462"/>
      <c r="S24" s="462"/>
      <c r="T24" s="462"/>
      <c r="U24" s="462"/>
      <c r="V24" s="462"/>
      <c r="W24" s="462"/>
      <c r="X24" s="462"/>
      <c r="Y24" s="462"/>
      <c r="Z24" s="467"/>
    </row>
    <row r="25" spans="1:26" s="15" customFormat="1">
      <c r="A25" s="328"/>
      <c r="B25" s="2105" t="str">
        <f>IF($B4=附表!B213,"",VLOOKUP($B4,附表!B95:K212,9,FALSE))</f>
        <v>· “那个东西”在你没有意识到的时候抓住了你（你感到惊讶）
· 你错听了对话的内容，并且将内容混在了一起
· 你在偷听的行为被人捉住了，并且发现自己正在一个非常尴尬的困境之中</v>
      </c>
      <c r="C25" s="2106"/>
      <c r="D25" s="2107"/>
      <c r="E25" s="2106"/>
      <c r="F25" s="2106"/>
      <c r="G25" s="2106"/>
      <c r="H25" s="2114" t="str">
        <f>IF($B4=附表!B213,"",VLOOKUP($B4,附表!B95:K212,10,FALSE))</f>
        <v>他将会变得对所有声音过度敏感，并且无法在没有耳塞或者相似物体的情况下控制自己</v>
      </c>
      <c r="I25" s="2114"/>
      <c r="J25" s="2114"/>
      <c r="K25" s="2115"/>
      <c r="L25" s="2116"/>
      <c r="M25" s="456"/>
      <c r="N25" s="2117" t="s">
        <v>3508</v>
      </c>
      <c r="O25" s="2088" t="s">
        <v>3509</v>
      </c>
      <c r="P25" s="2088"/>
      <c r="Q25" s="2088"/>
      <c r="R25" s="2088"/>
      <c r="S25" s="2088"/>
      <c r="T25" s="2088"/>
      <c r="U25" s="2088"/>
      <c r="V25" s="2088"/>
      <c r="W25" s="2088"/>
      <c r="X25" s="2088"/>
      <c r="Y25" s="2088"/>
      <c r="Z25" s="2089"/>
    </row>
    <row r="26" spans="1:26" s="15" customFormat="1">
      <c r="A26" s="328"/>
      <c r="B26" s="2105"/>
      <c r="C26" s="2106"/>
      <c r="D26" s="2106"/>
      <c r="E26" s="2106"/>
      <c r="F26" s="2106"/>
      <c r="G26" s="2106"/>
      <c r="H26" s="2114"/>
      <c r="I26" s="2114"/>
      <c r="J26" s="2114"/>
      <c r="K26" s="2114"/>
      <c r="L26" s="2116"/>
      <c r="M26" s="456"/>
      <c r="N26" s="2117"/>
      <c r="O26" s="2088"/>
      <c r="P26" s="2088"/>
      <c r="Q26" s="2088"/>
      <c r="R26" s="2088"/>
      <c r="S26" s="2088"/>
      <c r="T26" s="2088"/>
      <c r="U26" s="2088"/>
      <c r="V26" s="2088"/>
      <c r="W26" s="2088"/>
      <c r="X26" s="2088"/>
      <c r="Y26" s="2088"/>
      <c r="Z26" s="2089"/>
    </row>
    <row r="27" spans="1:26" s="15" customFormat="1">
      <c r="A27" s="328"/>
      <c r="B27" s="2105"/>
      <c r="C27" s="2106"/>
      <c r="D27" s="2106"/>
      <c r="E27" s="2106"/>
      <c r="F27" s="2106"/>
      <c r="G27" s="2106"/>
      <c r="H27" s="2114"/>
      <c r="I27" s="2114"/>
      <c r="J27" s="2114"/>
      <c r="K27" s="2114"/>
      <c r="L27" s="2116"/>
      <c r="M27" s="456"/>
      <c r="N27" s="463"/>
      <c r="O27" s="462"/>
      <c r="P27" s="462"/>
      <c r="Q27" s="462"/>
      <c r="R27" s="462"/>
      <c r="S27" s="462"/>
      <c r="T27" s="462"/>
      <c r="U27" s="462"/>
      <c r="V27" s="462"/>
      <c r="W27" s="462"/>
      <c r="X27" s="462"/>
      <c r="Y27" s="462"/>
      <c r="Z27" s="467"/>
    </row>
    <row r="28" spans="1:26" ht="18">
      <c r="A28" s="328"/>
      <c r="B28" s="2105"/>
      <c r="C28" s="2106"/>
      <c r="D28" s="2106"/>
      <c r="E28" s="2106"/>
      <c r="F28" s="2106"/>
      <c r="G28" s="2106"/>
      <c r="H28" s="2114"/>
      <c r="I28" s="2114"/>
      <c r="J28" s="2114"/>
      <c r="K28" s="2114"/>
      <c r="L28" s="2116"/>
      <c r="M28" s="456"/>
      <c r="N28" s="461" t="s">
        <v>3510</v>
      </c>
      <c r="O28" s="2088" t="s">
        <v>3511</v>
      </c>
      <c r="P28" s="2088"/>
      <c r="Q28" s="2088"/>
      <c r="R28" s="2088"/>
      <c r="S28" s="2088"/>
      <c r="T28" s="2088"/>
      <c r="U28" s="2088"/>
      <c r="V28" s="2088"/>
      <c r="W28" s="2088"/>
      <c r="X28" s="2088"/>
      <c r="Y28" s="2088"/>
      <c r="Z28" s="2089"/>
    </row>
    <row r="29" spans="1:26" s="15" customFormat="1">
      <c r="A29" s="328"/>
      <c r="B29" s="2105"/>
      <c r="C29" s="2106"/>
      <c r="D29" s="2106"/>
      <c r="E29" s="2106"/>
      <c r="F29" s="2106"/>
      <c r="G29" s="2106"/>
      <c r="H29" s="2114"/>
      <c r="I29" s="2114"/>
      <c r="J29" s="2114"/>
      <c r="K29" s="2114"/>
      <c r="L29" s="2116"/>
      <c r="M29" s="456"/>
      <c r="N29" s="463"/>
      <c r="O29" s="462"/>
      <c r="P29" s="462"/>
      <c r="Q29" s="462"/>
      <c r="R29" s="462"/>
      <c r="S29" s="462"/>
      <c r="T29" s="462"/>
      <c r="U29" s="462"/>
      <c r="V29" s="462"/>
      <c r="W29" s="462"/>
      <c r="X29" s="462"/>
      <c r="Y29" s="462"/>
      <c r="Z29" s="467"/>
    </row>
    <row r="30" spans="1:26" s="15" customFormat="1" ht="18">
      <c r="A30" s="328"/>
      <c r="B30" s="2105"/>
      <c r="C30" s="2106"/>
      <c r="D30" s="2106"/>
      <c r="E30" s="2106"/>
      <c r="F30" s="2106"/>
      <c r="G30" s="2106"/>
      <c r="H30" s="2114"/>
      <c r="I30" s="2114"/>
      <c r="J30" s="2114"/>
      <c r="K30" s="2114"/>
      <c r="L30" s="2116"/>
      <c r="M30" s="456"/>
      <c r="N30" s="461" t="s">
        <v>3512</v>
      </c>
      <c r="O30" s="2088" t="s">
        <v>3513</v>
      </c>
      <c r="P30" s="2088"/>
      <c r="Q30" s="2088"/>
      <c r="R30" s="2088"/>
      <c r="S30" s="2088"/>
      <c r="T30" s="2088"/>
      <c r="U30" s="2088"/>
      <c r="V30" s="2088"/>
      <c r="W30" s="2088"/>
      <c r="X30" s="2088"/>
      <c r="Y30" s="2088"/>
      <c r="Z30" s="2089"/>
    </row>
    <row r="31" spans="1:26" s="15" customFormat="1">
      <c r="A31" s="328"/>
      <c r="B31" s="2105"/>
      <c r="C31" s="2106"/>
      <c r="D31" s="2106"/>
      <c r="E31" s="2106"/>
      <c r="F31" s="2106"/>
      <c r="G31" s="2106"/>
      <c r="H31" s="2114"/>
      <c r="I31" s="2114"/>
      <c r="J31" s="2114"/>
      <c r="K31" s="2114"/>
      <c r="L31" s="2116"/>
      <c r="M31" s="456"/>
      <c r="N31" s="461"/>
      <c r="O31" s="462"/>
      <c r="P31" s="462"/>
      <c r="Q31" s="462"/>
      <c r="R31" s="462"/>
      <c r="S31" s="462"/>
      <c r="T31" s="462"/>
      <c r="U31" s="462"/>
      <c r="V31" s="462"/>
      <c r="W31" s="462"/>
      <c r="X31" s="462"/>
      <c r="Y31" s="462"/>
      <c r="Z31" s="467"/>
    </row>
    <row r="32" spans="1:26" s="15" customFormat="1" ht="18">
      <c r="A32" s="328"/>
      <c r="B32" s="2105"/>
      <c r="C32" s="2106"/>
      <c r="D32" s="2106"/>
      <c r="E32" s="2106"/>
      <c r="F32" s="2106"/>
      <c r="G32" s="2106"/>
      <c r="H32" s="2114"/>
      <c r="I32" s="2114"/>
      <c r="J32" s="2114"/>
      <c r="K32" s="2114"/>
      <c r="L32" s="2116"/>
      <c r="M32" s="456"/>
      <c r="N32" s="461" t="s">
        <v>3514</v>
      </c>
      <c r="O32" s="2088" t="s">
        <v>3515</v>
      </c>
      <c r="P32" s="2088"/>
      <c r="Q32" s="2088"/>
      <c r="R32" s="2088"/>
      <c r="S32" s="2088"/>
      <c r="T32" s="2088"/>
      <c r="U32" s="2088"/>
      <c r="V32" s="2088"/>
      <c r="W32" s="2088"/>
      <c r="X32" s="2088"/>
      <c r="Y32" s="2088"/>
      <c r="Z32" s="2089"/>
    </row>
    <row r="33" spans="1:26" s="15" customFormat="1">
      <c r="A33" s="328"/>
      <c r="B33" s="2105"/>
      <c r="C33" s="2106"/>
      <c r="D33" s="2106"/>
      <c r="E33" s="2106"/>
      <c r="F33" s="2106"/>
      <c r="G33" s="2106"/>
      <c r="H33" s="2114"/>
      <c r="I33" s="2114"/>
      <c r="J33" s="2114"/>
      <c r="K33" s="2114"/>
      <c r="L33" s="2116"/>
      <c r="M33" s="456"/>
      <c r="N33" s="461"/>
      <c r="O33" s="464"/>
      <c r="P33" s="464"/>
      <c r="Q33" s="464"/>
      <c r="R33" s="464"/>
      <c r="S33" s="464"/>
      <c r="T33" s="464"/>
      <c r="U33" s="464"/>
      <c r="V33" s="464"/>
      <c r="W33" s="464"/>
      <c r="X33" s="464"/>
      <c r="Y33" s="464"/>
      <c r="Z33" s="468"/>
    </row>
    <row r="34" spans="1:26" s="15" customFormat="1" ht="18">
      <c r="A34" s="328"/>
      <c r="B34" s="2105"/>
      <c r="C34" s="2106"/>
      <c r="D34" s="2106"/>
      <c r="E34" s="2106"/>
      <c r="F34" s="2106"/>
      <c r="G34" s="2106"/>
      <c r="H34" s="2114"/>
      <c r="I34" s="2114"/>
      <c r="J34" s="2114"/>
      <c r="K34" s="2114"/>
      <c r="L34" s="2116"/>
      <c r="M34" s="456"/>
      <c r="N34" s="461" t="s">
        <v>3516</v>
      </c>
      <c r="O34" s="2088" t="s">
        <v>3517</v>
      </c>
      <c r="P34" s="2088"/>
      <c r="Q34" s="2088"/>
      <c r="R34" s="2088"/>
      <c r="S34" s="2088"/>
      <c r="T34" s="2088"/>
      <c r="U34" s="2088"/>
      <c r="V34" s="2088"/>
      <c r="W34" s="2088"/>
      <c r="X34" s="2088"/>
      <c r="Y34" s="2088"/>
      <c r="Z34" s="2089"/>
    </row>
    <row r="35" spans="1:26" s="15" customFormat="1">
      <c r="A35" s="328"/>
      <c r="B35" s="2105"/>
      <c r="C35" s="2106"/>
      <c r="D35" s="2106"/>
      <c r="E35" s="2106"/>
      <c r="F35" s="2106"/>
      <c r="G35" s="2106"/>
      <c r="H35" s="2114"/>
      <c r="I35" s="2114"/>
      <c r="J35" s="2114"/>
      <c r="K35" s="2114"/>
      <c r="L35" s="2116"/>
      <c r="M35" s="456"/>
      <c r="N35" s="2117"/>
      <c r="O35" s="2088"/>
      <c r="P35" s="2088"/>
      <c r="Q35" s="2088"/>
      <c r="R35" s="2088"/>
      <c r="S35" s="2088"/>
      <c r="T35" s="2088"/>
      <c r="U35" s="2088"/>
      <c r="V35" s="2088"/>
      <c r="W35" s="2088"/>
      <c r="X35" s="2088"/>
      <c r="Y35" s="2088"/>
      <c r="Z35" s="2089"/>
    </row>
    <row r="36" spans="1:26" s="15" customFormat="1">
      <c r="A36" s="328"/>
      <c r="B36" s="2105"/>
      <c r="C36" s="2106"/>
      <c r="D36" s="2106"/>
      <c r="E36" s="2106"/>
      <c r="F36" s="2106"/>
      <c r="G36" s="2106"/>
      <c r="H36" s="2114"/>
      <c r="I36" s="2114"/>
      <c r="J36" s="2114"/>
      <c r="K36" s="2114"/>
      <c r="L36" s="2116"/>
      <c r="M36" s="456"/>
      <c r="N36" s="2117" t="s">
        <v>3518</v>
      </c>
      <c r="O36" s="2088" t="s">
        <v>3519</v>
      </c>
      <c r="P36" s="2088"/>
      <c r="Q36" s="2088"/>
      <c r="R36" s="2088"/>
      <c r="S36" s="2088"/>
      <c r="T36" s="2088"/>
      <c r="U36" s="2088"/>
      <c r="V36" s="2088"/>
      <c r="W36" s="2088"/>
      <c r="X36" s="2088"/>
      <c r="Y36" s="2088"/>
      <c r="Z36" s="2089"/>
    </row>
    <row r="37" spans="1:26" s="15" customFormat="1">
      <c r="A37" s="328"/>
      <c r="B37" s="2105"/>
      <c r="C37" s="2106"/>
      <c r="D37" s="2106"/>
      <c r="E37" s="2106"/>
      <c r="F37" s="2106"/>
      <c r="G37" s="2106"/>
      <c r="H37" s="2114"/>
      <c r="I37" s="2114"/>
      <c r="J37" s="2114"/>
      <c r="K37" s="2114"/>
      <c r="L37" s="2116"/>
      <c r="M37" s="456"/>
      <c r="N37" s="2117"/>
      <c r="O37" s="2088"/>
      <c r="P37" s="2088"/>
      <c r="Q37" s="2088"/>
      <c r="R37" s="2088"/>
      <c r="S37" s="2088"/>
      <c r="T37" s="2088"/>
      <c r="U37" s="2088"/>
      <c r="V37" s="2088"/>
      <c r="W37" s="2088"/>
      <c r="X37" s="2088"/>
      <c r="Y37" s="2088"/>
      <c r="Z37" s="2089"/>
    </row>
    <row r="38" spans="1:26" s="15" customFormat="1">
      <c r="A38" s="328"/>
      <c r="B38" s="2105"/>
      <c r="C38" s="2106"/>
      <c r="D38" s="2106"/>
      <c r="E38" s="2106"/>
      <c r="F38" s="2106"/>
      <c r="G38" s="2106"/>
      <c r="H38" s="2114"/>
      <c r="I38" s="2114"/>
      <c r="J38" s="2114"/>
      <c r="K38" s="2114"/>
      <c r="L38" s="2116"/>
      <c r="M38" s="456"/>
      <c r="N38" s="2117"/>
      <c r="O38" s="2088"/>
      <c r="P38" s="2088"/>
      <c r="Q38" s="2088"/>
      <c r="R38" s="2088"/>
      <c r="S38" s="2088"/>
      <c r="T38" s="2088"/>
      <c r="U38" s="2088"/>
      <c r="V38" s="2088"/>
      <c r="W38" s="2088"/>
      <c r="X38" s="2088"/>
      <c r="Y38" s="2088"/>
      <c r="Z38" s="2089"/>
    </row>
    <row r="39" spans="1:26" ht="18">
      <c r="A39" s="328"/>
      <c r="B39" s="2078" t="s">
        <v>3520</v>
      </c>
      <c r="C39" s="2079"/>
      <c r="D39" s="2079"/>
      <c r="E39" s="2079"/>
      <c r="F39" s="2079"/>
      <c r="G39" s="2079"/>
      <c r="H39" s="2079"/>
      <c r="I39" s="2079"/>
      <c r="J39" s="2079"/>
      <c r="K39" s="2079"/>
      <c r="L39" s="2092"/>
      <c r="M39" s="456"/>
      <c r="N39" s="2117" t="s">
        <v>3521</v>
      </c>
      <c r="O39" s="2088" t="s">
        <v>3522</v>
      </c>
      <c r="P39" s="2147"/>
      <c r="Q39" s="2147"/>
      <c r="R39" s="2147"/>
      <c r="S39" s="2147"/>
      <c r="T39" s="2147"/>
      <c r="U39" s="2147"/>
      <c r="V39" s="2147"/>
      <c r="W39" s="2147"/>
      <c r="X39" s="2147"/>
      <c r="Y39" s="2147"/>
      <c r="Z39" s="2148"/>
    </row>
    <row r="40" spans="1:26" ht="14">
      <c r="A40" s="328"/>
      <c r="B40" s="2127" t="str">
        <f>IF($B4=附表!B213,"",VLOOKUP($B4,附表!B95:K212,5,FALSE))</f>
        <v>·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v>
      </c>
      <c r="C40" s="2128"/>
      <c r="D40" s="2128"/>
      <c r="E40" s="2128"/>
      <c r="F40" s="2128"/>
      <c r="G40" s="2128"/>
      <c r="H40" s="2128"/>
      <c r="I40" s="2128"/>
      <c r="J40" s="2128"/>
      <c r="K40" s="2128"/>
      <c r="L40" s="2129"/>
      <c r="M40" s="456"/>
      <c r="N40" s="2117"/>
      <c r="O40" s="2147"/>
      <c r="P40" s="2147"/>
      <c r="Q40" s="2147"/>
      <c r="R40" s="2147"/>
      <c r="S40" s="2147"/>
      <c r="T40" s="2147"/>
      <c r="U40" s="2147"/>
      <c r="V40" s="2147"/>
      <c r="W40" s="2147"/>
      <c r="X40" s="2147"/>
      <c r="Y40" s="2147"/>
      <c r="Z40" s="2148"/>
    </row>
    <row r="41" spans="1:26">
      <c r="A41" s="328"/>
      <c r="B41" s="2130"/>
      <c r="C41" s="2131"/>
      <c r="D41" s="2131"/>
      <c r="E41" s="2131"/>
      <c r="F41" s="2131"/>
      <c r="G41" s="2131"/>
      <c r="H41" s="2131"/>
      <c r="I41" s="2131"/>
      <c r="J41" s="2131"/>
      <c r="K41" s="2131"/>
      <c r="L41" s="2132"/>
      <c r="M41" s="456"/>
      <c r="N41" s="2117"/>
      <c r="O41" s="2088"/>
      <c r="P41" s="2088"/>
      <c r="Q41" s="2088"/>
      <c r="R41" s="2088"/>
      <c r="S41" s="2088"/>
      <c r="T41" s="2088"/>
      <c r="U41" s="2088"/>
      <c r="V41" s="2088"/>
      <c r="W41" s="2088"/>
      <c r="X41" s="2088"/>
      <c r="Y41" s="2088"/>
      <c r="Z41" s="2089"/>
    </row>
    <row r="42" spans="1:26">
      <c r="A42" s="328"/>
      <c r="B42" s="2130"/>
      <c r="C42" s="2131"/>
      <c r="D42" s="2131"/>
      <c r="E42" s="2131"/>
      <c r="F42" s="2131"/>
      <c r="G42" s="2131"/>
      <c r="H42" s="2131"/>
      <c r="I42" s="2131"/>
      <c r="J42" s="2131"/>
      <c r="K42" s="2131"/>
      <c r="L42" s="2132"/>
      <c r="M42" s="456"/>
      <c r="N42" s="463"/>
      <c r="O42" s="462"/>
      <c r="P42" s="462"/>
      <c r="Q42" s="462"/>
      <c r="R42" s="462"/>
      <c r="S42" s="462"/>
      <c r="T42" s="462"/>
      <c r="U42" s="462"/>
      <c r="V42" s="462"/>
      <c r="W42" s="462"/>
      <c r="X42" s="462"/>
      <c r="Y42" s="462"/>
      <c r="Z42" s="467"/>
    </row>
    <row r="43" spans="1:26" ht="17" customHeight="1">
      <c r="A43" s="328"/>
      <c r="B43" s="2130"/>
      <c r="C43" s="2131"/>
      <c r="D43" s="2131"/>
      <c r="E43" s="2131"/>
      <c r="F43" s="2131"/>
      <c r="G43" s="2131"/>
      <c r="H43" s="2131"/>
      <c r="I43" s="2131"/>
      <c r="J43" s="2131"/>
      <c r="K43" s="2131"/>
      <c r="L43" s="2132"/>
      <c r="M43" s="456"/>
      <c r="N43" s="465" t="s">
        <v>3523</v>
      </c>
      <c r="O43" s="2118" t="s">
        <v>3524</v>
      </c>
      <c r="P43" s="2118"/>
      <c r="Q43" s="2118"/>
      <c r="R43" s="2118"/>
      <c r="S43" s="2118"/>
      <c r="T43" s="2118"/>
      <c r="U43" s="2118"/>
      <c r="V43" s="2118"/>
      <c r="W43" s="2118"/>
      <c r="X43" s="2118"/>
      <c r="Y43" s="2118"/>
      <c r="Z43" s="2119"/>
    </row>
    <row r="44" spans="1:26" ht="17" customHeight="1">
      <c r="A44" s="328"/>
      <c r="B44" s="2130"/>
      <c r="C44" s="2131"/>
      <c r="D44" s="2131"/>
      <c r="E44" s="2131"/>
      <c r="F44" s="2131"/>
      <c r="G44" s="2131"/>
      <c r="H44" s="2131"/>
      <c r="I44" s="2131"/>
      <c r="J44" s="2131"/>
      <c r="K44" s="2131"/>
      <c r="L44" s="2132"/>
      <c r="M44" s="328"/>
    </row>
    <row r="45" spans="1:26">
      <c r="B45" s="2130"/>
      <c r="C45" s="2131"/>
      <c r="D45" s="2131"/>
      <c r="E45" s="2131"/>
      <c r="F45" s="2131"/>
      <c r="G45" s="2131"/>
      <c r="H45" s="2131"/>
      <c r="I45" s="2131"/>
      <c r="J45" s="2131"/>
      <c r="K45" s="2131"/>
      <c r="L45" s="2132"/>
      <c r="O45" s="1499" t="s">
        <v>306</v>
      </c>
      <c r="P45" s="1499"/>
      <c r="Q45" s="1499"/>
      <c r="R45" s="1499"/>
      <c r="S45" s="1499"/>
      <c r="T45" s="1499"/>
      <c r="U45" s="1499"/>
      <c r="V45" s="1499"/>
      <c r="W45" s="1499"/>
      <c r="X45" s="1499"/>
      <c r="Y45" s="1499"/>
    </row>
    <row r="46" spans="1:26" s="15" customFormat="1">
      <c r="B46" s="2130"/>
      <c r="C46" s="2131"/>
      <c r="D46" s="2131"/>
      <c r="E46" s="2131"/>
      <c r="F46" s="2131"/>
      <c r="G46" s="2131"/>
      <c r="H46" s="2131"/>
      <c r="I46" s="2131"/>
      <c r="J46" s="2131"/>
      <c r="K46" s="2131"/>
      <c r="L46" s="2132"/>
    </row>
    <row r="47" spans="1:26" s="15" customFormat="1">
      <c r="B47" s="2130"/>
      <c r="C47" s="2131"/>
      <c r="D47" s="2131"/>
      <c r="E47" s="2131"/>
      <c r="F47" s="2131"/>
      <c r="G47" s="2131"/>
      <c r="H47" s="2131"/>
      <c r="I47" s="2131"/>
      <c r="J47" s="2131"/>
      <c r="K47" s="2131"/>
      <c r="L47" s="2132"/>
    </row>
    <row r="48" spans="1:26">
      <c r="B48" s="2130"/>
      <c r="C48" s="2131"/>
      <c r="D48" s="2131"/>
      <c r="E48" s="2131"/>
      <c r="F48" s="2131"/>
      <c r="G48" s="2131"/>
      <c r="H48" s="2131"/>
      <c r="I48" s="2131"/>
      <c r="J48" s="2131"/>
      <c r="K48" s="2131"/>
      <c r="L48" s="2132"/>
    </row>
    <row r="49" spans="2:26">
      <c r="B49" s="2130"/>
      <c r="C49" s="2131"/>
      <c r="D49" s="2131"/>
      <c r="E49" s="2131"/>
      <c r="F49" s="2131"/>
      <c r="G49" s="2131"/>
      <c r="H49" s="2131"/>
      <c r="I49" s="2131"/>
      <c r="J49" s="2131"/>
      <c r="K49" s="2131"/>
      <c r="L49" s="2132"/>
    </row>
    <row r="50" spans="2:26" ht="16.5" customHeight="1">
      <c r="B50" s="2130"/>
      <c r="C50" s="2131"/>
      <c r="D50" s="2131"/>
      <c r="E50" s="2131"/>
      <c r="F50" s="2131"/>
      <c r="G50" s="2131"/>
      <c r="H50" s="2131"/>
      <c r="I50" s="2131"/>
      <c r="J50" s="2131"/>
      <c r="K50" s="2131"/>
      <c r="L50" s="2132"/>
    </row>
    <row r="51" spans="2:26" ht="16.5" customHeight="1">
      <c r="B51" s="2130"/>
      <c r="C51" s="2131"/>
      <c r="D51" s="2131"/>
      <c r="E51" s="2131"/>
      <c r="F51" s="2131"/>
      <c r="G51" s="2131"/>
      <c r="H51" s="2131"/>
      <c r="I51" s="2131"/>
      <c r="J51" s="2131"/>
      <c r="K51" s="2131"/>
      <c r="L51" s="2132"/>
    </row>
    <row r="52" spans="2:26" ht="16.5" customHeight="1">
      <c r="B52" s="2130"/>
      <c r="C52" s="2131"/>
      <c r="D52" s="2131"/>
      <c r="E52" s="2131"/>
      <c r="F52" s="2131"/>
      <c r="G52" s="2131"/>
      <c r="H52" s="2131"/>
      <c r="I52" s="2131"/>
      <c r="J52" s="2131"/>
      <c r="K52" s="2131"/>
      <c r="L52" s="2132"/>
    </row>
    <row r="53" spans="2:26" ht="16.5" customHeight="1">
      <c r="B53" s="2130"/>
      <c r="C53" s="2131"/>
      <c r="D53" s="2131"/>
      <c r="E53" s="2131"/>
      <c r="F53" s="2131"/>
      <c r="G53" s="2131"/>
      <c r="H53" s="2131"/>
      <c r="I53" s="2131"/>
      <c r="J53" s="2131"/>
      <c r="K53" s="2131"/>
      <c r="L53" s="2132"/>
    </row>
    <row r="54" spans="2:26" s="15" customFormat="1" ht="16.5" customHeight="1">
      <c r="B54" s="2130"/>
      <c r="C54" s="2131"/>
      <c r="D54" s="2131"/>
      <c r="E54" s="2131"/>
      <c r="F54" s="2131"/>
      <c r="G54" s="2131"/>
      <c r="H54" s="2131"/>
      <c r="I54" s="2131"/>
      <c r="J54" s="2131"/>
      <c r="K54" s="2131"/>
      <c r="L54" s="2132"/>
    </row>
    <row r="55" spans="2:26" s="15" customFormat="1" ht="16.5" customHeight="1">
      <c r="B55" s="2130"/>
      <c r="C55" s="2131"/>
      <c r="D55" s="2131"/>
      <c r="E55" s="2131"/>
      <c r="F55" s="2131"/>
      <c r="G55" s="2131"/>
      <c r="H55" s="2131"/>
      <c r="I55" s="2131"/>
      <c r="J55" s="2131"/>
      <c r="K55" s="2131"/>
      <c r="L55" s="2132"/>
    </row>
    <row r="56" spans="2:26" s="15" customFormat="1" ht="16.5" customHeight="1">
      <c r="B56" s="2130"/>
      <c r="C56" s="2131"/>
      <c r="D56" s="2131"/>
      <c r="E56" s="2131"/>
      <c r="F56" s="2131"/>
      <c r="G56" s="2131"/>
      <c r="H56" s="2131"/>
      <c r="I56" s="2131"/>
      <c r="J56" s="2131"/>
      <c r="K56" s="2131"/>
      <c r="L56" s="2132"/>
    </row>
    <row r="57" spans="2:26" s="15" customFormat="1" ht="16.5" customHeight="1">
      <c r="B57" s="2130"/>
      <c r="C57" s="2131"/>
      <c r="D57" s="2131"/>
      <c r="E57" s="2131"/>
      <c r="F57" s="2131"/>
      <c r="G57" s="2131"/>
      <c r="H57" s="2131"/>
      <c r="I57" s="2131"/>
      <c r="J57" s="2131"/>
      <c r="K57" s="2131"/>
      <c r="L57" s="2132"/>
    </row>
    <row r="58" spans="2:26" s="15" customFormat="1" ht="16.5" customHeight="1">
      <c r="B58" s="2130"/>
      <c r="C58" s="2131"/>
      <c r="D58" s="2131"/>
      <c r="E58" s="2131"/>
      <c r="F58" s="2131"/>
      <c r="G58" s="2131"/>
      <c r="H58" s="2131"/>
      <c r="I58" s="2131"/>
      <c r="J58" s="2131"/>
      <c r="K58" s="2131"/>
      <c r="L58" s="2132"/>
    </row>
    <row r="59" spans="2:26" ht="16.5" customHeight="1">
      <c r="B59" s="2130"/>
      <c r="C59" s="2131"/>
      <c r="D59" s="2131"/>
      <c r="E59" s="2131"/>
      <c r="F59" s="2131"/>
      <c r="G59" s="2131"/>
      <c r="H59" s="2131"/>
      <c r="I59" s="2131"/>
      <c r="J59" s="2131"/>
      <c r="K59" s="2131"/>
      <c r="L59" s="2132"/>
    </row>
    <row r="60" spans="2:26" ht="16.5" customHeight="1">
      <c r="B60" s="2133"/>
      <c r="C60" s="2134"/>
      <c r="D60" s="2134"/>
      <c r="E60" s="2134"/>
      <c r="F60" s="2134"/>
      <c r="G60" s="2134"/>
      <c r="H60" s="2134"/>
      <c r="I60" s="2134"/>
      <c r="J60" s="2134"/>
      <c r="K60" s="2134"/>
      <c r="L60" s="2135"/>
    </row>
    <row r="61" spans="2:26" s="15" customFormat="1" ht="16.5" customHeight="1">
      <c r="B61" s="455"/>
      <c r="C61" s="455"/>
      <c r="D61" s="455"/>
      <c r="E61" s="455"/>
      <c r="F61" s="455"/>
      <c r="G61" s="455"/>
      <c r="H61" s="455"/>
      <c r="I61" s="455"/>
      <c r="J61" s="455"/>
      <c r="K61" s="455"/>
      <c r="L61" s="455"/>
    </row>
    <row r="62" spans="2:26" s="15" customFormat="1" ht="16.5" customHeight="1"/>
    <row r="63" spans="2:26" s="15" customFormat="1" ht="16.5" customHeight="1"/>
    <row r="64" spans="2:26" s="15" customFormat="1" ht="16.5" customHeight="1">
      <c r="B64" s="2196" t="s">
        <v>3525</v>
      </c>
      <c r="C64" s="2197"/>
      <c r="D64" s="2197"/>
      <c r="E64" s="2197"/>
      <c r="F64" s="2197"/>
      <c r="G64" s="2197"/>
      <c r="H64" s="2197"/>
      <c r="I64" s="2197"/>
      <c r="J64" s="2197"/>
      <c r="K64" s="2197"/>
      <c r="L64" s="2197"/>
      <c r="M64" s="2197"/>
      <c r="N64" s="2197"/>
      <c r="O64" s="2197"/>
      <c r="P64" s="2197"/>
      <c r="Q64" s="2197"/>
      <c r="R64" s="2197"/>
      <c r="S64" s="2197"/>
      <c r="T64" s="2197"/>
      <c r="U64" s="2197"/>
      <c r="V64" s="2197"/>
      <c r="W64" s="2197"/>
      <c r="X64" s="2197"/>
      <c r="Y64" s="2197"/>
      <c r="Z64" s="2198"/>
    </row>
    <row r="65" spans="2:26" s="15" customFormat="1" ht="16.5" customHeight="1">
      <c r="B65" s="2199"/>
      <c r="C65" s="2200"/>
      <c r="D65" s="2200"/>
      <c r="E65" s="2200"/>
      <c r="F65" s="2200"/>
      <c r="G65" s="2200"/>
      <c r="H65" s="2200"/>
      <c r="I65" s="2200"/>
      <c r="J65" s="2200"/>
      <c r="K65" s="2200"/>
      <c r="L65" s="2200"/>
      <c r="M65" s="2200"/>
      <c r="N65" s="2200"/>
      <c r="O65" s="2200"/>
      <c r="P65" s="2200"/>
      <c r="Q65" s="2200"/>
      <c r="R65" s="2200"/>
      <c r="S65" s="2200"/>
      <c r="T65" s="2200"/>
      <c r="U65" s="2200"/>
      <c r="V65" s="2200"/>
      <c r="W65" s="2200"/>
      <c r="X65" s="2200"/>
      <c r="Y65" s="2200"/>
      <c r="Z65" s="2201"/>
    </row>
    <row r="66" spans="2:26" s="15" customFormat="1" ht="16.5" customHeight="1">
      <c r="B66" s="2202"/>
      <c r="C66" s="2203"/>
      <c r="D66" s="2203"/>
      <c r="E66" s="2203"/>
      <c r="F66" s="2203"/>
      <c r="G66" s="2203"/>
      <c r="H66" s="2203"/>
      <c r="I66" s="2203"/>
      <c r="J66" s="2203"/>
      <c r="K66" s="2203"/>
      <c r="L66" s="2203"/>
      <c r="M66" s="2203"/>
      <c r="N66" s="2203"/>
      <c r="O66" s="2203"/>
      <c r="P66" s="2203"/>
      <c r="Q66" s="2203"/>
      <c r="R66" s="2203"/>
      <c r="S66" s="2203"/>
      <c r="T66" s="2203"/>
      <c r="U66" s="2203"/>
      <c r="V66" s="2203"/>
      <c r="W66" s="2203"/>
      <c r="X66" s="2203"/>
      <c r="Y66" s="2203"/>
      <c r="Z66" s="2204"/>
    </row>
    <row r="67" spans="2:26" s="15" customFormat="1" ht="16.5" customHeight="1"/>
    <row r="68" spans="2:26" s="15" customFormat="1" ht="16.5" customHeight="1">
      <c r="B68" s="1915" t="s">
        <v>3526</v>
      </c>
      <c r="C68" s="1916"/>
      <c r="D68" s="1916"/>
      <c r="E68" s="1916"/>
      <c r="F68" s="1916"/>
      <c r="G68" s="1916"/>
      <c r="H68" s="1916"/>
      <c r="I68" s="1916"/>
      <c r="J68" s="1916"/>
      <c r="K68" s="1916"/>
      <c r="L68" s="1916"/>
      <c r="M68" s="1916"/>
      <c r="N68" s="1916"/>
      <c r="O68" s="1916"/>
      <c r="P68" s="1916"/>
      <c r="Q68" s="1916"/>
      <c r="R68" s="1916"/>
      <c r="S68" s="1916"/>
      <c r="T68" s="1916"/>
      <c r="U68" s="1916"/>
      <c r="V68" s="1916"/>
      <c r="W68" s="1916"/>
      <c r="X68" s="1916"/>
      <c r="Y68" s="1916"/>
      <c r="Z68" s="1917"/>
    </row>
    <row r="69" spans="2:26" s="15" customFormat="1" ht="16.5" customHeight="1">
      <c r="B69" s="1918"/>
      <c r="C69" s="1919"/>
      <c r="D69" s="1919"/>
      <c r="E69" s="1919"/>
      <c r="F69" s="1919"/>
      <c r="G69" s="1919"/>
      <c r="H69" s="1919"/>
      <c r="I69" s="1919"/>
      <c r="J69" s="1919"/>
      <c r="K69" s="1919"/>
      <c r="L69" s="1919"/>
      <c r="M69" s="1919"/>
      <c r="N69" s="1919"/>
      <c r="O69" s="1919"/>
      <c r="P69" s="1919"/>
      <c r="Q69" s="1919"/>
      <c r="R69" s="1919"/>
      <c r="S69" s="1919"/>
      <c r="T69" s="1919"/>
      <c r="U69" s="1919"/>
      <c r="V69" s="1919"/>
      <c r="W69" s="1919"/>
      <c r="X69" s="1919"/>
      <c r="Y69" s="1919"/>
      <c r="Z69" s="1920"/>
    </row>
    <row r="70" spans="2:26" s="15" customFormat="1" ht="16.5" customHeight="1">
      <c r="B70" s="2205" t="s">
        <v>3527</v>
      </c>
      <c r="C70" s="2206"/>
      <c r="D70" s="2206"/>
      <c r="E70" s="2206"/>
      <c r="F70" s="2206"/>
      <c r="G70" s="2206"/>
      <c r="H70" s="2206"/>
      <c r="I70" s="2206"/>
      <c r="J70" s="2206"/>
      <c r="K70" s="2206"/>
      <c r="L70" s="2206"/>
      <c r="M70" s="2207"/>
      <c r="O70" s="2212" t="s">
        <v>3528</v>
      </c>
      <c r="P70" s="2209"/>
      <c r="Q70" s="2209"/>
      <c r="R70" s="2209"/>
      <c r="S70" s="2209"/>
      <c r="T70" s="2209"/>
      <c r="U70" s="2209"/>
      <c r="V70" s="2209"/>
      <c r="W70" s="2209"/>
      <c r="X70" s="2209"/>
      <c r="Y70" s="2209"/>
      <c r="Z70" s="2210"/>
    </row>
    <row r="71" spans="2:26" s="15" customFormat="1" ht="16.5" customHeight="1">
      <c r="B71" s="2208"/>
      <c r="C71" s="2209"/>
      <c r="D71" s="2209"/>
      <c r="E71" s="2209"/>
      <c r="F71" s="2209"/>
      <c r="G71" s="2209"/>
      <c r="H71" s="2209"/>
      <c r="I71" s="2209"/>
      <c r="J71" s="2209"/>
      <c r="K71" s="2209"/>
      <c r="L71" s="2209"/>
      <c r="M71" s="2210"/>
      <c r="O71" s="2213"/>
      <c r="P71" s="2214"/>
      <c r="Q71" s="2214"/>
      <c r="R71" s="2214"/>
      <c r="S71" s="2214"/>
      <c r="T71" s="2214"/>
      <c r="U71" s="2214"/>
      <c r="V71" s="2214"/>
      <c r="W71" s="2214"/>
      <c r="X71" s="2214"/>
      <c r="Y71" s="2214"/>
      <c r="Z71" s="2215"/>
    </row>
    <row r="72" spans="2:26" s="15" customFormat="1" ht="16.5" customHeight="1">
      <c r="B72" s="2136" t="s">
        <v>3529</v>
      </c>
      <c r="C72" s="2137"/>
      <c r="D72" s="2137"/>
      <c r="E72" s="2137"/>
      <c r="F72" s="2137"/>
      <c r="G72" s="2137"/>
      <c r="H72" s="2140" t="s">
        <v>3530</v>
      </c>
      <c r="I72" s="2137"/>
      <c r="J72" s="2137"/>
      <c r="K72" s="2137"/>
      <c r="L72" s="2137"/>
      <c r="M72" s="2141"/>
      <c r="O72" s="2138" t="s">
        <v>3531</v>
      </c>
      <c r="P72" s="2139"/>
      <c r="Q72" s="2139"/>
      <c r="R72" s="2139"/>
      <c r="S72" s="2139"/>
      <c r="T72" s="2211"/>
      <c r="U72" s="2139" t="s">
        <v>3532</v>
      </c>
      <c r="V72" s="2139"/>
      <c r="W72" s="2139"/>
      <c r="X72" s="2139"/>
      <c r="Y72" s="2139"/>
      <c r="Z72" s="2143"/>
    </row>
    <row r="73" spans="2:26" s="15" customFormat="1" ht="16.5" customHeight="1">
      <c r="B73" s="2138"/>
      <c r="C73" s="2139"/>
      <c r="D73" s="2139"/>
      <c r="E73" s="2139"/>
      <c r="F73" s="2139"/>
      <c r="G73" s="2139"/>
      <c r="H73" s="2142"/>
      <c r="I73" s="2139"/>
      <c r="J73" s="2139"/>
      <c r="K73" s="2139"/>
      <c r="L73" s="2139"/>
      <c r="M73" s="2143"/>
      <c r="O73" s="2138"/>
      <c r="P73" s="2139"/>
      <c r="Q73" s="2139"/>
      <c r="R73" s="2139"/>
      <c r="S73" s="2139"/>
      <c r="T73" s="2211"/>
      <c r="U73" s="2139"/>
      <c r="V73" s="2139"/>
      <c r="W73" s="2139"/>
      <c r="X73" s="2139"/>
      <c r="Y73" s="2139"/>
      <c r="Z73" s="2143"/>
    </row>
    <row r="74" spans="2:26" s="15" customFormat="1" ht="16.5" customHeight="1">
      <c r="B74" s="2138"/>
      <c r="C74" s="2139"/>
      <c r="D74" s="2139"/>
      <c r="E74" s="2139"/>
      <c r="F74" s="2139"/>
      <c r="G74" s="2139"/>
      <c r="H74" s="2142"/>
      <c r="I74" s="2139"/>
      <c r="J74" s="2139"/>
      <c r="K74" s="2139"/>
      <c r="L74" s="2139"/>
      <c r="M74" s="2143"/>
      <c r="O74" s="2138"/>
      <c r="P74" s="2139"/>
      <c r="Q74" s="2139"/>
      <c r="R74" s="2139"/>
      <c r="S74" s="2139"/>
      <c r="T74" s="2211"/>
      <c r="U74" s="2139"/>
      <c r="V74" s="2139"/>
      <c r="W74" s="2139"/>
      <c r="X74" s="2139"/>
      <c r="Y74" s="2139"/>
      <c r="Z74" s="2143"/>
    </row>
    <row r="75" spans="2:26" s="15" customFormat="1" ht="16.5" customHeight="1">
      <c r="B75" s="2149" t="s">
        <v>3533</v>
      </c>
      <c r="C75" s="2150"/>
      <c r="D75" s="2150"/>
      <c r="E75" s="2150"/>
      <c r="F75" s="2150"/>
      <c r="G75" s="2150"/>
      <c r="H75" s="2182" t="s">
        <v>3534</v>
      </c>
      <c r="I75" s="2150"/>
      <c r="J75" s="2150"/>
      <c r="K75" s="2150"/>
      <c r="L75" s="2150"/>
      <c r="M75" s="2156"/>
      <c r="O75" s="2149" t="s">
        <v>3535</v>
      </c>
      <c r="P75" s="2150"/>
      <c r="Q75" s="2150"/>
      <c r="R75" s="2150"/>
      <c r="S75" s="2150"/>
      <c r="T75" s="2151"/>
      <c r="U75" s="2155" t="s">
        <v>3536</v>
      </c>
      <c r="V75" s="2150"/>
      <c r="W75" s="2150"/>
      <c r="X75" s="2150"/>
      <c r="Y75" s="2150"/>
      <c r="Z75" s="2156"/>
    </row>
    <row r="76" spans="2:26" s="15" customFormat="1" ht="16.5" customHeight="1">
      <c r="B76" s="2152"/>
      <c r="C76" s="2153"/>
      <c r="D76" s="2153"/>
      <c r="E76" s="2153"/>
      <c r="F76" s="2153"/>
      <c r="G76" s="2153"/>
      <c r="H76" s="2183"/>
      <c r="I76" s="2153"/>
      <c r="J76" s="2153"/>
      <c r="K76" s="2153"/>
      <c r="L76" s="2153"/>
      <c r="M76" s="2157"/>
      <c r="O76" s="2152"/>
      <c r="P76" s="2153"/>
      <c r="Q76" s="2153"/>
      <c r="R76" s="2153"/>
      <c r="S76" s="2153"/>
      <c r="T76" s="2154"/>
      <c r="U76" s="2153"/>
      <c r="V76" s="2153"/>
      <c r="W76" s="2153"/>
      <c r="X76" s="2153"/>
      <c r="Y76" s="2153"/>
      <c r="Z76" s="2157"/>
    </row>
    <row r="77" spans="2:26" s="15" customFormat="1" ht="16.5" customHeight="1">
      <c r="B77" s="2138" t="s">
        <v>3537</v>
      </c>
      <c r="C77" s="2139"/>
      <c r="D77" s="2139"/>
      <c r="E77" s="2139"/>
      <c r="F77" s="2139"/>
      <c r="G77" s="2139"/>
      <c r="H77" s="2139"/>
      <c r="I77" s="2139"/>
      <c r="J77" s="2139"/>
      <c r="K77" s="2139"/>
      <c r="L77" s="2139"/>
      <c r="M77" s="2143"/>
      <c r="O77" s="2138" t="s">
        <v>3538</v>
      </c>
      <c r="P77" s="2139"/>
      <c r="Q77" s="2139"/>
      <c r="R77" s="2139"/>
      <c r="S77" s="2139"/>
      <c r="T77" s="2139"/>
      <c r="U77" s="2139"/>
      <c r="V77" s="2139"/>
      <c r="W77" s="2139"/>
      <c r="X77" s="2139"/>
      <c r="Y77" s="2139"/>
      <c r="Z77" s="2143"/>
    </row>
    <row r="78" spans="2:26" s="15" customFormat="1" ht="16.5" customHeight="1">
      <c r="B78" s="2138"/>
      <c r="C78" s="2139"/>
      <c r="D78" s="2139"/>
      <c r="E78" s="2139"/>
      <c r="F78" s="2139"/>
      <c r="G78" s="2139"/>
      <c r="H78" s="2139"/>
      <c r="I78" s="2139"/>
      <c r="J78" s="2139"/>
      <c r="K78" s="2139"/>
      <c r="L78" s="2139"/>
      <c r="M78" s="2143"/>
      <c r="O78" s="2138"/>
      <c r="P78" s="2139"/>
      <c r="Q78" s="2139"/>
      <c r="R78" s="2139"/>
      <c r="S78" s="2139"/>
      <c r="T78" s="2139"/>
      <c r="U78" s="2139"/>
      <c r="V78" s="2139"/>
      <c r="W78" s="2139"/>
      <c r="X78" s="2139"/>
      <c r="Y78" s="2139"/>
      <c r="Z78" s="2143"/>
    </row>
    <row r="79" spans="2:26" s="15" customFormat="1" ht="16.5" customHeight="1">
      <c r="B79" s="2138"/>
      <c r="C79" s="2139"/>
      <c r="D79" s="2139"/>
      <c r="E79" s="2139"/>
      <c r="F79" s="2139"/>
      <c r="G79" s="2139"/>
      <c r="H79" s="2139"/>
      <c r="I79" s="2139"/>
      <c r="J79" s="2139"/>
      <c r="K79" s="2139"/>
      <c r="L79" s="2139"/>
      <c r="M79" s="2143"/>
      <c r="O79" s="2138"/>
      <c r="P79" s="2139"/>
      <c r="Q79" s="2139"/>
      <c r="R79" s="2139"/>
      <c r="S79" s="2139"/>
      <c r="T79" s="2139"/>
      <c r="U79" s="2139"/>
      <c r="V79" s="2139"/>
      <c r="W79" s="2139"/>
      <c r="X79" s="2139"/>
      <c r="Y79" s="2139"/>
      <c r="Z79" s="2143"/>
    </row>
    <row r="80" spans="2:26" s="15" customFormat="1" ht="16.5" customHeight="1">
      <c r="B80" s="2144"/>
      <c r="C80" s="2145"/>
      <c r="D80" s="2145"/>
      <c r="E80" s="2145"/>
      <c r="F80" s="2145"/>
      <c r="G80" s="2145"/>
      <c r="H80" s="2145"/>
      <c r="I80" s="2145"/>
      <c r="J80" s="2145"/>
      <c r="K80" s="2145"/>
      <c r="L80" s="2145"/>
      <c r="M80" s="2146"/>
      <c r="O80" s="2144"/>
      <c r="P80" s="2145"/>
      <c r="Q80" s="2145"/>
      <c r="R80" s="2145"/>
      <c r="S80" s="2145"/>
      <c r="T80" s="2145"/>
      <c r="U80" s="2145"/>
      <c r="V80" s="2145"/>
      <c r="W80" s="2145"/>
      <c r="X80" s="2145"/>
      <c r="Y80" s="2145"/>
      <c r="Z80" s="2146"/>
    </row>
    <row r="81" spans="2:26" s="15" customFormat="1" ht="16.5" customHeight="1">
      <c r="B81" s="2123" t="s">
        <v>3539</v>
      </c>
      <c r="C81" s="2124"/>
      <c r="D81" s="2124"/>
      <c r="E81" s="2124"/>
      <c r="F81" s="2124"/>
      <c r="G81" s="2124"/>
      <c r="H81" s="2124"/>
      <c r="I81" s="2124"/>
      <c r="J81" s="2125"/>
      <c r="K81" s="471"/>
      <c r="L81" s="471"/>
      <c r="M81" s="474"/>
      <c r="N81" s="474"/>
      <c r="O81" s="474"/>
      <c r="P81" s="474"/>
      <c r="Q81" s="474"/>
      <c r="R81" s="474"/>
      <c r="S81" s="474"/>
      <c r="T81" s="474"/>
      <c r="U81" s="474"/>
      <c r="V81" s="474"/>
      <c r="W81" s="474"/>
      <c r="X81" s="474"/>
      <c r="Y81" s="474"/>
      <c r="Z81" s="474"/>
    </row>
    <row r="82" spans="2:26" s="15" customFormat="1" ht="16.5" customHeight="1">
      <c r="B82" s="2126"/>
      <c r="C82" s="2124"/>
      <c r="D82" s="2124"/>
      <c r="E82" s="2124"/>
      <c r="F82" s="2124"/>
      <c r="G82" s="2124"/>
      <c r="H82" s="2124"/>
      <c r="I82" s="2124"/>
      <c r="J82" s="2125"/>
      <c r="K82" s="471"/>
      <c r="L82" s="471"/>
    </row>
    <row r="83" spans="2:26" s="15" customFormat="1" ht="16.5" customHeight="1">
      <c r="B83" s="2126"/>
      <c r="C83" s="2124"/>
      <c r="D83" s="2124"/>
      <c r="E83" s="2124"/>
      <c r="F83" s="2124"/>
      <c r="G83" s="2124"/>
      <c r="H83" s="2124"/>
      <c r="I83" s="2124"/>
      <c r="J83" s="2125"/>
      <c r="K83" s="471"/>
      <c r="L83" s="471"/>
    </row>
    <row r="84" spans="2:26" s="15" customFormat="1" ht="16.5" customHeight="1">
      <c r="B84" s="2120" t="s">
        <v>3540</v>
      </c>
      <c r="C84" s="2121"/>
      <c r="D84" s="2121"/>
      <c r="E84" s="2121"/>
      <c r="F84" s="2121"/>
      <c r="G84" s="2121"/>
      <c r="H84" s="2121"/>
      <c r="I84" s="2121"/>
      <c r="J84" s="2122"/>
      <c r="K84" s="472"/>
      <c r="L84" s="472"/>
      <c r="M84" s="452"/>
      <c r="N84" s="452"/>
      <c r="O84" s="452"/>
      <c r="P84" s="452"/>
      <c r="Q84" s="452"/>
      <c r="R84" s="452"/>
      <c r="S84" s="452"/>
    </row>
    <row r="85" spans="2:26" s="15" customFormat="1" ht="16.5" customHeight="1">
      <c r="B85" s="1872" t="s">
        <v>3541</v>
      </c>
      <c r="C85" s="1846"/>
      <c r="D85" s="1846"/>
      <c r="E85" s="1846"/>
      <c r="F85" s="1846"/>
      <c r="G85" s="1846"/>
      <c r="H85" s="1846"/>
      <c r="I85" s="1846"/>
      <c r="J85" s="2158"/>
      <c r="K85" s="451"/>
      <c r="L85" s="451"/>
      <c r="M85" s="1"/>
      <c r="N85" s="1"/>
      <c r="O85" s="1"/>
      <c r="P85" s="1"/>
      <c r="Q85" s="1"/>
      <c r="R85" s="1"/>
      <c r="S85" s="1"/>
    </row>
    <row r="86" spans="2:26" s="15" customFormat="1" ht="16.5" customHeight="1">
      <c r="M86" s="1"/>
      <c r="N86" s="1"/>
      <c r="O86" s="1"/>
      <c r="P86" s="1"/>
      <c r="Q86" s="1"/>
      <c r="R86" s="1"/>
      <c r="S86" s="1"/>
    </row>
    <row r="87" spans="2:26" s="15" customFormat="1" ht="16.5" customHeight="1">
      <c r="M87" s="1"/>
      <c r="N87" s="1"/>
      <c r="O87" s="1"/>
      <c r="P87" s="1"/>
      <c r="Q87" s="1"/>
      <c r="R87" s="1"/>
      <c r="S87" s="1"/>
    </row>
    <row r="88" spans="2:26" s="15" customFormat="1" ht="16.5" customHeight="1">
      <c r="M88" s="1"/>
      <c r="N88" s="1"/>
      <c r="O88" s="1"/>
      <c r="P88" s="1"/>
      <c r="Q88" s="1"/>
      <c r="R88" s="1"/>
      <c r="S88" s="1"/>
    </row>
    <row r="89" spans="2:26" s="15" customFormat="1" ht="16.5" customHeight="1">
      <c r="M89" s="1"/>
      <c r="N89" s="1"/>
      <c r="O89" s="1"/>
      <c r="P89" s="1"/>
      <c r="Q89" s="1"/>
      <c r="R89" s="1"/>
      <c r="S89" s="1"/>
    </row>
    <row r="90" spans="2:26" s="15" customFormat="1" ht="16.5" customHeight="1">
      <c r="M90" s="1"/>
      <c r="N90" s="1"/>
      <c r="O90" s="1"/>
      <c r="P90" s="1"/>
      <c r="Q90" s="1"/>
      <c r="R90" s="1"/>
      <c r="S90" s="1"/>
    </row>
    <row r="91" spans="2:26" s="15" customFormat="1" ht="16.5" customHeight="1">
      <c r="M91" s="1"/>
      <c r="N91" s="1"/>
      <c r="O91" s="1"/>
      <c r="P91" s="1"/>
      <c r="Q91" s="1"/>
      <c r="R91" s="1"/>
      <c r="S91" s="1"/>
    </row>
    <row r="92" spans="2:26" s="15" customFormat="1" ht="16.5" customHeight="1">
      <c r="M92" s="1"/>
      <c r="N92" s="1"/>
      <c r="O92" s="1"/>
      <c r="P92" s="1"/>
      <c r="Q92" s="1"/>
      <c r="R92" s="1"/>
      <c r="S92" s="1"/>
    </row>
    <row r="93" spans="2:26" s="15" customFormat="1" ht="16.5" customHeight="1">
      <c r="M93" s="1"/>
      <c r="N93" s="1"/>
      <c r="O93" s="1"/>
      <c r="P93" s="1"/>
      <c r="Q93" s="1"/>
      <c r="R93" s="1"/>
      <c r="S93" s="1"/>
    </row>
    <row r="94" spans="2:26" s="15" customFormat="1" ht="16.5" customHeight="1">
      <c r="B94" s="1915" t="s">
        <v>3542</v>
      </c>
      <c r="C94" s="1916"/>
      <c r="D94" s="1916"/>
      <c r="E94" s="1916"/>
      <c r="F94" s="1916"/>
      <c r="G94" s="1916"/>
      <c r="H94" s="1916"/>
      <c r="I94" s="1916"/>
      <c r="J94" s="1917"/>
      <c r="K94" s="470"/>
      <c r="L94" s="470"/>
      <c r="O94" s="1"/>
      <c r="P94" s="1"/>
      <c r="Q94" s="1"/>
      <c r="R94" s="1"/>
      <c r="S94" s="1"/>
      <c r="T94" s="1"/>
      <c r="U94" s="1"/>
      <c r="V94" s="1"/>
      <c r="W94" s="1"/>
      <c r="X94" s="1"/>
      <c r="Y94" s="1"/>
      <c r="Z94" s="1"/>
    </row>
    <row r="95" spans="2:26" s="15" customFormat="1" ht="16.5" customHeight="1">
      <c r="B95" s="2170"/>
      <c r="C95" s="2171"/>
      <c r="D95" s="2171"/>
      <c r="E95" s="2171"/>
      <c r="F95" s="2171"/>
      <c r="G95" s="2171"/>
      <c r="H95" s="2171"/>
      <c r="I95" s="2171"/>
      <c r="J95" s="2172"/>
      <c r="K95" s="470"/>
      <c r="L95" s="470"/>
    </row>
    <row r="96" spans="2:26" s="15" customFormat="1" ht="16.5" customHeight="1">
      <c r="B96" s="2138" t="s">
        <v>3543</v>
      </c>
      <c r="C96" s="2139"/>
      <c r="D96" s="2139"/>
      <c r="E96" s="2139"/>
      <c r="F96" s="2139"/>
      <c r="G96" s="2139"/>
      <c r="H96" s="2139"/>
      <c r="I96" s="2139"/>
      <c r="J96" s="2143"/>
      <c r="K96" s="28"/>
      <c r="L96" s="28"/>
    </row>
    <row r="97" spans="1:26" s="15" customFormat="1" ht="16.5" customHeight="1">
      <c r="B97" s="2138"/>
      <c r="C97" s="2139"/>
      <c r="D97" s="2139"/>
      <c r="E97" s="2139"/>
      <c r="F97" s="2139"/>
      <c r="G97" s="2139"/>
      <c r="H97" s="2139"/>
      <c r="I97" s="2139"/>
      <c r="J97" s="2143"/>
      <c r="K97" s="28"/>
      <c r="L97" s="28"/>
    </row>
    <row r="98" spans="1:26" s="15" customFormat="1" ht="16.5" customHeight="1">
      <c r="B98" s="2138"/>
      <c r="C98" s="2139"/>
      <c r="D98" s="2139"/>
      <c r="E98" s="2139"/>
      <c r="F98" s="2139"/>
      <c r="G98" s="2139"/>
      <c r="H98" s="2139"/>
      <c r="I98" s="2139"/>
      <c r="J98" s="2143"/>
      <c r="K98" s="28"/>
      <c r="L98" s="28"/>
    </row>
    <row r="99" spans="1:26" s="15" customFormat="1" ht="16.5" customHeight="1">
      <c r="B99" s="2138"/>
      <c r="C99" s="2139"/>
      <c r="D99" s="2139"/>
      <c r="E99" s="2139"/>
      <c r="F99" s="2139"/>
      <c r="G99" s="2139"/>
      <c r="H99" s="2139"/>
      <c r="I99" s="2139"/>
      <c r="J99" s="2143"/>
      <c r="K99" s="28"/>
      <c r="L99" s="28"/>
    </row>
    <row r="100" spans="1:26" s="15" customFormat="1" ht="16.5" customHeight="1">
      <c r="B100" s="2138"/>
      <c r="C100" s="2139"/>
      <c r="D100" s="2139"/>
      <c r="E100" s="2139"/>
      <c r="F100" s="2139"/>
      <c r="G100" s="2139"/>
      <c r="H100" s="2139"/>
      <c r="I100" s="2139"/>
      <c r="J100" s="2143"/>
      <c r="K100" s="181"/>
      <c r="L100" s="181"/>
    </row>
    <row r="101" spans="1:26" s="15" customFormat="1" ht="16.5" customHeight="1">
      <c r="B101" s="2138"/>
      <c r="C101" s="2139"/>
      <c r="D101" s="2139"/>
      <c r="E101" s="2139"/>
      <c r="F101" s="2139"/>
      <c r="G101" s="2139"/>
      <c r="H101" s="2139"/>
      <c r="I101" s="2139"/>
      <c r="J101" s="2143"/>
      <c r="K101" s="181"/>
      <c r="L101" s="181"/>
    </row>
    <row r="102" spans="1:26" s="15" customFormat="1" ht="16.5" customHeight="1">
      <c r="B102" s="2173" t="s">
        <v>3544</v>
      </c>
      <c r="C102" s="2174"/>
      <c r="D102" s="2174"/>
      <c r="E102" s="2174"/>
      <c r="F102" s="2174"/>
      <c r="G102" s="2174"/>
      <c r="H102" s="2174"/>
      <c r="I102" s="2174"/>
      <c r="J102" s="2175"/>
      <c r="K102" s="181"/>
      <c r="L102" s="181"/>
    </row>
    <row r="103" spans="1:26" s="329" customFormat="1" ht="16.5" customHeight="1">
      <c r="A103" s="15"/>
      <c r="B103" s="2176"/>
      <c r="C103" s="2177"/>
      <c r="D103" s="2177"/>
      <c r="E103" s="2177"/>
      <c r="F103" s="2177"/>
      <c r="G103" s="2177"/>
      <c r="H103" s="2177"/>
      <c r="I103" s="2177"/>
      <c r="J103" s="2178"/>
      <c r="K103" s="181"/>
      <c r="L103" s="181"/>
      <c r="M103" s="15"/>
      <c r="N103" s="15"/>
      <c r="O103" s="15"/>
      <c r="P103" s="15"/>
      <c r="Q103" s="15"/>
      <c r="R103" s="15"/>
      <c r="S103" s="15"/>
      <c r="T103" s="15"/>
      <c r="U103" s="15"/>
      <c r="V103" s="15"/>
      <c r="W103" s="15"/>
      <c r="X103" s="15"/>
      <c r="Y103" s="15"/>
      <c r="Z103" s="15"/>
    </row>
    <row r="104" spans="1:26" s="15" customFormat="1" ht="16.5" customHeight="1">
      <c r="B104" s="2176"/>
      <c r="C104" s="2177"/>
      <c r="D104" s="2177"/>
      <c r="E104" s="2177"/>
      <c r="F104" s="2177"/>
      <c r="G104" s="2177"/>
      <c r="H104" s="2177"/>
      <c r="I104" s="2177"/>
      <c r="J104" s="2178"/>
    </row>
    <row r="105" spans="1:26" s="15" customFormat="1" ht="16.5" customHeight="1">
      <c r="B105" s="2179"/>
      <c r="C105" s="2180"/>
      <c r="D105" s="2180"/>
      <c r="E105" s="2180"/>
      <c r="F105" s="2180"/>
      <c r="G105" s="2180"/>
      <c r="H105" s="2180"/>
      <c r="I105" s="2180"/>
      <c r="J105" s="2181"/>
    </row>
    <row r="106" spans="1:26" s="15" customFormat="1" ht="16.5" customHeight="1"/>
    <row r="107" spans="1:26" s="15" customFormat="1" ht="16.5" customHeight="1"/>
    <row r="108" spans="1:26" s="15" customFormat="1" ht="16.5" customHeight="1"/>
    <row r="109" spans="1:26" s="15" customFormat="1" ht="16.5" customHeight="1"/>
    <row r="110" spans="1:26" s="15" customFormat="1" ht="16.5" customHeight="1">
      <c r="M110" s="475"/>
      <c r="N110" s="475"/>
      <c r="O110" s="475"/>
      <c r="P110" s="475"/>
      <c r="Q110" s="475"/>
      <c r="R110" s="475"/>
      <c r="S110" s="475"/>
      <c r="T110" s="475"/>
      <c r="U110" s="475"/>
      <c r="V110" s="475"/>
      <c r="W110" s="475"/>
      <c r="X110" s="475"/>
      <c r="Y110" s="475"/>
      <c r="Z110" s="475"/>
    </row>
    <row r="111" spans="1:26" s="15" customFormat="1" ht="16.5" customHeight="1">
      <c r="M111" s="475"/>
      <c r="N111" s="475"/>
      <c r="O111" s="475"/>
      <c r="P111" s="475"/>
      <c r="Q111" s="475"/>
      <c r="R111" s="475"/>
      <c r="S111" s="475"/>
      <c r="T111" s="475"/>
      <c r="U111" s="475"/>
      <c r="V111" s="475"/>
      <c r="W111" s="475"/>
      <c r="X111" s="475"/>
      <c r="Y111" s="475"/>
      <c r="Z111" s="475"/>
    </row>
    <row r="112" spans="1:26" s="15" customFormat="1" ht="16.5" customHeight="1"/>
    <row r="113" spans="2:26" s="15" customFormat="1" ht="16.5" customHeight="1">
      <c r="B113" s="2196" t="s">
        <v>3545</v>
      </c>
      <c r="C113" s="2197"/>
      <c r="D113" s="2197"/>
      <c r="E113" s="2197"/>
      <c r="F113" s="2197"/>
      <c r="G113" s="2197"/>
      <c r="H113" s="2197"/>
      <c r="I113" s="2197"/>
      <c r="J113" s="2197"/>
      <c r="K113" s="2197"/>
      <c r="L113" s="2197"/>
      <c r="M113" s="2197"/>
      <c r="N113" s="2197"/>
      <c r="O113" s="2197"/>
      <c r="P113" s="2197"/>
      <c r="Q113" s="2197"/>
      <c r="R113" s="2197"/>
      <c r="S113" s="2197"/>
      <c r="T113" s="2197"/>
      <c r="U113" s="2197"/>
      <c r="V113" s="2197"/>
      <c r="W113" s="2197"/>
      <c r="X113" s="2197"/>
      <c r="Y113" s="2197"/>
      <c r="Z113" s="2198"/>
    </row>
    <row r="114" spans="2:26" s="15" customFormat="1" ht="16.5" customHeight="1">
      <c r="B114" s="2199"/>
      <c r="C114" s="2200"/>
      <c r="D114" s="2200"/>
      <c r="E114" s="2200"/>
      <c r="F114" s="2200"/>
      <c r="G114" s="2200"/>
      <c r="H114" s="2200"/>
      <c r="I114" s="2200"/>
      <c r="J114" s="2200"/>
      <c r="K114" s="2200"/>
      <c r="L114" s="2200"/>
      <c r="M114" s="2200"/>
      <c r="N114" s="2200"/>
      <c r="O114" s="2200"/>
      <c r="P114" s="2200"/>
      <c r="Q114" s="2200"/>
      <c r="R114" s="2200"/>
      <c r="S114" s="2200"/>
      <c r="T114" s="2200"/>
      <c r="U114" s="2200"/>
      <c r="V114" s="2200"/>
      <c r="W114" s="2200"/>
      <c r="X114" s="2200"/>
      <c r="Y114" s="2200"/>
      <c r="Z114" s="2201"/>
    </row>
    <row r="115" spans="2:26" s="15" customFormat="1" ht="16.5" customHeight="1">
      <c r="B115" s="2202"/>
      <c r="C115" s="2203"/>
      <c r="D115" s="2203"/>
      <c r="E115" s="2203"/>
      <c r="F115" s="2203"/>
      <c r="G115" s="2203"/>
      <c r="H115" s="2203"/>
      <c r="I115" s="2203"/>
      <c r="J115" s="2203"/>
      <c r="K115" s="2203"/>
      <c r="L115" s="2203"/>
      <c r="M115" s="2203"/>
      <c r="N115" s="2203"/>
      <c r="O115" s="2203"/>
      <c r="P115" s="2203"/>
      <c r="Q115" s="2203"/>
      <c r="R115" s="2203"/>
      <c r="S115" s="2203"/>
      <c r="T115" s="2203"/>
      <c r="U115" s="2203"/>
      <c r="V115" s="2203"/>
      <c r="W115" s="2203"/>
      <c r="X115" s="2203"/>
      <c r="Y115" s="2203"/>
      <c r="Z115" s="2204"/>
    </row>
    <row r="116" spans="2:26" s="15" customFormat="1" ht="27" customHeight="1">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row>
    <row r="117" spans="2:26" s="15" customFormat="1" ht="16.5" customHeight="1">
      <c r="B117" s="1915" t="s">
        <v>3546</v>
      </c>
      <c r="C117" s="1916"/>
      <c r="D117" s="1916"/>
      <c r="E117" s="1917"/>
      <c r="F117" s="470"/>
      <c r="G117" s="1915" t="s">
        <v>3547</v>
      </c>
      <c r="H117" s="1916"/>
      <c r="I117" s="1916"/>
      <c r="J117" s="1917"/>
      <c r="K117" s="473"/>
      <c r="L117" s="1915" t="s">
        <v>3548</v>
      </c>
      <c r="M117" s="1916"/>
      <c r="N117" s="1916"/>
      <c r="O117" s="1916"/>
      <c r="P117" s="1916"/>
      <c r="Q117" s="1916"/>
      <c r="R117" s="1916"/>
      <c r="S117" s="1917"/>
      <c r="T117" s="187"/>
      <c r="U117" s="1915" t="s">
        <v>3549</v>
      </c>
      <c r="V117" s="1916"/>
      <c r="W117" s="1916"/>
      <c r="X117" s="1916"/>
      <c r="Y117" s="1916"/>
      <c r="Z117" s="1917"/>
    </row>
    <row r="118" spans="2:26" s="15" customFormat="1" ht="16.5" customHeight="1">
      <c r="B118" s="2170"/>
      <c r="C118" s="2171"/>
      <c r="D118" s="2171"/>
      <c r="E118" s="2172"/>
      <c r="F118" s="470"/>
      <c r="G118" s="2170"/>
      <c r="H118" s="2171"/>
      <c r="I118" s="2171"/>
      <c r="J118" s="2172"/>
      <c r="K118" s="473"/>
      <c r="L118" s="2170"/>
      <c r="M118" s="2171"/>
      <c r="N118" s="2171"/>
      <c r="O118" s="2171"/>
      <c r="P118" s="2171"/>
      <c r="Q118" s="2171"/>
      <c r="R118" s="2171"/>
      <c r="S118" s="2172"/>
      <c r="T118" s="187"/>
      <c r="U118" s="2170"/>
      <c r="V118" s="2171"/>
      <c r="W118" s="2171"/>
      <c r="X118" s="2171"/>
      <c r="Y118" s="2171"/>
      <c r="Z118" s="2172"/>
    </row>
    <row r="119" spans="2:26" s="15" customFormat="1" ht="16.5" customHeight="1">
      <c r="B119" s="2194" t="s">
        <v>3550</v>
      </c>
      <c r="C119" s="2184"/>
      <c r="D119" s="2184"/>
      <c r="E119" s="2185"/>
      <c r="F119" s="185"/>
      <c r="G119" s="2194" t="s">
        <v>3551</v>
      </c>
      <c r="H119" s="2184"/>
      <c r="I119" s="2184"/>
      <c r="J119" s="2185"/>
      <c r="K119" s="187"/>
      <c r="L119" s="2194" t="s">
        <v>3552</v>
      </c>
      <c r="M119" s="2184"/>
      <c r="N119" s="2184"/>
      <c r="O119" s="2184"/>
      <c r="P119" s="2184"/>
      <c r="Q119" s="2184"/>
      <c r="R119" s="2184"/>
      <c r="S119" s="2185"/>
      <c r="T119" s="187"/>
      <c r="U119" s="2194" t="s">
        <v>3553</v>
      </c>
      <c r="V119" s="2184"/>
      <c r="W119" s="2184"/>
      <c r="X119" s="2184"/>
      <c r="Y119" s="2184"/>
      <c r="Z119" s="2185"/>
    </row>
    <row r="120" spans="2:26" s="15" customFormat="1" ht="16.5" customHeight="1">
      <c r="B120" s="2194"/>
      <c r="C120" s="2184"/>
      <c r="D120" s="2184"/>
      <c r="E120" s="2185"/>
      <c r="F120" s="185"/>
      <c r="G120" s="2194"/>
      <c r="H120" s="2184"/>
      <c r="I120" s="2184"/>
      <c r="J120" s="2185"/>
      <c r="K120" s="187"/>
      <c r="L120" s="2194"/>
      <c r="M120" s="2184"/>
      <c r="N120" s="2184"/>
      <c r="O120" s="2184"/>
      <c r="P120" s="2184"/>
      <c r="Q120" s="2184"/>
      <c r="R120" s="2184"/>
      <c r="S120" s="2185"/>
      <c r="T120" s="187"/>
      <c r="U120" s="2194"/>
      <c r="V120" s="2184"/>
      <c r="W120" s="2184"/>
      <c r="X120" s="2184"/>
      <c r="Y120" s="2184"/>
      <c r="Z120" s="2185"/>
    </row>
    <row r="121" spans="2:26" s="15" customFormat="1" ht="16.5" customHeight="1">
      <c r="B121" s="2194"/>
      <c r="C121" s="2184"/>
      <c r="D121" s="2184"/>
      <c r="E121" s="2185"/>
      <c r="F121" s="185"/>
      <c r="G121" s="2194"/>
      <c r="H121" s="2184"/>
      <c r="I121" s="2184"/>
      <c r="J121" s="2185"/>
      <c r="K121" s="187"/>
      <c r="L121" s="2194"/>
      <c r="M121" s="2184"/>
      <c r="N121" s="2184"/>
      <c r="O121" s="2184"/>
      <c r="P121" s="2184"/>
      <c r="Q121" s="2184"/>
      <c r="R121" s="2184"/>
      <c r="S121" s="2185"/>
      <c r="T121" s="187"/>
      <c r="U121" s="2194"/>
      <c r="V121" s="2184"/>
      <c r="W121" s="2184"/>
      <c r="X121" s="2184"/>
      <c r="Y121" s="2184"/>
      <c r="Z121" s="2185"/>
    </row>
    <row r="122" spans="2:26" ht="16.5" customHeight="1">
      <c r="B122" s="2194"/>
      <c r="C122" s="2184"/>
      <c r="D122" s="2184"/>
      <c r="E122" s="2185"/>
      <c r="F122" s="185"/>
      <c r="G122" s="2194"/>
      <c r="H122" s="2184"/>
      <c r="I122" s="2184"/>
      <c r="J122" s="2185"/>
      <c r="K122" s="187"/>
      <c r="L122" s="2194"/>
      <c r="M122" s="2184"/>
      <c r="N122" s="2184"/>
      <c r="O122" s="2184"/>
      <c r="P122" s="2184"/>
      <c r="Q122" s="2184"/>
      <c r="R122" s="2184"/>
      <c r="S122" s="2185"/>
      <c r="T122" s="187"/>
      <c r="U122" s="2194"/>
      <c r="V122" s="2184"/>
      <c r="W122" s="2184"/>
      <c r="X122" s="2184"/>
      <c r="Y122" s="2184"/>
      <c r="Z122" s="2185"/>
    </row>
    <row r="123" spans="2:26" s="15" customFormat="1" ht="24" customHeight="1">
      <c r="B123" s="2194"/>
      <c r="C123" s="2184"/>
      <c r="D123" s="2184"/>
      <c r="E123" s="2185"/>
      <c r="F123" s="185"/>
      <c r="G123" s="2194"/>
      <c r="H123" s="2184"/>
      <c r="I123" s="2184"/>
      <c r="J123" s="2185"/>
      <c r="K123" s="187"/>
      <c r="L123" s="2194"/>
      <c r="M123" s="2184"/>
      <c r="N123" s="2184"/>
      <c r="O123" s="2184"/>
      <c r="P123" s="2184"/>
      <c r="Q123" s="2184"/>
      <c r="R123" s="2184"/>
      <c r="S123" s="2185"/>
      <c r="T123" s="187"/>
      <c r="U123" s="2194"/>
      <c r="V123" s="2184"/>
      <c r="W123" s="2184"/>
      <c r="X123" s="2184"/>
      <c r="Y123" s="2184"/>
      <c r="Z123" s="2185"/>
    </row>
    <row r="124" spans="2:26" s="15" customFormat="1" ht="16.5" customHeight="1">
      <c r="B124" s="2194"/>
      <c r="C124" s="2184"/>
      <c r="D124" s="2184"/>
      <c r="E124" s="2185"/>
      <c r="F124" s="185"/>
      <c r="G124" s="2194"/>
      <c r="H124" s="2184"/>
      <c r="I124" s="2184"/>
      <c r="J124" s="2185"/>
      <c r="K124" s="187"/>
      <c r="L124" s="2159" t="s">
        <v>3554</v>
      </c>
      <c r="M124" s="2160"/>
      <c r="N124" s="2160"/>
      <c r="O124" s="2160"/>
      <c r="P124" s="2160"/>
      <c r="Q124" s="2160"/>
      <c r="R124" s="2160"/>
      <c r="S124" s="2161"/>
      <c r="T124" s="187"/>
      <c r="U124" s="2194"/>
      <c r="V124" s="2184"/>
      <c r="W124" s="2184"/>
      <c r="X124" s="2184"/>
      <c r="Y124" s="2184"/>
      <c r="Z124" s="2185"/>
    </row>
    <row r="125" spans="2:26" s="15" customFormat="1" ht="16.5" customHeight="1">
      <c r="B125" s="2195"/>
      <c r="C125" s="2186"/>
      <c r="D125" s="2186"/>
      <c r="E125" s="2187"/>
      <c r="F125" s="185"/>
      <c r="G125" s="2195"/>
      <c r="H125" s="2186"/>
      <c r="I125" s="2186"/>
      <c r="J125" s="2187"/>
      <c r="K125" s="187"/>
      <c r="L125" s="2194" t="s">
        <v>3555</v>
      </c>
      <c r="M125" s="2184"/>
      <c r="N125" s="2184"/>
      <c r="O125" s="2184"/>
      <c r="P125" s="2184"/>
      <c r="Q125" s="2184"/>
      <c r="R125" s="2184"/>
      <c r="S125" s="2185"/>
      <c r="T125" s="187"/>
      <c r="U125" s="2194"/>
      <c r="V125" s="2184"/>
      <c r="W125" s="2184"/>
      <c r="X125" s="2184"/>
      <c r="Y125" s="2184"/>
      <c r="Z125" s="2185"/>
    </row>
    <row r="126" spans="2:26" s="15" customFormat="1" ht="16.5" customHeight="1">
      <c r="B126" s="187"/>
      <c r="C126" s="187"/>
      <c r="D126" s="187"/>
      <c r="E126" s="187"/>
      <c r="F126" s="187"/>
      <c r="G126" s="187"/>
      <c r="H126" s="187"/>
      <c r="I126" s="187"/>
      <c r="J126" s="187"/>
      <c r="K126" s="187"/>
      <c r="L126" s="2194"/>
      <c r="M126" s="2184"/>
      <c r="N126" s="2184"/>
      <c r="O126" s="2184"/>
      <c r="P126" s="2184"/>
      <c r="Q126" s="2184"/>
      <c r="R126" s="2184"/>
      <c r="S126" s="2185"/>
      <c r="T126" s="187"/>
      <c r="U126" s="2194"/>
      <c r="V126" s="2184"/>
      <c r="W126" s="2184"/>
      <c r="X126" s="2184"/>
      <c r="Y126" s="2184"/>
      <c r="Z126" s="2185"/>
    </row>
    <row r="127" spans="2:26" s="15" customFormat="1" ht="16.5" customHeight="1">
      <c r="B127" s="187"/>
      <c r="C127" s="187"/>
      <c r="D127" s="187"/>
      <c r="E127" s="187"/>
      <c r="F127" s="187"/>
      <c r="G127" s="187"/>
      <c r="H127" s="187"/>
      <c r="I127" s="187"/>
      <c r="J127" s="187"/>
      <c r="K127" s="187"/>
      <c r="L127" s="2192" t="s">
        <v>3556</v>
      </c>
      <c r="M127" s="2168"/>
      <c r="N127" s="2168"/>
      <c r="O127" s="2168"/>
      <c r="P127" s="2167" t="s">
        <v>3557</v>
      </c>
      <c r="Q127" s="2168"/>
      <c r="R127" s="2167" t="s">
        <v>3558</v>
      </c>
      <c r="S127" s="2169"/>
      <c r="T127" s="187"/>
      <c r="U127" s="2195"/>
      <c r="V127" s="2186"/>
      <c r="W127" s="2186"/>
      <c r="X127" s="2186"/>
      <c r="Y127" s="2186"/>
      <c r="Z127" s="2187"/>
    </row>
    <row r="128" spans="2:26" s="15" customFormat="1" ht="16.5" customHeight="1">
      <c r="B128" s="187"/>
      <c r="C128" s="187"/>
      <c r="D128" s="187"/>
      <c r="E128" s="187"/>
      <c r="F128" s="187"/>
      <c r="G128" s="187"/>
      <c r="H128" s="187"/>
      <c r="I128" s="187"/>
      <c r="J128" s="187"/>
      <c r="K128" s="187"/>
      <c r="L128" s="2193"/>
      <c r="M128" s="2168"/>
      <c r="N128" s="2168"/>
      <c r="O128" s="2168"/>
      <c r="P128" s="2168"/>
      <c r="Q128" s="2168"/>
      <c r="R128" s="2168"/>
      <c r="S128" s="2169"/>
      <c r="T128" s="187"/>
      <c r="U128" s="187"/>
      <c r="V128" s="187"/>
      <c r="W128" s="187"/>
      <c r="X128" s="187"/>
      <c r="Y128" s="187"/>
      <c r="Z128" s="187"/>
    </row>
    <row r="129" spans="2:26" s="15" customFormat="1" ht="16.5" customHeight="1">
      <c r="B129" s="187"/>
      <c r="C129" s="187"/>
      <c r="D129" s="187"/>
      <c r="E129" s="187"/>
      <c r="F129" s="187"/>
      <c r="G129" s="187"/>
      <c r="H129" s="187"/>
      <c r="I129" s="187"/>
      <c r="J129" s="187"/>
      <c r="K129" s="187"/>
      <c r="L129" s="2193"/>
      <c r="M129" s="2168"/>
      <c r="N129" s="2168"/>
      <c r="O129" s="2168"/>
      <c r="P129" s="2167" t="s">
        <v>3559</v>
      </c>
      <c r="Q129" s="2168"/>
      <c r="R129" s="2167" t="s">
        <v>3560</v>
      </c>
      <c r="S129" s="2169"/>
      <c r="T129" s="187"/>
      <c r="U129" s="187"/>
      <c r="V129" s="187"/>
      <c r="W129" s="187"/>
      <c r="X129" s="187"/>
      <c r="Y129" s="187"/>
      <c r="Z129" s="187"/>
    </row>
    <row r="130" spans="2:26" s="15" customFormat="1" ht="16.5" customHeight="1">
      <c r="B130" s="187"/>
      <c r="C130" s="187"/>
      <c r="D130" s="187"/>
      <c r="E130" s="187"/>
      <c r="F130" s="187"/>
      <c r="G130" s="187"/>
      <c r="H130" s="187"/>
      <c r="I130" s="187"/>
      <c r="J130" s="187"/>
      <c r="K130" s="187"/>
      <c r="L130" s="2193"/>
      <c r="M130" s="2168"/>
      <c r="N130" s="2168"/>
      <c r="O130" s="2168"/>
      <c r="P130" s="2168"/>
      <c r="Q130" s="2168"/>
      <c r="R130" s="2168"/>
      <c r="S130" s="2169"/>
      <c r="T130" s="187"/>
      <c r="U130" s="187"/>
      <c r="V130" s="187"/>
      <c r="W130" s="187"/>
      <c r="X130" s="187"/>
      <c r="Y130" s="187"/>
      <c r="Z130" s="187"/>
    </row>
    <row r="131" spans="2:26" s="15" customFormat="1" ht="16.5" customHeight="1">
      <c r="B131" s="187"/>
      <c r="C131" s="187"/>
      <c r="D131" s="187"/>
      <c r="E131" s="187"/>
      <c r="F131" s="187"/>
      <c r="G131" s="187"/>
      <c r="H131" s="187"/>
      <c r="I131" s="187"/>
      <c r="J131" s="187"/>
      <c r="K131" s="187"/>
      <c r="L131" s="2162" t="s">
        <v>3561</v>
      </c>
      <c r="M131" s="2163"/>
      <c r="N131" s="2163"/>
      <c r="O131" s="2163"/>
      <c r="P131" s="2163"/>
      <c r="Q131" s="2163"/>
      <c r="R131" s="2163"/>
      <c r="S131" s="2164"/>
      <c r="T131" s="187"/>
      <c r="U131" s="187"/>
      <c r="V131" s="187"/>
      <c r="W131" s="187"/>
      <c r="X131" s="187"/>
      <c r="Y131" s="187"/>
      <c r="Z131" s="187"/>
    </row>
    <row r="132" spans="2:26" s="15" customFormat="1" ht="25" customHeight="1">
      <c r="B132" s="187"/>
      <c r="C132" s="187"/>
      <c r="D132" s="187"/>
      <c r="E132" s="187"/>
      <c r="F132" s="187"/>
      <c r="G132" s="187"/>
      <c r="H132" s="187"/>
      <c r="I132" s="187"/>
      <c r="J132" s="187"/>
      <c r="K132" s="187"/>
      <c r="L132" s="476" t="s">
        <v>3562</v>
      </c>
      <c r="M132" s="2188" t="s">
        <v>3563</v>
      </c>
      <c r="N132" s="2188"/>
      <c r="O132" s="2188"/>
      <c r="P132" s="2188"/>
      <c r="Q132" s="2188"/>
      <c r="R132" s="2188"/>
      <c r="S132" s="2189"/>
      <c r="T132" s="187"/>
      <c r="U132" s="187"/>
      <c r="V132" s="187"/>
      <c r="W132" s="187"/>
      <c r="X132" s="187"/>
      <c r="Y132" s="187"/>
      <c r="Z132" s="187"/>
    </row>
    <row r="133" spans="2:26" s="15" customFormat="1" ht="16.5" customHeight="1">
      <c r="B133" s="187"/>
      <c r="C133" s="187"/>
      <c r="D133" s="187"/>
      <c r="E133" s="187"/>
      <c r="F133" s="187"/>
      <c r="G133" s="187"/>
      <c r="H133" s="187"/>
      <c r="I133" s="187"/>
      <c r="J133" s="187"/>
      <c r="K133" s="187"/>
      <c r="L133" s="477"/>
      <c r="M133" s="2184"/>
      <c r="N133" s="2184"/>
      <c r="O133" s="2184"/>
      <c r="P133" s="2184"/>
      <c r="Q133" s="2184"/>
      <c r="R133" s="2184"/>
      <c r="S133" s="2185"/>
      <c r="T133" s="187"/>
      <c r="U133" s="187"/>
      <c r="V133" s="187"/>
      <c r="W133" s="187"/>
      <c r="X133" s="187"/>
      <c r="Y133" s="187"/>
      <c r="Z133" s="187"/>
    </row>
    <row r="134" spans="2:26" s="15" customFormat="1" ht="16.5" customHeight="1">
      <c r="B134" s="187"/>
      <c r="C134" s="187"/>
      <c r="D134" s="187"/>
      <c r="E134" s="187"/>
      <c r="F134" s="187"/>
      <c r="G134" s="187"/>
      <c r="H134" s="187"/>
      <c r="I134" s="187"/>
      <c r="J134" s="187"/>
      <c r="K134" s="187"/>
      <c r="L134" s="477"/>
      <c r="M134" s="2184"/>
      <c r="N134" s="2184"/>
      <c r="O134" s="2184"/>
      <c r="P134" s="2184"/>
      <c r="Q134" s="2184"/>
      <c r="R134" s="2184"/>
      <c r="S134" s="2185"/>
      <c r="T134" s="187"/>
      <c r="U134" s="187"/>
      <c r="V134" s="187"/>
      <c r="W134" s="187"/>
      <c r="X134" s="187"/>
      <c r="Y134" s="187"/>
      <c r="Z134" s="187"/>
    </row>
    <row r="135" spans="2:26" s="15" customFormat="1" ht="16.5" customHeight="1">
      <c r="B135" s="187"/>
      <c r="C135" s="187"/>
      <c r="D135" s="187"/>
      <c r="E135" s="187"/>
      <c r="F135" s="187"/>
      <c r="G135" s="187"/>
      <c r="H135" s="187"/>
      <c r="I135" s="187"/>
      <c r="J135" s="187"/>
      <c r="K135" s="187"/>
      <c r="L135" s="477"/>
      <c r="M135" s="2184"/>
      <c r="N135" s="2184"/>
      <c r="O135" s="2184"/>
      <c r="P135" s="2184"/>
      <c r="Q135" s="2184"/>
      <c r="R135" s="2184"/>
      <c r="S135" s="2185"/>
      <c r="T135" s="187"/>
      <c r="U135" s="187"/>
      <c r="V135" s="187"/>
      <c r="W135" s="187"/>
      <c r="X135" s="187"/>
      <c r="Y135" s="187"/>
      <c r="Z135" s="187"/>
    </row>
    <row r="136" spans="2:26" ht="16.5" customHeight="1">
      <c r="B136" s="187"/>
      <c r="C136" s="187"/>
      <c r="D136" s="187"/>
      <c r="E136" s="187"/>
      <c r="F136" s="187"/>
      <c r="G136" s="187"/>
      <c r="H136" s="187"/>
      <c r="I136" s="187"/>
      <c r="J136" s="187"/>
      <c r="K136" s="187"/>
      <c r="L136" s="477"/>
      <c r="M136" s="2184"/>
      <c r="N136" s="2184"/>
      <c r="O136" s="2184"/>
      <c r="P136" s="2184"/>
      <c r="Q136" s="2184"/>
      <c r="R136" s="2184"/>
      <c r="S136" s="2185"/>
      <c r="T136" s="187"/>
      <c r="U136" s="187"/>
      <c r="V136" s="187"/>
      <c r="W136" s="187"/>
      <c r="X136" s="187"/>
      <c r="Y136" s="187"/>
      <c r="Z136" s="187"/>
    </row>
    <row r="137" spans="2:26" ht="16.5" customHeight="1">
      <c r="B137" s="187"/>
      <c r="C137" s="187"/>
      <c r="D137" s="187"/>
      <c r="E137" s="187"/>
      <c r="F137" s="187"/>
      <c r="G137" s="187"/>
      <c r="H137" s="187"/>
      <c r="I137" s="187"/>
      <c r="J137" s="187"/>
      <c r="K137" s="187"/>
      <c r="L137" s="477"/>
      <c r="M137" s="2184"/>
      <c r="N137" s="2184"/>
      <c r="O137" s="2184"/>
      <c r="P137" s="2184"/>
      <c r="Q137" s="2184"/>
      <c r="R137" s="2184"/>
      <c r="S137" s="2185"/>
      <c r="T137" s="187"/>
      <c r="U137" s="187"/>
      <c r="V137" s="187"/>
      <c r="W137" s="187"/>
      <c r="X137" s="187"/>
      <c r="Y137" s="187"/>
      <c r="Z137" s="187"/>
    </row>
    <row r="138" spans="2:26" ht="16.5" customHeight="1">
      <c r="B138" s="187"/>
      <c r="C138" s="187"/>
      <c r="D138" s="187"/>
      <c r="E138" s="187"/>
      <c r="F138" s="187"/>
      <c r="G138" s="187"/>
      <c r="H138" s="187"/>
      <c r="I138" s="187"/>
      <c r="J138" s="187"/>
      <c r="K138" s="187"/>
      <c r="L138" s="477"/>
      <c r="M138" s="2184"/>
      <c r="N138" s="2184"/>
      <c r="O138" s="2184"/>
      <c r="P138" s="2184"/>
      <c r="Q138" s="2184"/>
      <c r="R138" s="2184"/>
      <c r="S138" s="2185"/>
      <c r="T138" s="187"/>
      <c r="U138" s="187"/>
      <c r="V138" s="187"/>
      <c r="W138" s="187"/>
      <c r="X138" s="187"/>
      <c r="Y138" s="187"/>
      <c r="Z138" s="187"/>
    </row>
    <row r="139" spans="2:26" ht="16.5" customHeight="1">
      <c r="B139" s="187"/>
      <c r="C139" s="187"/>
      <c r="D139" s="187"/>
      <c r="E139" s="187"/>
      <c r="F139" s="187"/>
      <c r="G139" s="187"/>
      <c r="H139" s="187"/>
      <c r="I139" s="187"/>
      <c r="J139" s="187"/>
      <c r="K139" s="187"/>
      <c r="L139" s="478"/>
      <c r="M139" s="2190"/>
      <c r="N139" s="2190"/>
      <c r="O139" s="2190"/>
      <c r="P139" s="2190"/>
      <c r="Q139" s="2190"/>
      <c r="R139" s="2190"/>
      <c r="S139" s="2191"/>
      <c r="T139" s="187"/>
      <c r="U139" s="187"/>
      <c r="V139" s="187"/>
      <c r="W139" s="187"/>
      <c r="X139" s="187"/>
      <c r="Y139" s="187"/>
      <c r="Z139" s="187"/>
    </row>
    <row r="140" spans="2:26" ht="16.5" customHeight="1">
      <c r="B140" s="187"/>
      <c r="C140" s="187"/>
      <c r="D140" s="187"/>
      <c r="E140" s="187"/>
      <c r="F140" s="187"/>
      <c r="G140" s="187"/>
      <c r="H140" s="187"/>
      <c r="I140" s="187"/>
      <c r="J140" s="187"/>
      <c r="K140" s="187"/>
      <c r="L140" s="477" t="s">
        <v>3564</v>
      </c>
      <c r="M140" s="2184" t="s">
        <v>3565</v>
      </c>
      <c r="N140" s="2184"/>
      <c r="O140" s="2184"/>
      <c r="P140" s="2184"/>
      <c r="Q140" s="2184"/>
      <c r="R140" s="2184"/>
      <c r="S140" s="2185"/>
      <c r="T140" s="187"/>
      <c r="U140" s="187"/>
      <c r="V140" s="187"/>
      <c r="W140" s="187"/>
      <c r="X140" s="187"/>
      <c r="Y140" s="187"/>
      <c r="Z140" s="187"/>
    </row>
    <row r="141" spans="2:26" ht="16.5" customHeight="1">
      <c r="B141" s="187"/>
      <c r="C141" s="187"/>
      <c r="D141" s="187"/>
      <c r="E141" s="187"/>
      <c r="F141" s="187"/>
      <c r="G141" s="187"/>
      <c r="H141" s="187"/>
      <c r="I141" s="187"/>
      <c r="J141" s="187"/>
      <c r="K141" s="187"/>
      <c r="L141" s="477"/>
      <c r="M141" s="2184"/>
      <c r="N141" s="2184"/>
      <c r="O141" s="2184"/>
      <c r="P141" s="2184"/>
      <c r="Q141" s="2184"/>
      <c r="R141" s="2184"/>
      <c r="S141" s="2185"/>
      <c r="T141" s="187"/>
      <c r="U141" s="187"/>
      <c r="V141" s="187"/>
      <c r="W141" s="187"/>
      <c r="X141" s="187"/>
      <c r="Y141" s="187"/>
      <c r="Z141" s="187"/>
    </row>
    <row r="142" spans="2:26" ht="16.5" customHeight="1">
      <c r="B142" s="187"/>
      <c r="C142" s="187"/>
      <c r="D142" s="187"/>
      <c r="E142" s="187"/>
      <c r="F142" s="187"/>
      <c r="G142" s="187"/>
      <c r="H142" s="187"/>
      <c r="I142" s="187"/>
      <c r="J142" s="187"/>
      <c r="K142" s="187"/>
      <c r="L142" s="477"/>
      <c r="M142" s="2184"/>
      <c r="N142" s="2184"/>
      <c r="O142" s="2184"/>
      <c r="P142" s="2184"/>
      <c r="Q142" s="2184"/>
      <c r="R142" s="2184"/>
      <c r="S142" s="2185"/>
      <c r="T142" s="187"/>
      <c r="U142" s="187"/>
      <c r="V142" s="187"/>
      <c r="W142" s="187"/>
      <c r="X142" s="187"/>
      <c r="Y142" s="187"/>
      <c r="Z142" s="187"/>
    </row>
    <row r="143" spans="2:26" ht="16.5" customHeight="1">
      <c r="B143" s="187"/>
      <c r="C143" s="187"/>
      <c r="D143" s="187"/>
      <c r="E143" s="187"/>
      <c r="F143" s="187"/>
      <c r="G143" s="187"/>
      <c r="H143" s="187"/>
      <c r="I143" s="187"/>
      <c r="J143" s="187"/>
      <c r="K143" s="187"/>
      <c r="L143" s="477"/>
      <c r="M143" s="2184"/>
      <c r="N143" s="2184"/>
      <c r="O143" s="2184"/>
      <c r="P143" s="2184"/>
      <c r="Q143" s="2184"/>
      <c r="R143" s="2184"/>
      <c r="S143" s="2185"/>
      <c r="T143" s="187"/>
      <c r="U143" s="187"/>
      <c r="V143" s="187"/>
      <c r="W143" s="187"/>
      <c r="X143" s="187"/>
      <c r="Y143" s="187"/>
      <c r="Z143" s="187"/>
    </row>
    <row r="144" spans="2:26" ht="16.5" customHeight="1">
      <c r="B144" s="187"/>
      <c r="C144" s="187"/>
      <c r="D144" s="187"/>
      <c r="E144" s="187"/>
      <c r="F144" s="187"/>
      <c r="G144" s="187"/>
      <c r="H144" s="187"/>
      <c r="I144" s="187"/>
      <c r="J144" s="187"/>
      <c r="K144" s="187"/>
      <c r="L144" s="477"/>
      <c r="M144" s="2184"/>
      <c r="N144" s="2184"/>
      <c r="O144" s="2184"/>
      <c r="P144" s="2184"/>
      <c r="Q144" s="2184"/>
      <c r="R144" s="2184"/>
      <c r="S144" s="2185"/>
      <c r="T144" s="187"/>
      <c r="U144" s="187"/>
      <c r="V144" s="187"/>
      <c r="W144" s="187"/>
      <c r="X144" s="187"/>
      <c r="Y144" s="187"/>
      <c r="Z144" s="187"/>
    </row>
    <row r="145" spans="2:26" ht="16.5" customHeight="1">
      <c r="B145" s="187"/>
      <c r="C145" s="187"/>
      <c r="D145" s="187"/>
      <c r="E145" s="187"/>
      <c r="F145" s="187"/>
      <c r="G145" s="187"/>
      <c r="H145" s="187"/>
      <c r="I145" s="187"/>
      <c r="J145" s="187"/>
      <c r="K145" s="187"/>
      <c r="L145" s="477"/>
      <c r="M145" s="2184"/>
      <c r="N145" s="2184"/>
      <c r="O145" s="2184"/>
      <c r="P145" s="2184"/>
      <c r="Q145" s="2184"/>
      <c r="R145" s="2184"/>
      <c r="S145" s="2185"/>
      <c r="T145" s="187"/>
      <c r="U145" s="187"/>
      <c r="V145" s="187"/>
      <c r="W145" s="187"/>
      <c r="X145" s="187"/>
      <c r="Y145" s="187"/>
      <c r="Z145" s="187"/>
    </row>
    <row r="146" spans="2:26" ht="16.5" customHeight="1">
      <c r="B146" s="187"/>
      <c r="C146" s="187"/>
      <c r="D146" s="187"/>
      <c r="E146" s="187"/>
      <c r="F146" s="187"/>
      <c r="G146" s="187"/>
      <c r="H146" s="187"/>
      <c r="I146" s="187"/>
      <c r="J146" s="187"/>
      <c r="K146" s="187"/>
      <c r="L146" s="477"/>
      <c r="M146" s="2184"/>
      <c r="N146" s="2184"/>
      <c r="O146" s="2184"/>
      <c r="P146" s="2184"/>
      <c r="Q146" s="2184"/>
      <c r="R146" s="2184"/>
      <c r="S146" s="2185"/>
      <c r="T146" s="187"/>
      <c r="U146" s="187"/>
      <c r="V146" s="187"/>
      <c r="W146" s="187"/>
      <c r="X146" s="187"/>
      <c r="Y146" s="187"/>
      <c r="Z146" s="187"/>
    </row>
    <row r="147" spans="2:26" ht="16.5" customHeight="1">
      <c r="B147" s="187"/>
      <c r="C147" s="187"/>
      <c r="D147" s="187"/>
      <c r="E147" s="187"/>
      <c r="F147" s="187"/>
      <c r="G147" s="187"/>
      <c r="H147" s="187"/>
      <c r="I147" s="187"/>
      <c r="J147" s="187"/>
      <c r="K147" s="187"/>
      <c r="L147" s="478"/>
      <c r="M147" s="2190"/>
      <c r="N147" s="2190"/>
      <c r="O147" s="2190"/>
      <c r="P147" s="2190"/>
      <c r="Q147" s="2190"/>
      <c r="R147" s="2190"/>
      <c r="S147" s="2191"/>
      <c r="T147" s="187"/>
      <c r="U147" s="187"/>
      <c r="V147" s="187"/>
      <c r="W147" s="187"/>
      <c r="X147" s="187"/>
      <c r="Y147" s="187"/>
      <c r="Z147" s="187"/>
    </row>
    <row r="148" spans="2:26" ht="16.5" customHeight="1">
      <c r="B148" s="187"/>
      <c r="C148" s="187"/>
      <c r="D148" s="187"/>
      <c r="E148" s="187"/>
      <c r="F148" s="187"/>
      <c r="G148" s="187"/>
      <c r="H148" s="187"/>
      <c r="I148" s="187"/>
      <c r="J148" s="187"/>
      <c r="K148" s="187"/>
      <c r="L148" s="477" t="s">
        <v>3566</v>
      </c>
      <c r="M148" s="2184" t="s">
        <v>3567</v>
      </c>
      <c r="N148" s="2184"/>
      <c r="O148" s="2184"/>
      <c r="P148" s="2184"/>
      <c r="Q148" s="2184"/>
      <c r="R148" s="2184"/>
      <c r="S148" s="2185"/>
      <c r="T148" s="187"/>
      <c r="U148" s="187"/>
      <c r="V148" s="187"/>
      <c r="W148" s="187"/>
      <c r="X148" s="187"/>
      <c r="Y148" s="187"/>
      <c r="Z148" s="187"/>
    </row>
    <row r="149" spans="2:26" ht="16.5" customHeight="1">
      <c r="B149" s="187"/>
      <c r="C149" s="187"/>
      <c r="D149" s="187"/>
      <c r="E149" s="187"/>
      <c r="F149" s="187"/>
      <c r="G149" s="187"/>
      <c r="H149" s="187"/>
      <c r="I149" s="187"/>
      <c r="J149" s="187"/>
      <c r="K149" s="187"/>
      <c r="L149" s="477"/>
      <c r="M149" s="2184"/>
      <c r="N149" s="2184"/>
      <c r="O149" s="2184"/>
      <c r="P149" s="2184"/>
      <c r="Q149" s="2184"/>
      <c r="R149" s="2184"/>
      <c r="S149" s="2185"/>
      <c r="T149" s="187"/>
      <c r="U149" s="187"/>
      <c r="V149" s="187"/>
      <c r="W149" s="187"/>
      <c r="X149" s="187"/>
      <c r="Y149" s="187"/>
      <c r="Z149" s="187"/>
    </row>
    <row r="150" spans="2:26" ht="16.5" customHeight="1">
      <c r="B150" s="187"/>
      <c r="C150" s="187"/>
      <c r="D150" s="187"/>
      <c r="E150" s="187"/>
      <c r="F150" s="187"/>
      <c r="G150" s="187"/>
      <c r="H150" s="187"/>
      <c r="I150" s="187"/>
      <c r="J150" s="187"/>
      <c r="K150" s="187"/>
      <c r="L150" s="477"/>
      <c r="M150" s="2184"/>
      <c r="N150" s="2184"/>
      <c r="O150" s="2184"/>
      <c r="P150" s="2184"/>
      <c r="Q150" s="2184"/>
      <c r="R150" s="2184"/>
      <c r="S150" s="2185"/>
      <c r="T150" s="187"/>
      <c r="U150" s="187"/>
      <c r="V150" s="187"/>
      <c r="W150" s="187"/>
      <c r="X150" s="187"/>
      <c r="Y150" s="187"/>
      <c r="Z150" s="187"/>
    </row>
    <row r="151" spans="2:26" ht="16.5" customHeight="1">
      <c r="B151" s="187"/>
      <c r="C151" s="187"/>
      <c r="D151" s="187"/>
      <c r="E151" s="187"/>
      <c r="F151" s="187"/>
      <c r="G151" s="187"/>
      <c r="H151" s="187"/>
      <c r="I151" s="187"/>
      <c r="J151" s="187"/>
      <c r="K151" s="187"/>
      <c r="L151" s="477"/>
      <c r="M151" s="2184"/>
      <c r="N151" s="2184"/>
      <c r="O151" s="2184"/>
      <c r="P151" s="2184"/>
      <c r="Q151" s="2184"/>
      <c r="R151" s="2184"/>
      <c r="S151" s="2185"/>
      <c r="T151" s="187"/>
      <c r="U151" s="187"/>
      <c r="V151" s="187"/>
      <c r="W151" s="187"/>
      <c r="X151" s="187"/>
      <c r="Y151" s="187"/>
      <c r="Z151" s="187"/>
    </row>
    <row r="152" spans="2:26" ht="18">
      <c r="B152" s="187"/>
      <c r="C152" s="187"/>
      <c r="D152" s="187"/>
      <c r="E152" s="187"/>
      <c r="F152" s="187"/>
      <c r="G152" s="187"/>
      <c r="H152" s="187"/>
      <c r="I152" s="187"/>
      <c r="J152" s="187"/>
      <c r="K152" s="187"/>
      <c r="L152" s="477"/>
      <c r="M152" s="2184"/>
      <c r="N152" s="2184"/>
      <c r="O152" s="2184"/>
      <c r="P152" s="2184"/>
      <c r="Q152" s="2184"/>
      <c r="R152" s="2184"/>
      <c r="S152" s="2185"/>
      <c r="T152" s="187"/>
      <c r="U152" s="187"/>
      <c r="V152" s="187"/>
      <c r="W152" s="187"/>
      <c r="X152" s="187"/>
      <c r="Y152" s="187"/>
      <c r="Z152" s="187"/>
    </row>
    <row r="153" spans="2:26" ht="18">
      <c r="B153" s="187"/>
      <c r="C153" s="187"/>
      <c r="D153" s="187"/>
      <c r="E153" s="187"/>
      <c r="F153" s="187"/>
      <c r="G153" s="187"/>
      <c r="H153" s="187"/>
      <c r="I153" s="187"/>
      <c r="J153" s="187"/>
      <c r="K153" s="187"/>
      <c r="L153" s="477"/>
      <c r="M153" s="2184"/>
      <c r="N153" s="2184"/>
      <c r="O153" s="2184"/>
      <c r="P153" s="2184"/>
      <c r="Q153" s="2184"/>
      <c r="R153" s="2184"/>
      <c r="S153" s="2185"/>
      <c r="T153" s="187"/>
      <c r="U153" s="187"/>
      <c r="V153" s="187"/>
      <c r="W153" s="187"/>
      <c r="X153" s="187"/>
      <c r="Y153" s="187"/>
      <c r="Z153" s="187"/>
    </row>
    <row r="154" spans="2:26" ht="18">
      <c r="B154" s="187"/>
      <c r="C154" s="187"/>
      <c r="D154" s="187"/>
      <c r="E154" s="187"/>
      <c r="F154" s="187"/>
      <c r="G154" s="187"/>
      <c r="H154" s="187"/>
      <c r="I154" s="187"/>
      <c r="J154" s="187"/>
      <c r="K154" s="187"/>
      <c r="L154" s="479"/>
      <c r="M154" s="2186"/>
      <c r="N154" s="2186"/>
      <c r="O154" s="2186"/>
      <c r="P154" s="2186"/>
      <c r="Q154" s="2186"/>
      <c r="R154" s="2186"/>
      <c r="S154" s="2187"/>
      <c r="T154" s="480" t="s">
        <v>3568</v>
      </c>
      <c r="U154" s="187"/>
      <c r="V154" s="187"/>
      <c r="W154" s="187"/>
      <c r="X154" s="187"/>
      <c r="Y154" s="187"/>
      <c r="Z154" s="187"/>
    </row>
  </sheetData>
  <sheetProtection sheet="1" objects="1" formatCells="0"/>
  <protectedRanges>
    <protectedRange sqref="B4:D9" name="技能查询"/>
  </protectedRanges>
  <mergeCells count="91">
    <mergeCell ref="U119:Z127"/>
    <mergeCell ref="B68:Z69"/>
    <mergeCell ref="B64:Z66"/>
    <mergeCell ref="L125:S126"/>
    <mergeCell ref="U117:Z118"/>
    <mergeCell ref="B113:Z115"/>
    <mergeCell ref="B96:J101"/>
    <mergeCell ref="B119:E125"/>
    <mergeCell ref="B70:M71"/>
    <mergeCell ref="O77:Z80"/>
    <mergeCell ref="O72:T74"/>
    <mergeCell ref="U72:Z74"/>
    <mergeCell ref="P127:Q128"/>
    <mergeCell ref="R127:S128"/>
    <mergeCell ref="L117:S118"/>
    <mergeCell ref="O70:Z71"/>
    <mergeCell ref="M148:S154"/>
    <mergeCell ref="M132:S139"/>
    <mergeCell ref="L127:O130"/>
    <mergeCell ref="B117:E118"/>
    <mergeCell ref="M140:S147"/>
    <mergeCell ref="G119:J125"/>
    <mergeCell ref="G117:J118"/>
    <mergeCell ref="L119:S123"/>
    <mergeCell ref="B85:J85"/>
    <mergeCell ref="L124:S124"/>
    <mergeCell ref="L131:S131"/>
    <mergeCell ref="A2:A23"/>
    <mergeCell ref="N14:N15"/>
    <mergeCell ref="N17:N18"/>
    <mergeCell ref="N20:N21"/>
    <mergeCell ref="N25:N26"/>
    <mergeCell ref="N36:N37"/>
    <mergeCell ref="N39:N40"/>
    <mergeCell ref="P129:Q130"/>
    <mergeCell ref="R129:S130"/>
    <mergeCell ref="B94:J95"/>
    <mergeCell ref="B102:J105"/>
    <mergeCell ref="B75:G76"/>
    <mergeCell ref="H75:M76"/>
    <mergeCell ref="N41:Z41"/>
    <mergeCell ref="O43:Z43"/>
    <mergeCell ref="O45:Y45"/>
    <mergeCell ref="B84:J84"/>
    <mergeCell ref="B81:J83"/>
    <mergeCell ref="B40:L60"/>
    <mergeCell ref="B72:G74"/>
    <mergeCell ref="H72:M74"/>
    <mergeCell ref="B77:M80"/>
    <mergeCell ref="O39:Z40"/>
    <mergeCell ref="O75:T76"/>
    <mergeCell ref="U75:Z76"/>
    <mergeCell ref="O34:Z34"/>
    <mergeCell ref="N35:Z35"/>
    <mergeCell ref="N38:Z38"/>
    <mergeCell ref="O36:Z37"/>
    <mergeCell ref="B39:L39"/>
    <mergeCell ref="O12:Z12"/>
    <mergeCell ref="O23:Z23"/>
    <mergeCell ref="B24:G24"/>
    <mergeCell ref="H24:L24"/>
    <mergeCell ref="O28:Z28"/>
    <mergeCell ref="O25:Z26"/>
    <mergeCell ref="B25:G38"/>
    <mergeCell ref="I11:J23"/>
    <mergeCell ref="K11:L23"/>
    <mergeCell ref="B11:H23"/>
    <mergeCell ref="O20:Z21"/>
    <mergeCell ref="O17:Z18"/>
    <mergeCell ref="H25:L38"/>
    <mergeCell ref="O14:Z15"/>
    <mergeCell ref="O30:Z30"/>
    <mergeCell ref="O32:Z32"/>
    <mergeCell ref="O4:Z4"/>
    <mergeCell ref="O6:Z6"/>
    <mergeCell ref="O8:Z8"/>
    <mergeCell ref="B10:H10"/>
    <mergeCell ref="I10:J10"/>
    <mergeCell ref="K10:L10"/>
    <mergeCell ref="O10:Z10"/>
    <mergeCell ref="E4:F9"/>
    <mergeCell ref="G4:H9"/>
    <mergeCell ref="I4:L9"/>
    <mergeCell ref="B4:D9"/>
    <mergeCell ref="B2:L2"/>
    <mergeCell ref="N2:Z2"/>
    <mergeCell ref="B3:D3"/>
    <mergeCell ref="E3:F3"/>
    <mergeCell ref="G3:H3"/>
    <mergeCell ref="I3:L3"/>
    <mergeCell ref="O3:Z3"/>
  </mergeCells>
  <pageMargins left="0.75" right="0.75" top="1" bottom="1" header="0.51180555555555596" footer="0.51180555555555596"/>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附表!$B$95:$B$212</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workbookViewId="0">
      <selection activeCell="AZ3" sqref="AZ3"/>
    </sheetView>
  </sheetViews>
  <sheetFormatPr baseColWidth="10" defaultColWidth="9" defaultRowHeight="18"/>
  <cols>
    <col min="1" max="1" width="4" style="402" customWidth="1"/>
    <col min="2" max="2" width="4.33203125" style="401" customWidth="1"/>
    <col min="3" max="7" width="4" style="401" customWidth="1"/>
    <col min="8" max="8" width="4.33203125" style="401" customWidth="1"/>
    <col min="9" max="19" width="4" style="401" customWidth="1"/>
    <col min="20" max="20" width="4.33203125" style="401" customWidth="1"/>
    <col min="21" max="73" width="4" style="401" customWidth="1"/>
  </cols>
  <sheetData>
    <row r="1" spans="1:49" s="401" customFormat="1">
      <c r="A1" s="328"/>
    </row>
    <row r="2" spans="1:49" s="401" customFormat="1">
      <c r="A2" s="402">
        <f ca="1">RANDBETWEEN(1,6)</f>
        <v>4</v>
      </c>
      <c r="B2" s="2219" t="s">
        <v>3569</v>
      </c>
      <c r="C2" s="2220"/>
      <c r="D2" s="2220"/>
      <c r="E2" s="2220"/>
      <c r="F2" s="2220"/>
      <c r="G2" s="2220"/>
      <c r="H2" s="2220"/>
      <c r="I2" s="2220"/>
      <c r="J2" s="2220"/>
      <c r="K2" s="2220"/>
      <c r="L2" s="2220"/>
      <c r="M2" s="2220"/>
      <c r="N2" s="2220"/>
      <c r="O2" s="2220"/>
      <c r="P2" s="2220"/>
      <c r="Q2" s="2220"/>
      <c r="R2" s="2220"/>
      <c r="S2" s="2220"/>
      <c r="T2" s="2220"/>
      <c r="U2" s="2220"/>
      <c r="V2" s="2220"/>
      <c r="W2" s="2220"/>
      <c r="X2" s="2220"/>
      <c r="Y2" s="2220"/>
      <c r="Z2" s="2220"/>
      <c r="AA2" s="2220"/>
      <c r="AB2" s="2220"/>
      <c r="AC2" s="2220"/>
      <c r="AD2" s="2220"/>
      <c r="AE2" s="2220"/>
      <c r="AF2" s="2220"/>
      <c r="AG2" s="2220"/>
      <c r="AH2" s="2220"/>
      <c r="AI2" s="2220"/>
      <c r="AJ2" s="2220"/>
      <c r="AK2" s="2220"/>
      <c r="AL2" s="2220"/>
      <c r="AM2" s="2220"/>
      <c r="AN2" s="2220"/>
      <c r="AO2" s="2220"/>
      <c r="AP2" s="2220"/>
      <c r="AQ2" s="2220"/>
      <c r="AR2" s="2220"/>
      <c r="AS2" s="2220"/>
      <c r="AT2" s="2220"/>
      <c r="AU2" s="2220"/>
      <c r="AV2" s="2220"/>
      <c r="AW2" s="2221"/>
    </row>
    <row r="3" spans="1:49" s="401" customFormat="1">
      <c r="B3" s="2222" t="s">
        <v>3570</v>
      </c>
      <c r="C3" s="2223"/>
      <c r="D3" s="2223"/>
      <c r="E3" s="2223"/>
      <c r="F3" s="2223"/>
      <c r="G3" s="2223"/>
      <c r="H3" s="2224" t="s">
        <v>3571</v>
      </c>
      <c r="I3" s="2225"/>
      <c r="J3" s="2225"/>
      <c r="K3" s="2225"/>
      <c r="L3" s="2225"/>
      <c r="M3" s="2225"/>
      <c r="N3" s="2224" t="s">
        <v>3572</v>
      </c>
      <c r="O3" s="2225"/>
      <c r="P3" s="2225"/>
      <c r="Q3" s="2225"/>
      <c r="R3" s="2225"/>
      <c r="S3" s="2225"/>
      <c r="T3" s="2224" t="s">
        <v>3573</v>
      </c>
      <c r="U3" s="2225"/>
      <c r="V3" s="2225"/>
      <c r="W3" s="2225"/>
      <c r="X3" s="2225"/>
      <c r="Y3" s="2225"/>
      <c r="Z3" s="2224" t="s">
        <v>3574</v>
      </c>
      <c r="AA3" s="2225"/>
      <c r="AB3" s="2225"/>
      <c r="AC3" s="2225"/>
      <c r="AD3" s="2225"/>
      <c r="AE3" s="2225"/>
      <c r="AF3" s="2224" t="s">
        <v>3575</v>
      </c>
      <c r="AG3" s="2225"/>
      <c r="AH3" s="2225"/>
      <c r="AI3" s="2225"/>
      <c r="AJ3" s="2225"/>
      <c r="AK3" s="2225"/>
      <c r="AL3" s="2224" t="s">
        <v>3576</v>
      </c>
      <c r="AM3" s="2225"/>
      <c r="AN3" s="2225"/>
      <c r="AO3" s="2225"/>
      <c r="AP3" s="2225"/>
      <c r="AQ3" s="2225"/>
      <c r="AR3" s="2224" t="s">
        <v>3577</v>
      </c>
      <c r="AS3" s="2225"/>
      <c r="AT3" s="2225"/>
      <c r="AU3" s="2225"/>
      <c r="AV3" s="2225"/>
      <c r="AW3" s="2226"/>
    </row>
    <row r="4" spans="1:49" s="401" customFormat="1">
      <c r="B4" s="2357" t="s">
        <v>3578</v>
      </c>
      <c r="C4" s="2273"/>
      <c r="D4" s="2273"/>
      <c r="E4" s="2273"/>
      <c r="F4" s="2273"/>
      <c r="G4" s="2273"/>
      <c r="H4" s="2360" t="s">
        <v>3578</v>
      </c>
      <c r="I4" s="2273"/>
      <c r="J4" s="2273"/>
      <c r="K4" s="2273"/>
      <c r="L4" s="2273"/>
      <c r="M4" s="2273"/>
      <c r="N4" s="2362" t="s">
        <v>3579</v>
      </c>
      <c r="O4" s="2363"/>
      <c r="P4" s="2363"/>
      <c r="Q4" s="2363"/>
      <c r="R4" s="2363"/>
      <c r="S4" s="2364"/>
      <c r="T4" s="2272" t="s">
        <v>3578</v>
      </c>
      <c r="U4" s="2273"/>
      <c r="V4" s="2273"/>
      <c r="W4" s="2273"/>
      <c r="X4" s="2273"/>
      <c r="Y4" s="2273"/>
      <c r="Z4" s="2368" t="s">
        <v>3578</v>
      </c>
      <c r="AA4" s="2273"/>
      <c r="AB4" s="2273"/>
      <c r="AC4" s="2273"/>
      <c r="AD4" s="2273"/>
      <c r="AE4" s="2273"/>
      <c r="AF4" s="2362" t="s">
        <v>3579</v>
      </c>
      <c r="AG4" s="2363"/>
      <c r="AH4" s="2363"/>
      <c r="AI4" s="2363"/>
      <c r="AJ4" s="2363"/>
      <c r="AK4" s="2363"/>
      <c r="AL4" s="2370" t="s">
        <v>3578</v>
      </c>
      <c r="AM4" s="2273"/>
      <c r="AN4" s="2273"/>
      <c r="AO4" s="2273"/>
      <c r="AP4" s="2273"/>
      <c r="AQ4" s="2273"/>
      <c r="AR4" s="2362" t="s">
        <v>3579</v>
      </c>
      <c r="AS4" s="2363"/>
      <c r="AT4" s="2363"/>
      <c r="AU4" s="2363"/>
      <c r="AV4" s="2363"/>
      <c r="AW4" s="2371"/>
    </row>
    <row r="5" spans="1:49" s="401" customFormat="1">
      <c r="B5" s="2358"/>
      <c r="C5" s="2359"/>
      <c r="D5" s="2359"/>
      <c r="E5" s="2359"/>
      <c r="F5" s="2359"/>
      <c r="G5" s="2359"/>
      <c r="H5" s="2361"/>
      <c r="I5" s="2359"/>
      <c r="J5" s="2359"/>
      <c r="K5" s="2359"/>
      <c r="L5" s="2359"/>
      <c r="M5" s="2359"/>
      <c r="N5" s="2365"/>
      <c r="O5" s="2366"/>
      <c r="P5" s="2366"/>
      <c r="Q5" s="2366"/>
      <c r="R5" s="2366"/>
      <c r="S5" s="2367"/>
      <c r="T5" s="2359"/>
      <c r="U5" s="2359"/>
      <c r="V5" s="2359"/>
      <c r="W5" s="2359"/>
      <c r="X5" s="2359"/>
      <c r="Y5" s="2359"/>
      <c r="Z5" s="2369"/>
      <c r="AA5" s="2359"/>
      <c r="AB5" s="2359"/>
      <c r="AC5" s="2359"/>
      <c r="AD5" s="2359"/>
      <c r="AE5" s="2359"/>
      <c r="AF5" s="2365"/>
      <c r="AG5" s="2366"/>
      <c r="AH5" s="2366"/>
      <c r="AI5" s="2366"/>
      <c r="AJ5" s="2366"/>
      <c r="AK5" s="2366"/>
      <c r="AL5" s="2361"/>
      <c r="AM5" s="2359"/>
      <c r="AN5" s="2359"/>
      <c r="AO5" s="2359"/>
      <c r="AP5" s="2359"/>
      <c r="AQ5" s="2359"/>
      <c r="AR5" s="2365"/>
      <c r="AS5" s="2366"/>
      <c r="AT5" s="2366"/>
      <c r="AU5" s="2366"/>
      <c r="AV5" s="2366"/>
      <c r="AW5" s="2372"/>
    </row>
    <row r="6" spans="1:49" s="401" customFormat="1"/>
    <row r="7" spans="1:49" s="401" customFormat="1">
      <c r="A7" s="402">
        <f t="shared" ref="A7:A10" ca="1" si="0">RANDBETWEEN(1,6)</f>
        <v>4</v>
      </c>
      <c r="B7" s="2219" t="s">
        <v>3580</v>
      </c>
      <c r="C7" s="2220"/>
      <c r="D7" s="2220"/>
      <c r="E7" s="2220"/>
      <c r="F7" s="2220"/>
      <c r="G7" s="2220"/>
      <c r="H7" s="2220"/>
      <c r="I7" s="2220"/>
      <c r="J7" s="2220"/>
      <c r="K7" s="2220"/>
      <c r="L7" s="2220"/>
      <c r="M7" s="2220"/>
      <c r="N7" s="2220"/>
      <c r="O7" s="2220"/>
      <c r="P7" s="2220"/>
      <c r="Q7" s="2220"/>
      <c r="R7" s="2220"/>
      <c r="S7" s="2220"/>
      <c r="T7" s="2220"/>
      <c r="U7" s="2220"/>
      <c r="V7" s="2220"/>
      <c r="W7" s="2220"/>
      <c r="X7" s="2220"/>
      <c r="Y7" s="2220"/>
      <c r="Z7" s="2220"/>
      <c r="AA7" s="2220"/>
      <c r="AB7" s="2220"/>
      <c r="AC7" s="2220"/>
      <c r="AD7" s="2220"/>
      <c r="AE7" s="2220"/>
      <c r="AF7" s="2220"/>
      <c r="AG7" s="2220"/>
      <c r="AH7" s="2220"/>
      <c r="AI7" s="2220"/>
      <c r="AJ7" s="2220"/>
      <c r="AK7" s="2220"/>
      <c r="AL7" s="2220"/>
      <c r="AM7" s="2220"/>
      <c r="AN7" s="2220"/>
      <c r="AO7" s="2220"/>
      <c r="AP7" s="2220"/>
      <c r="AQ7" s="2220"/>
      <c r="AR7" s="2220"/>
      <c r="AS7" s="2220"/>
      <c r="AT7" s="2220"/>
      <c r="AU7" s="2220"/>
      <c r="AV7" s="2220"/>
      <c r="AW7" s="2221"/>
    </row>
    <row r="8" spans="1:49" s="401" customFormat="1">
      <c r="A8" s="402">
        <f t="shared" ca="1" si="0"/>
        <v>2</v>
      </c>
      <c r="B8" s="2374" t="s">
        <v>3570</v>
      </c>
      <c r="C8" s="2375"/>
      <c r="D8" s="2375"/>
      <c r="E8" s="2375"/>
      <c r="F8" s="2375"/>
      <c r="G8" s="2375"/>
      <c r="H8" s="2216" t="s">
        <v>3571</v>
      </c>
      <c r="I8" s="2217"/>
      <c r="J8" s="2217"/>
      <c r="K8" s="2217"/>
      <c r="L8" s="2217"/>
      <c r="M8" s="2217"/>
      <c r="N8" s="2216" t="s">
        <v>3572</v>
      </c>
      <c r="O8" s="2217"/>
      <c r="P8" s="2217"/>
      <c r="Q8" s="2217"/>
      <c r="R8" s="2217"/>
      <c r="S8" s="2217"/>
      <c r="T8" s="2216" t="s">
        <v>3573</v>
      </c>
      <c r="U8" s="2217"/>
      <c r="V8" s="2217"/>
      <c r="W8" s="2217"/>
      <c r="X8" s="2217"/>
      <c r="Y8" s="2217"/>
      <c r="Z8" s="2216" t="s">
        <v>3574</v>
      </c>
      <c r="AA8" s="2217"/>
      <c r="AB8" s="2217"/>
      <c r="AC8" s="2217"/>
      <c r="AD8" s="2217"/>
      <c r="AE8" s="2217"/>
      <c r="AF8" s="2216" t="s">
        <v>3575</v>
      </c>
      <c r="AG8" s="2217"/>
      <c r="AH8" s="2217"/>
      <c r="AI8" s="2217"/>
      <c r="AJ8" s="2217"/>
      <c r="AK8" s="2217"/>
      <c r="AL8" s="2216" t="s">
        <v>3576</v>
      </c>
      <c r="AM8" s="2217"/>
      <c r="AN8" s="2217"/>
      <c r="AO8" s="2217"/>
      <c r="AP8" s="2217"/>
      <c r="AQ8" s="2217"/>
      <c r="AR8" s="2216" t="s">
        <v>3577</v>
      </c>
      <c r="AS8" s="2217"/>
      <c r="AT8" s="2217"/>
      <c r="AU8" s="2217"/>
      <c r="AV8" s="2217"/>
      <c r="AW8" s="2218"/>
    </row>
    <row r="9" spans="1:49" s="401" customFormat="1">
      <c r="A9" s="402">
        <f t="shared" ca="1" si="0"/>
        <v>4</v>
      </c>
      <c r="B9" s="2264">
        <v>0</v>
      </c>
      <c r="C9" s="1881" t="s">
        <v>3581</v>
      </c>
      <c r="D9" s="1881"/>
      <c r="E9" s="1881"/>
      <c r="F9" s="1881"/>
      <c r="G9" s="1881"/>
      <c r="H9" s="2268">
        <v>0</v>
      </c>
      <c r="I9" s="2268" t="s">
        <v>3582</v>
      </c>
      <c r="J9" s="2268"/>
      <c r="K9" s="2268"/>
      <c r="L9" s="2268"/>
      <c r="M9" s="2268"/>
      <c r="N9" s="2268">
        <v>0</v>
      </c>
      <c r="O9" s="2268" t="s">
        <v>3583</v>
      </c>
      <c r="P9" s="2268"/>
      <c r="Q9" s="2268"/>
      <c r="R9" s="2268"/>
      <c r="S9" s="2268"/>
      <c r="T9" s="2268">
        <v>0</v>
      </c>
      <c r="U9" s="2268" t="s">
        <v>3584</v>
      </c>
      <c r="V9" s="2268"/>
      <c r="W9" s="2268"/>
      <c r="X9" s="2268"/>
      <c r="Y9" s="2268"/>
      <c r="Z9" s="2268">
        <v>0</v>
      </c>
      <c r="AA9" s="1881" t="s">
        <v>3585</v>
      </c>
      <c r="AB9" s="1881"/>
      <c r="AC9" s="1881"/>
      <c r="AD9" s="1881"/>
      <c r="AE9" s="1881"/>
      <c r="AF9" s="2268">
        <v>0</v>
      </c>
      <c r="AG9" s="1881" t="s">
        <v>3586</v>
      </c>
      <c r="AH9" s="1881"/>
      <c r="AI9" s="1881"/>
      <c r="AJ9" s="1881"/>
      <c r="AK9" s="1881"/>
      <c r="AL9" s="2268">
        <v>0</v>
      </c>
      <c r="AM9" s="1881" t="s">
        <v>3587</v>
      </c>
      <c r="AN9" s="1881"/>
      <c r="AO9" s="1881"/>
      <c r="AP9" s="1881"/>
      <c r="AQ9" s="1881"/>
      <c r="AR9" s="2268">
        <v>0</v>
      </c>
      <c r="AS9" s="2268" t="s">
        <v>3588</v>
      </c>
      <c r="AT9" s="2268"/>
      <c r="AU9" s="2268"/>
      <c r="AV9" s="2268"/>
      <c r="AW9" s="2382"/>
    </row>
    <row r="10" spans="1:49" s="401" customFormat="1">
      <c r="A10" s="402">
        <f t="shared" ca="1" si="0"/>
        <v>5</v>
      </c>
      <c r="B10" s="2264"/>
      <c r="C10" s="1881"/>
      <c r="D10" s="1881"/>
      <c r="E10" s="1881"/>
      <c r="F10" s="1881"/>
      <c r="G10" s="1881"/>
      <c r="H10" s="2268"/>
      <c r="I10" s="2268"/>
      <c r="J10" s="2268"/>
      <c r="K10" s="2268"/>
      <c r="L10" s="2268"/>
      <c r="M10" s="2268"/>
      <c r="N10" s="2268"/>
      <c r="O10" s="2268"/>
      <c r="P10" s="2268"/>
      <c r="Q10" s="2268"/>
      <c r="R10" s="2268"/>
      <c r="S10" s="2268"/>
      <c r="T10" s="2268"/>
      <c r="U10" s="2268"/>
      <c r="V10" s="2268"/>
      <c r="W10" s="2268"/>
      <c r="X10" s="2268"/>
      <c r="Y10" s="2268"/>
      <c r="Z10" s="2268"/>
      <c r="AA10" s="1881"/>
      <c r="AB10" s="1881"/>
      <c r="AC10" s="1881"/>
      <c r="AD10" s="1881"/>
      <c r="AE10" s="1881"/>
      <c r="AF10" s="2268"/>
      <c r="AG10" s="1881"/>
      <c r="AH10" s="1881"/>
      <c r="AI10" s="1881"/>
      <c r="AJ10" s="1881"/>
      <c r="AK10" s="1881"/>
      <c r="AL10" s="2268"/>
      <c r="AM10" s="1881"/>
      <c r="AN10" s="1881"/>
      <c r="AO10" s="1881"/>
      <c r="AP10" s="1881"/>
      <c r="AQ10" s="1881"/>
      <c r="AR10" s="2268"/>
      <c r="AS10" s="2268"/>
      <c r="AT10" s="2268"/>
      <c r="AU10" s="2268"/>
      <c r="AV10" s="2268"/>
      <c r="AW10" s="2382"/>
    </row>
    <row r="11" spans="1:49" s="401" customFormat="1">
      <c r="A11" s="402"/>
      <c r="B11" s="2265"/>
      <c r="C11" s="1913"/>
      <c r="D11" s="1914"/>
      <c r="E11" s="1914"/>
      <c r="F11" s="1914"/>
      <c r="G11" s="1914"/>
      <c r="H11" s="2269">
        <v>1</v>
      </c>
      <c r="I11" s="1913" t="s">
        <v>3589</v>
      </c>
      <c r="J11" s="1914"/>
      <c r="K11" s="1914"/>
      <c r="L11" s="1914"/>
      <c r="M11" s="1914"/>
      <c r="N11" s="2269">
        <v>1</v>
      </c>
      <c r="O11" s="2269" t="s">
        <v>3590</v>
      </c>
      <c r="P11" s="2270"/>
      <c r="Q11" s="2270"/>
      <c r="R11" s="2270"/>
      <c r="S11" s="2270"/>
      <c r="T11" s="2269"/>
      <c r="U11" s="2269"/>
      <c r="V11" s="2270"/>
      <c r="W11" s="2270"/>
      <c r="X11" s="2270"/>
      <c r="Y11" s="2270"/>
      <c r="Z11" s="2269"/>
      <c r="AA11" s="1913"/>
      <c r="AB11" s="1914"/>
      <c r="AC11" s="1914"/>
      <c r="AD11" s="1914"/>
      <c r="AE11" s="1914"/>
      <c r="AF11" s="2269"/>
      <c r="AG11" s="1913"/>
      <c r="AH11" s="1914"/>
      <c r="AI11" s="1914"/>
      <c r="AJ11" s="1914"/>
      <c r="AK11" s="1914"/>
      <c r="AL11" s="2272"/>
      <c r="AM11" s="2272"/>
      <c r="AN11" s="2273"/>
      <c r="AO11" s="2273"/>
      <c r="AP11" s="2273"/>
      <c r="AQ11" s="2273"/>
      <c r="AR11" s="2269">
        <v>15</v>
      </c>
      <c r="AS11" s="2269" t="s">
        <v>3591</v>
      </c>
      <c r="AT11" s="2270"/>
      <c r="AU11" s="2270"/>
      <c r="AV11" s="2270"/>
      <c r="AW11" s="2373"/>
    </row>
    <row r="12" spans="1:49" s="401" customFormat="1">
      <c r="A12" s="402">
        <f t="shared" ref="A12:A17" ca="1" si="1">RANDBETWEEN(1,6)</f>
        <v>6</v>
      </c>
      <c r="B12" s="2266"/>
      <c r="C12" s="1914"/>
      <c r="D12" s="1914"/>
      <c r="E12" s="1914"/>
      <c r="F12" s="1914"/>
      <c r="G12" s="1914"/>
      <c r="H12" s="2270"/>
      <c r="I12" s="1914"/>
      <c r="J12" s="1914"/>
      <c r="K12" s="1914"/>
      <c r="L12" s="1914"/>
      <c r="M12" s="1914"/>
      <c r="N12" s="2270"/>
      <c r="O12" s="2270"/>
      <c r="P12" s="2270"/>
      <c r="Q12" s="2270"/>
      <c r="R12" s="2270"/>
      <c r="S12" s="2270"/>
      <c r="T12" s="2270"/>
      <c r="U12" s="2270"/>
      <c r="V12" s="2270"/>
      <c r="W12" s="2270"/>
      <c r="X12" s="2270"/>
      <c r="Y12" s="2270"/>
      <c r="Z12" s="2270"/>
      <c r="AA12" s="1914"/>
      <c r="AB12" s="1914"/>
      <c r="AC12" s="1914"/>
      <c r="AD12" s="1914"/>
      <c r="AE12" s="1914"/>
      <c r="AF12" s="2270"/>
      <c r="AG12" s="1914"/>
      <c r="AH12" s="1914"/>
      <c r="AI12" s="1914"/>
      <c r="AJ12" s="1914"/>
      <c r="AK12" s="1914"/>
      <c r="AL12" s="2273"/>
      <c r="AM12" s="2273"/>
      <c r="AN12" s="2273"/>
      <c r="AO12" s="2273"/>
      <c r="AP12" s="2273"/>
      <c r="AQ12" s="2273"/>
      <c r="AR12" s="2270"/>
      <c r="AS12" s="2270"/>
      <c r="AT12" s="2270"/>
      <c r="AU12" s="2270"/>
      <c r="AV12" s="2270"/>
      <c r="AW12" s="2373"/>
    </row>
    <row r="13" spans="1:49" s="401" customFormat="1">
      <c r="A13" s="402">
        <f t="shared" ca="1" si="1"/>
        <v>5</v>
      </c>
      <c r="B13" s="2264">
        <v>15</v>
      </c>
      <c r="C13" s="1881" t="s">
        <v>3592</v>
      </c>
      <c r="D13" s="1881"/>
      <c r="E13" s="1881"/>
      <c r="F13" s="1881"/>
      <c r="G13" s="1881"/>
      <c r="H13" s="2268">
        <v>15</v>
      </c>
      <c r="I13" s="1881" t="s">
        <v>3593</v>
      </c>
      <c r="J13" s="1881"/>
      <c r="K13" s="1881"/>
      <c r="L13" s="1881"/>
      <c r="M13" s="1881"/>
      <c r="N13" s="2268">
        <v>15</v>
      </c>
      <c r="O13" s="1881" t="s">
        <v>3594</v>
      </c>
      <c r="P13" s="1881"/>
      <c r="Q13" s="1881"/>
      <c r="R13" s="1881"/>
      <c r="S13" s="1881"/>
      <c r="T13" s="2268">
        <v>15</v>
      </c>
      <c r="U13" s="1881" t="s">
        <v>3595</v>
      </c>
      <c r="V13" s="1881"/>
      <c r="W13" s="1881"/>
      <c r="X13" s="1881"/>
      <c r="Y13" s="1881"/>
      <c r="Z13" s="2268">
        <v>15</v>
      </c>
      <c r="AA13" s="1881" t="s">
        <v>3596</v>
      </c>
      <c r="AB13" s="1881"/>
      <c r="AC13" s="1881"/>
      <c r="AD13" s="1881"/>
      <c r="AE13" s="1881"/>
      <c r="AF13" s="2268">
        <v>15</v>
      </c>
      <c r="AG13" s="1881" t="s">
        <v>3597</v>
      </c>
      <c r="AH13" s="1881"/>
      <c r="AI13" s="1881"/>
      <c r="AJ13" s="1881"/>
      <c r="AK13" s="1881"/>
      <c r="AL13" s="2268">
        <v>15</v>
      </c>
      <c r="AM13" s="1881" t="s">
        <v>3598</v>
      </c>
      <c r="AN13" s="1881"/>
      <c r="AO13" s="1881"/>
      <c r="AP13" s="1881"/>
      <c r="AQ13" s="1881"/>
      <c r="AR13" s="2268">
        <v>60</v>
      </c>
      <c r="AS13" s="1881" t="s">
        <v>3599</v>
      </c>
      <c r="AT13" s="1881"/>
      <c r="AU13" s="1881"/>
      <c r="AV13" s="1881"/>
      <c r="AW13" s="2353"/>
    </row>
    <row r="14" spans="1:49" s="401" customFormat="1">
      <c r="A14" s="402">
        <f t="shared" ca="1" si="1"/>
        <v>3</v>
      </c>
      <c r="B14" s="2264"/>
      <c r="C14" s="1881"/>
      <c r="D14" s="1881"/>
      <c r="E14" s="1881"/>
      <c r="F14" s="1881"/>
      <c r="G14" s="1881"/>
      <c r="H14" s="2268"/>
      <c r="I14" s="1881"/>
      <c r="J14" s="1881"/>
      <c r="K14" s="1881"/>
      <c r="L14" s="1881"/>
      <c r="M14" s="1881"/>
      <c r="N14" s="2268"/>
      <c r="O14" s="1881"/>
      <c r="P14" s="1881"/>
      <c r="Q14" s="1881"/>
      <c r="R14" s="1881"/>
      <c r="S14" s="1881"/>
      <c r="T14" s="2268"/>
      <c r="U14" s="1881"/>
      <c r="V14" s="1881"/>
      <c r="W14" s="1881"/>
      <c r="X14" s="1881"/>
      <c r="Y14" s="1881"/>
      <c r="Z14" s="2268"/>
      <c r="AA14" s="1881"/>
      <c r="AB14" s="1881"/>
      <c r="AC14" s="1881"/>
      <c r="AD14" s="1881"/>
      <c r="AE14" s="1881"/>
      <c r="AF14" s="2268"/>
      <c r="AG14" s="1881"/>
      <c r="AH14" s="1881"/>
      <c r="AI14" s="1881"/>
      <c r="AJ14" s="1881"/>
      <c r="AK14" s="1881"/>
      <c r="AL14" s="2268"/>
      <c r="AM14" s="1881"/>
      <c r="AN14" s="1881"/>
      <c r="AO14" s="1881"/>
      <c r="AP14" s="1881"/>
      <c r="AQ14" s="1881"/>
      <c r="AR14" s="2268"/>
      <c r="AS14" s="1881"/>
      <c r="AT14" s="1881"/>
      <c r="AU14" s="1881"/>
      <c r="AV14" s="1881"/>
      <c r="AW14" s="2353"/>
    </row>
    <row r="15" spans="1:49" s="401" customFormat="1">
      <c r="A15" s="402">
        <f t="shared" ca="1" si="1"/>
        <v>1</v>
      </c>
      <c r="B15" s="2265">
        <v>50</v>
      </c>
      <c r="C15" s="1913" t="s">
        <v>3600</v>
      </c>
      <c r="D15" s="1914"/>
      <c r="E15" s="1914"/>
      <c r="F15" s="1914"/>
      <c r="G15" s="1914"/>
      <c r="H15" s="2269">
        <v>50</v>
      </c>
      <c r="I15" s="1913" t="s">
        <v>3601</v>
      </c>
      <c r="J15" s="1914"/>
      <c r="K15" s="1914"/>
      <c r="L15" s="1914"/>
      <c r="M15" s="1914"/>
      <c r="N15" s="2269">
        <v>65</v>
      </c>
      <c r="O15" s="1913" t="s">
        <v>3602</v>
      </c>
      <c r="P15" s="1914"/>
      <c r="Q15" s="1914"/>
      <c r="R15" s="1914"/>
      <c r="S15" s="1914"/>
      <c r="T15" s="2269">
        <v>50</v>
      </c>
      <c r="U15" s="1913" t="s">
        <v>3601</v>
      </c>
      <c r="V15" s="1914"/>
      <c r="W15" s="1914"/>
      <c r="X15" s="1914"/>
      <c r="Y15" s="1914"/>
      <c r="Z15" s="2269">
        <v>50</v>
      </c>
      <c r="AA15" s="1913" t="s">
        <v>3600</v>
      </c>
      <c r="AB15" s="1914"/>
      <c r="AC15" s="1914"/>
      <c r="AD15" s="1914"/>
      <c r="AE15" s="1914"/>
      <c r="AF15" s="2269">
        <v>50</v>
      </c>
      <c r="AG15" s="1913" t="s">
        <v>3600</v>
      </c>
      <c r="AH15" s="1914"/>
      <c r="AI15" s="1914"/>
      <c r="AJ15" s="1914"/>
      <c r="AK15" s="1914"/>
      <c r="AL15" s="2269">
        <v>50</v>
      </c>
      <c r="AM15" s="1913" t="s">
        <v>3603</v>
      </c>
      <c r="AN15" s="1914"/>
      <c r="AO15" s="1914"/>
      <c r="AP15" s="1914"/>
      <c r="AQ15" s="1914"/>
      <c r="AR15" s="2269">
        <v>70</v>
      </c>
      <c r="AS15" s="1913" t="s">
        <v>3604</v>
      </c>
      <c r="AT15" s="1914"/>
      <c r="AU15" s="1914"/>
      <c r="AV15" s="1914"/>
      <c r="AW15" s="2346"/>
    </row>
    <row r="16" spans="1:49" s="401" customFormat="1">
      <c r="A16" s="402">
        <f t="shared" ca="1" si="1"/>
        <v>1</v>
      </c>
      <c r="B16" s="2266"/>
      <c r="C16" s="1914"/>
      <c r="D16" s="1914"/>
      <c r="E16" s="1914"/>
      <c r="F16" s="1914"/>
      <c r="G16" s="1914"/>
      <c r="H16" s="2270"/>
      <c r="I16" s="1914"/>
      <c r="J16" s="1914"/>
      <c r="K16" s="1914"/>
      <c r="L16" s="1914"/>
      <c r="M16" s="1914"/>
      <c r="N16" s="2270"/>
      <c r="O16" s="1914"/>
      <c r="P16" s="1914"/>
      <c r="Q16" s="1914"/>
      <c r="R16" s="1914"/>
      <c r="S16" s="1914"/>
      <c r="T16" s="2270"/>
      <c r="U16" s="1914"/>
      <c r="V16" s="1914"/>
      <c r="W16" s="1914"/>
      <c r="X16" s="1914"/>
      <c r="Y16" s="1914"/>
      <c r="Z16" s="2270"/>
      <c r="AA16" s="1914"/>
      <c r="AB16" s="1914"/>
      <c r="AC16" s="1914"/>
      <c r="AD16" s="1914"/>
      <c r="AE16" s="1914"/>
      <c r="AF16" s="2270"/>
      <c r="AG16" s="1914"/>
      <c r="AH16" s="1914"/>
      <c r="AI16" s="1914"/>
      <c r="AJ16" s="1914"/>
      <c r="AK16" s="1914"/>
      <c r="AL16" s="2270"/>
      <c r="AM16" s="1914"/>
      <c r="AN16" s="1914"/>
      <c r="AO16" s="1914"/>
      <c r="AP16" s="1914"/>
      <c r="AQ16" s="1914"/>
      <c r="AR16" s="2270"/>
      <c r="AS16" s="1914"/>
      <c r="AT16" s="1914"/>
      <c r="AU16" s="1914"/>
      <c r="AV16" s="1914"/>
      <c r="AW16" s="2346"/>
    </row>
    <row r="17" spans="1:63" s="401" customFormat="1">
      <c r="A17" s="402">
        <f t="shared" ca="1" si="1"/>
        <v>6</v>
      </c>
      <c r="B17" s="2264">
        <v>90</v>
      </c>
      <c r="C17" s="1881" t="s">
        <v>3605</v>
      </c>
      <c r="D17" s="1881"/>
      <c r="E17" s="1881"/>
      <c r="F17" s="1881"/>
      <c r="G17" s="1881"/>
      <c r="H17" s="2268">
        <v>90</v>
      </c>
      <c r="I17" s="1881" t="s">
        <v>3606</v>
      </c>
      <c r="J17" s="1881"/>
      <c r="K17" s="1881"/>
      <c r="L17" s="1881"/>
      <c r="M17" s="1881"/>
      <c r="N17" s="2268">
        <v>80</v>
      </c>
      <c r="O17" s="1881" t="s">
        <v>3607</v>
      </c>
      <c r="P17" s="1881"/>
      <c r="Q17" s="1881"/>
      <c r="R17" s="1881"/>
      <c r="S17" s="1881"/>
      <c r="T17" s="2268">
        <v>90</v>
      </c>
      <c r="U17" s="1881" t="s">
        <v>3608</v>
      </c>
      <c r="V17" s="1881"/>
      <c r="W17" s="1881"/>
      <c r="X17" s="1881"/>
      <c r="Y17" s="1881"/>
      <c r="Z17" s="2268">
        <v>90</v>
      </c>
      <c r="AA17" s="1881" t="s">
        <v>3609</v>
      </c>
      <c r="AB17" s="1881"/>
      <c r="AC17" s="1881"/>
      <c r="AD17" s="1881"/>
      <c r="AE17" s="1881"/>
      <c r="AF17" s="2268">
        <v>90</v>
      </c>
      <c r="AG17" s="1881" t="s">
        <v>3610</v>
      </c>
      <c r="AH17" s="1881"/>
      <c r="AI17" s="1881"/>
      <c r="AJ17" s="1881"/>
      <c r="AK17" s="1881"/>
      <c r="AL17" s="2268">
        <v>90</v>
      </c>
      <c r="AM17" s="1881" t="s">
        <v>3611</v>
      </c>
      <c r="AN17" s="1881"/>
      <c r="AO17" s="1881"/>
      <c r="AP17" s="1881"/>
      <c r="AQ17" s="1881"/>
      <c r="AR17" s="2268">
        <v>80</v>
      </c>
      <c r="AS17" s="1881" t="s">
        <v>3612</v>
      </c>
      <c r="AT17" s="1881"/>
      <c r="AU17" s="1881"/>
      <c r="AV17" s="1881"/>
      <c r="AW17" s="2353"/>
    </row>
    <row r="18" spans="1:63" s="401" customFormat="1">
      <c r="A18" s="402"/>
      <c r="B18" s="2264"/>
      <c r="C18" s="1881"/>
      <c r="D18" s="1881"/>
      <c r="E18" s="1881"/>
      <c r="F18" s="1881"/>
      <c r="G18" s="1881"/>
      <c r="H18" s="2268"/>
      <c r="I18" s="1881"/>
      <c r="J18" s="1881"/>
      <c r="K18" s="1881"/>
      <c r="L18" s="1881"/>
      <c r="M18" s="1881"/>
      <c r="N18" s="2268"/>
      <c r="O18" s="1881"/>
      <c r="P18" s="1881"/>
      <c r="Q18" s="1881"/>
      <c r="R18" s="1881"/>
      <c r="S18" s="1881"/>
      <c r="T18" s="2268"/>
      <c r="U18" s="1881"/>
      <c r="V18" s="1881"/>
      <c r="W18" s="1881"/>
      <c r="X18" s="1881"/>
      <c r="Y18" s="1881"/>
      <c r="Z18" s="2268"/>
      <c r="AA18" s="1881"/>
      <c r="AB18" s="1881"/>
      <c r="AC18" s="1881"/>
      <c r="AD18" s="1881"/>
      <c r="AE18" s="1881"/>
      <c r="AF18" s="2268"/>
      <c r="AG18" s="1881"/>
      <c r="AH18" s="1881"/>
      <c r="AI18" s="1881"/>
      <c r="AJ18" s="1881"/>
      <c r="AK18" s="1881"/>
      <c r="AL18" s="2268"/>
      <c r="AM18" s="1881"/>
      <c r="AN18" s="1881"/>
      <c r="AO18" s="1881"/>
      <c r="AP18" s="1881"/>
      <c r="AQ18" s="1881"/>
      <c r="AR18" s="2268"/>
      <c r="AS18" s="1881"/>
      <c r="AT18" s="1881"/>
      <c r="AU18" s="1881"/>
      <c r="AV18" s="1881"/>
      <c r="AW18" s="2353"/>
    </row>
    <row r="19" spans="1:63" s="401" customFormat="1">
      <c r="A19" s="402"/>
      <c r="B19" s="2265">
        <v>99</v>
      </c>
      <c r="C19" s="1913" t="s">
        <v>3613</v>
      </c>
      <c r="D19" s="1914"/>
      <c r="E19" s="1914"/>
      <c r="F19" s="1914"/>
      <c r="G19" s="1914"/>
      <c r="H19" s="2269">
        <v>99</v>
      </c>
      <c r="I19" s="1913" t="s">
        <v>3614</v>
      </c>
      <c r="J19" s="1914"/>
      <c r="K19" s="1914"/>
      <c r="L19" s="1914"/>
      <c r="M19" s="1914"/>
      <c r="N19" s="2269">
        <v>99</v>
      </c>
      <c r="O19" s="1913" t="s">
        <v>3615</v>
      </c>
      <c r="P19" s="1914"/>
      <c r="Q19" s="1914"/>
      <c r="R19" s="1914"/>
      <c r="S19" s="1914"/>
      <c r="T19" s="2269">
        <v>99</v>
      </c>
      <c r="U19" s="1913" t="s">
        <v>3616</v>
      </c>
      <c r="V19" s="1914"/>
      <c r="W19" s="1914"/>
      <c r="X19" s="1914"/>
      <c r="Y19" s="1914"/>
      <c r="Z19" s="2269">
        <v>99</v>
      </c>
      <c r="AA19" s="1913" t="s">
        <v>3617</v>
      </c>
      <c r="AB19" s="1914"/>
      <c r="AC19" s="1914"/>
      <c r="AD19" s="1914"/>
      <c r="AE19" s="1914"/>
      <c r="AF19" s="2269">
        <v>99</v>
      </c>
      <c r="AG19" s="1913" t="s">
        <v>3618</v>
      </c>
      <c r="AH19" s="1914"/>
      <c r="AI19" s="1914"/>
      <c r="AJ19" s="1914"/>
      <c r="AK19" s="1914"/>
      <c r="AL19" s="2269">
        <v>100</v>
      </c>
      <c r="AM19" s="1913" t="s">
        <v>3619</v>
      </c>
      <c r="AN19" s="1914"/>
      <c r="AO19" s="1914"/>
      <c r="AP19" s="1914"/>
      <c r="AQ19" s="1914"/>
      <c r="AR19" s="2269">
        <v>90</v>
      </c>
      <c r="AS19" s="1913" t="s">
        <v>3620</v>
      </c>
      <c r="AT19" s="1914"/>
      <c r="AU19" s="1914"/>
      <c r="AV19" s="1914"/>
      <c r="AW19" s="2346"/>
    </row>
    <row r="20" spans="1:63" s="401" customFormat="1">
      <c r="A20" s="402"/>
      <c r="B20" s="2266"/>
      <c r="C20" s="1914"/>
      <c r="D20" s="1914"/>
      <c r="E20" s="1914"/>
      <c r="F20" s="1914"/>
      <c r="G20" s="1914"/>
      <c r="H20" s="2270"/>
      <c r="I20" s="1914"/>
      <c r="J20" s="1914"/>
      <c r="K20" s="1914"/>
      <c r="L20" s="1914"/>
      <c r="M20" s="1914"/>
      <c r="N20" s="2270"/>
      <c r="O20" s="1914"/>
      <c r="P20" s="1914"/>
      <c r="Q20" s="1914"/>
      <c r="R20" s="1914"/>
      <c r="S20" s="1914"/>
      <c r="T20" s="2270"/>
      <c r="U20" s="1914"/>
      <c r="V20" s="1914"/>
      <c r="W20" s="1914"/>
      <c r="X20" s="1914"/>
      <c r="Y20" s="1914"/>
      <c r="Z20" s="2270"/>
      <c r="AA20" s="1914"/>
      <c r="AB20" s="1914"/>
      <c r="AC20" s="1914"/>
      <c r="AD20" s="1914"/>
      <c r="AE20" s="1914"/>
      <c r="AF20" s="2270"/>
      <c r="AG20" s="1914"/>
      <c r="AH20" s="1914"/>
      <c r="AI20" s="1914"/>
      <c r="AJ20" s="1914"/>
      <c r="AK20" s="1914"/>
      <c r="AL20" s="2270"/>
      <c r="AM20" s="1914"/>
      <c r="AN20" s="1914"/>
      <c r="AO20" s="1914"/>
      <c r="AP20" s="1914"/>
      <c r="AQ20" s="1914"/>
      <c r="AR20" s="2270"/>
      <c r="AS20" s="1914"/>
      <c r="AT20" s="1914"/>
      <c r="AU20" s="1914"/>
      <c r="AV20" s="1914"/>
      <c r="AW20" s="2346"/>
    </row>
    <row r="21" spans="1:63" s="401" customFormat="1">
      <c r="A21" s="402"/>
      <c r="B21" s="2264">
        <v>140</v>
      </c>
      <c r="C21" s="1881" t="s">
        <v>3621</v>
      </c>
      <c r="D21" s="1881"/>
      <c r="E21" s="1881"/>
      <c r="F21" s="1881"/>
      <c r="G21" s="1881"/>
      <c r="H21" s="2268">
        <v>140</v>
      </c>
      <c r="I21" s="1881" t="s">
        <v>3622</v>
      </c>
      <c r="J21" s="1881"/>
      <c r="K21" s="1881"/>
      <c r="L21" s="1881"/>
      <c r="M21" s="1881"/>
      <c r="N21" s="2268">
        <v>150</v>
      </c>
      <c r="O21" s="1881" t="s">
        <v>3623</v>
      </c>
      <c r="P21" s="1881"/>
      <c r="Q21" s="1881"/>
      <c r="R21" s="1881"/>
      <c r="S21" s="1881"/>
      <c r="T21" s="2268">
        <v>120</v>
      </c>
      <c r="U21" s="2268" t="s">
        <v>3624</v>
      </c>
      <c r="V21" s="2268"/>
      <c r="W21" s="2268"/>
      <c r="X21" s="2268"/>
      <c r="Y21" s="2268"/>
      <c r="Z21" s="2268"/>
      <c r="AA21" s="1881"/>
      <c r="AB21" s="1881"/>
      <c r="AC21" s="1881"/>
      <c r="AD21" s="1881"/>
      <c r="AE21" s="1881"/>
      <c r="AF21" s="2268">
        <v>140</v>
      </c>
      <c r="AG21" s="2268" t="s">
        <v>3625</v>
      </c>
      <c r="AH21" s="2268"/>
      <c r="AI21" s="2268"/>
      <c r="AJ21" s="2268"/>
      <c r="AK21" s="2268"/>
      <c r="AL21" s="2268">
        <v>140</v>
      </c>
      <c r="AM21" s="1881" t="s">
        <v>3626</v>
      </c>
      <c r="AN21" s="1881"/>
      <c r="AO21" s="1881"/>
      <c r="AP21" s="1881"/>
      <c r="AQ21" s="1881"/>
      <c r="AR21" s="2268">
        <v>96</v>
      </c>
      <c r="AS21" s="1881" t="s">
        <v>3627</v>
      </c>
      <c r="AT21" s="1881"/>
      <c r="AU21" s="1881"/>
      <c r="AV21" s="1881"/>
      <c r="AW21" s="2353"/>
    </row>
    <row r="22" spans="1:63" s="401" customFormat="1">
      <c r="A22" s="402"/>
      <c r="B22" s="2264"/>
      <c r="C22" s="1881"/>
      <c r="D22" s="1881"/>
      <c r="E22" s="1881"/>
      <c r="F22" s="1881"/>
      <c r="G22" s="1881"/>
      <c r="H22" s="2268"/>
      <c r="I22" s="1881"/>
      <c r="J22" s="1881"/>
      <c r="K22" s="1881"/>
      <c r="L22" s="1881"/>
      <c r="M22" s="1881"/>
      <c r="N22" s="2268"/>
      <c r="O22" s="1881"/>
      <c r="P22" s="1881"/>
      <c r="Q22" s="1881"/>
      <c r="R22" s="1881"/>
      <c r="S22" s="1881"/>
      <c r="T22" s="2268"/>
      <c r="U22" s="2268"/>
      <c r="V22" s="2268"/>
      <c r="W22" s="2268"/>
      <c r="X22" s="2268"/>
      <c r="Y22" s="2268"/>
      <c r="Z22" s="2268"/>
      <c r="AA22" s="1881"/>
      <c r="AB22" s="1881"/>
      <c r="AC22" s="1881"/>
      <c r="AD22" s="1881"/>
      <c r="AE22" s="1881"/>
      <c r="AF22" s="2268"/>
      <c r="AG22" s="2268"/>
      <c r="AH22" s="2268"/>
      <c r="AI22" s="2268"/>
      <c r="AJ22" s="2268"/>
      <c r="AK22" s="2268"/>
      <c r="AL22" s="2268"/>
      <c r="AM22" s="1881"/>
      <c r="AN22" s="1881"/>
      <c r="AO22" s="1881"/>
      <c r="AP22" s="1881"/>
      <c r="AQ22" s="1881"/>
      <c r="AR22" s="2268"/>
      <c r="AS22" s="1881"/>
      <c r="AT22" s="1881"/>
      <c r="AU22" s="1881"/>
      <c r="AV22" s="1881"/>
      <c r="AW22" s="2353"/>
    </row>
    <row r="23" spans="1:63" s="401" customFormat="1">
      <c r="A23" s="402"/>
      <c r="B23" s="403"/>
      <c r="C23" s="404"/>
      <c r="D23" s="404"/>
      <c r="E23" s="404"/>
      <c r="F23" s="404"/>
      <c r="G23" s="404"/>
      <c r="H23" s="2269"/>
      <c r="I23" s="1913"/>
      <c r="J23" s="1914"/>
      <c r="K23" s="1914"/>
      <c r="L23" s="1914"/>
      <c r="M23" s="1914"/>
      <c r="N23" s="2269">
        <v>180</v>
      </c>
      <c r="O23" s="1913" t="s">
        <v>3628</v>
      </c>
      <c r="P23" s="1914"/>
      <c r="Q23" s="1914"/>
      <c r="R23" s="1914"/>
      <c r="S23" s="1914"/>
      <c r="T23" s="2269"/>
      <c r="U23" s="1913"/>
      <c r="V23" s="1914"/>
      <c r="W23" s="1914"/>
      <c r="X23" s="1914"/>
      <c r="Y23" s="1914"/>
      <c r="Z23" s="2269"/>
      <c r="AA23" s="1913"/>
      <c r="AB23" s="1914"/>
      <c r="AC23" s="1914"/>
      <c r="AD23" s="1914"/>
      <c r="AE23" s="1914"/>
      <c r="AF23" s="2269"/>
      <c r="AG23" s="1913"/>
      <c r="AH23" s="1914"/>
      <c r="AI23" s="1914"/>
      <c r="AJ23" s="1914"/>
      <c r="AK23" s="1914"/>
      <c r="AL23" s="2269"/>
      <c r="AM23" s="1913"/>
      <c r="AN23" s="1914"/>
      <c r="AO23" s="1914"/>
      <c r="AP23" s="1914"/>
      <c r="AQ23" s="1914"/>
      <c r="AR23" s="2269">
        <v>99</v>
      </c>
      <c r="AS23" s="1913" t="s">
        <v>3629</v>
      </c>
      <c r="AT23" s="1914"/>
      <c r="AU23" s="1914"/>
      <c r="AV23" s="1914"/>
      <c r="AW23" s="2346"/>
    </row>
    <row r="24" spans="1:63" s="401" customFormat="1">
      <c r="A24" s="402"/>
      <c r="B24" s="403"/>
      <c r="C24" s="404"/>
      <c r="D24" s="404"/>
      <c r="E24" s="404"/>
      <c r="F24" s="404"/>
      <c r="G24" s="404"/>
      <c r="H24" s="2270"/>
      <c r="I24" s="1914"/>
      <c r="J24" s="1914"/>
      <c r="K24" s="1914"/>
      <c r="L24" s="1914"/>
      <c r="M24" s="1914"/>
      <c r="N24" s="2270"/>
      <c r="O24" s="1914"/>
      <c r="P24" s="1914"/>
      <c r="Q24" s="1914"/>
      <c r="R24" s="1914"/>
      <c r="S24" s="1914"/>
      <c r="T24" s="2270"/>
      <c r="U24" s="1914"/>
      <c r="V24" s="1914"/>
      <c r="W24" s="1914"/>
      <c r="X24" s="1914"/>
      <c r="Y24" s="1914"/>
      <c r="Z24" s="2270"/>
      <c r="AA24" s="1914"/>
      <c r="AB24" s="1914"/>
      <c r="AC24" s="1914"/>
      <c r="AD24" s="1914"/>
      <c r="AE24" s="1914"/>
      <c r="AF24" s="2270"/>
      <c r="AG24" s="1914"/>
      <c r="AH24" s="1914"/>
      <c r="AI24" s="1914"/>
      <c r="AJ24" s="1914"/>
      <c r="AK24" s="1914"/>
      <c r="AL24" s="2270"/>
      <c r="AM24" s="1914"/>
      <c r="AN24" s="1914"/>
      <c r="AO24" s="1914"/>
      <c r="AP24" s="1914"/>
      <c r="AQ24" s="1914"/>
      <c r="AR24" s="2270"/>
      <c r="AS24" s="1914"/>
      <c r="AT24" s="1914"/>
      <c r="AU24" s="1914"/>
      <c r="AV24" s="1914"/>
      <c r="AW24" s="2346"/>
    </row>
    <row r="25" spans="1:63" s="401" customFormat="1">
      <c r="A25" s="402"/>
      <c r="B25" s="2264" t="s">
        <v>3630</v>
      </c>
      <c r="C25" s="2268" t="s">
        <v>3631</v>
      </c>
      <c r="D25" s="2268"/>
      <c r="E25" s="2268"/>
      <c r="F25" s="2268"/>
      <c r="G25" s="2268"/>
      <c r="H25" s="2268" t="s">
        <v>3630</v>
      </c>
      <c r="I25" s="1881" t="s">
        <v>3632</v>
      </c>
      <c r="J25" s="1881"/>
      <c r="K25" s="1881"/>
      <c r="L25" s="1881"/>
      <c r="M25" s="1881"/>
      <c r="N25" s="2268" t="s">
        <v>3630</v>
      </c>
      <c r="O25" s="1881" t="s">
        <v>3633</v>
      </c>
      <c r="P25" s="1881"/>
      <c r="Q25" s="1881"/>
      <c r="R25" s="1881"/>
      <c r="S25" s="1881"/>
      <c r="T25" s="2268" t="s">
        <v>3630</v>
      </c>
      <c r="U25" s="1881" t="s">
        <v>3634</v>
      </c>
      <c r="V25" s="1881"/>
      <c r="W25" s="1881"/>
      <c r="X25" s="1881"/>
      <c r="Y25" s="1881"/>
      <c r="Z25" s="2268"/>
      <c r="AA25" s="1881"/>
      <c r="AB25" s="1881"/>
      <c r="AC25" s="1881"/>
      <c r="AD25" s="1881"/>
      <c r="AE25" s="1881"/>
      <c r="AF25" s="2268" t="s">
        <v>3635</v>
      </c>
      <c r="AG25" s="1881" t="s">
        <v>3636</v>
      </c>
      <c r="AH25" s="1881"/>
      <c r="AI25" s="1881"/>
      <c r="AJ25" s="1881"/>
      <c r="AK25" s="1881"/>
      <c r="AL25" s="2268" t="s">
        <v>3635</v>
      </c>
      <c r="AM25" s="1881" t="s">
        <v>3637</v>
      </c>
      <c r="AN25" s="1881"/>
      <c r="AO25" s="1881"/>
      <c r="AP25" s="1881"/>
      <c r="AQ25" s="1881"/>
      <c r="AR25" s="2268"/>
      <c r="AS25" s="1881"/>
      <c r="AT25" s="1881"/>
      <c r="AU25" s="1881"/>
      <c r="AV25" s="1881"/>
      <c r="AW25" s="2353"/>
    </row>
    <row r="26" spans="1:63" s="401" customFormat="1">
      <c r="A26" s="402"/>
      <c r="B26" s="2267"/>
      <c r="C26" s="2271"/>
      <c r="D26" s="2271"/>
      <c r="E26" s="2271"/>
      <c r="F26" s="2271"/>
      <c r="G26" s="2271"/>
      <c r="H26" s="2271"/>
      <c r="I26" s="1907"/>
      <c r="J26" s="1907"/>
      <c r="K26" s="1907"/>
      <c r="L26" s="1907"/>
      <c r="M26" s="1907"/>
      <c r="N26" s="2271"/>
      <c r="O26" s="1907"/>
      <c r="P26" s="1907"/>
      <c r="Q26" s="1907"/>
      <c r="R26" s="1907"/>
      <c r="S26" s="1907"/>
      <c r="T26" s="2271"/>
      <c r="U26" s="1907"/>
      <c r="V26" s="1907"/>
      <c r="W26" s="1907"/>
      <c r="X26" s="1907"/>
      <c r="Y26" s="1907"/>
      <c r="Z26" s="2271"/>
      <c r="AA26" s="1907"/>
      <c r="AB26" s="1907"/>
      <c r="AC26" s="1907"/>
      <c r="AD26" s="1907"/>
      <c r="AE26" s="1907"/>
      <c r="AF26" s="2271"/>
      <c r="AG26" s="1907"/>
      <c r="AH26" s="1907"/>
      <c r="AI26" s="1907"/>
      <c r="AJ26" s="1907"/>
      <c r="AK26" s="1907"/>
      <c r="AL26" s="2271"/>
      <c r="AM26" s="1907"/>
      <c r="AN26" s="1907"/>
      <c r="AO26" s="1907"/>
      <c r="AP26" s="1907"/>
      <c r="AQ26" s="1907"/>
      <c r="AR26" s="2271"/>
      <c r="AS26" s="1907"/>
      <c r="AT26" s="1907"/>
      <c r="AU26" s="1907"/>
      <c r="AV26" s="1907"/>
      <c r="AW26" s="2354"/>
    </row>
    <row r="27" spans="1:63" s="401" customFormat="1">
      <c r="A27" s="2257" t="s">
        <v>3638</v>
      </c>
      <c r="B27" s="2376" t="s">
        <v>3639</v>
      </c>
      <c r="C27" s="2377"/>
      <c r="D27" s="2377"/>
      <c r="E27" s="2377"/>
      <c r="F27" s="2377"/>
      <c r="G27" s="2378"/>
      <c r="H27" s="2376" t="s">
        <v>3640</v>
      </c>
      <c r="I27" s="2377"/>
      <c r="J27" s="2377"/>
      <c r="K27" s="2377"/>
      <c r="L27" s="2377"/>
      <c r="M27" s="2378"/>
      <c r="N27" s="2376" t="s">
        <v>3641</v>
      </c>
      <c r="O27" s="2377"/>
      <c r="P27" s="2377"/>
      <c r="Q27" s="2377"/>
      <c r="R27" s="2377"/>
      <c r="S27" s="2378"/>
      <c r="T27" s="2376" t="s">
        <v>3642</v>
      </c>
      <c r="U27" s="2377"/>
      <c r="V27" s="2377"/>
      <c r="W27" s="2377"/>
      <c r="X27" s="2377"/>
      <c r="Y27" s="2378"/>
      <c r="Z27" s="2376" t="s">
        <v>3643</v>
      </c>
      <c r="AA27" s="2377"/>
      <c r="AB27" s="2377"/>
      <c r="AC27" s="2377"/>
      <c r="AD27" s="2377"/>
      <c r="AE27" s="2378"/>
      <c r="AF27" s="2376" t="s">
        <v>3644</v>
      </c>
      <c r="AG27" s="2377"/>
      <c r="AH27" s="2377"/>
      <c r="AI27" s="2377"/>
      <c r="AJ27" s="2377"/>
      <c r="AK27" s="2378"/>
      <c r="AL27" s="2376" t="s">
        <v>3645</v>
      </c>
      <c r="AM27" s="2377"/>
      <c r="AN27" s="2377"/>
      <c r="AO27" s="2377"/>
      <c r="AP27" s="2377"/>
      <c r="AQ27" s="2378"/>
      <c r="AR27" s="2376" t="s">
        <v>3646</v>
      </c>
      <c r="AS27" s="2377"/>
      <c r="AT27" s="2377"/>
      <c r="AU27" s="2377"/>
      <c r="AV27" s="2377"/>
      <c r="AW27" s="2378"/>
    </row>
    <row r="28" spans="1:63" s="401" customFormat="1">
      <c r="A28" s="2257"/>
      <c r="B28" s="2376"/>
      <c r="C28" s="2377"/>
      <c r="D28" s="2377"/>
      <c r="E28" s="2377"/>
      <c r="F28" s="2377"/>
      <c r="G28" s="2378"/>
      <c r="H28" s="2376"/>
      <c r="I28" s="2377"/>
      <c r="J28" s="2377"/>
      <c r="K28" s="2377"/>
      <c r="L28" s="2377"/>
      <c r="M28" s="2378"/>
      <c r="N28" s="2376"/>
      <c r="O28" s="2377"/>
      <c r="P28" s="2377"/>
      <c r="Q28" s="2377"/>
      <c r="R28" s="2377"/>
      <c r="S28" s="2378"/>
      <c r="T28" s="2376"/>
      <c r="U28" s="2377"/>
      <c r="V28" s="2377"/>
      <c r="W28" s="2377"/>
      <c r="X28" s="2377"/>
      <c r="Y28" s="2378"/>
      <c r="Z28" s="2376"/>
      <c r="AA28" s="2377"/>
      <c r="AB28" s="2377"/>
      <c r="AC28" s="2377"/>
      <c r="AD28" s="2377"/>
      <c r="AE28" s="2378"/>
      <c r="AF28" s="2376"/>
      <c r="AG28" s="2377"/>
      <c r="AH28" s="2377"/>
      <c r="AI28" s="2377"/>
      <c r="AJ28" s="2377"/>
      <c r="AK28" s="2378"/>
      <c r="AL28" s="2376"/>
      <c r="AM28" s="2377"/>
      <c r="AN28" s="2377"/>
      <c r="AO28" s="2377"/>
      <c r="AP28" s="2377"/>
      <c r="AQ28" s="2378"/>
      <c r="AR28" s="2376"/>
      <c r="AS28" s="2377"/>
      <c r="AT28" s="2377"/>
      <c r="AU28" s="2377"/>
      <c r="AV28" s="2377"/>
      <c r="AW28" s="2378"/>
    </row>
    <row r="29" spans="1:63" s="401" customFormat="1">
      <c r="A29" s="2257"/>
      <c r="B29" s="2376"/>
      <c r="C29" s="2377"/>
      <c r="D29" s="2377"/>
      <c r="E29" s="2377"/>
      <c r="F29" s="2377"/>
      <c r="G29" s="2378"/>
      <c r="H29" s="2376"/>
      <c r="I29" s="2377"/>
      <c r="J29" s="2377"/>
      <c r="K29" s="2377"/>
      <c r="L29" s="2377"/>
      <c r="M29" s="2378"/>
      <c r="N29" s="2376"/>
      <c r="O29" s="2377"/>
      <c r="P29" s="2377"/>
      <c r="Q29" s="2377"/>
      <c r="R29" s="2377"/>
      <c r="S29" s="2378"/>
      <c r="T29" s="2376"/>
      <c r="U29" s="2377"/>
      <c r="V29" s="2377"/>
      <c r="W29" s="2377"/>
      <c r="X29" s="2377"/>
      <c r="Y29" s="2378"/>
      <c r="Z29" s="2376"/>
      <c r="AA29" s="2377"/>
      <c r="AB29" s="2377"/>
      <c r="AC29" s="2377"/>
      <c r="AD29" s="2377"/>
      <c r="AE29" s="2378"/>
      <c r="AF29" s="2376"/>
      <c r="AG29" s="2377"/>
      <c r="AH29" s="2377"/>
      <c r="AI29" s="2377"/>
      <c r="AJ29" s="2377"/>
      <c r="AK29" s="2378"/>
      <c r="AL29" s="2376"/>
      <c r="AM29" s="2377"/>
      <c r="AN29" s="2377"/>
      <c r="AO29" s="2377"/>
      <c r="AP29" s="2377"/>
      <c r="AQ29" s="2378"/>
      <c r="AR29" s="2376"/>
      <c r="AS29" s="2377"/>
      <c r="AT29" s="2377"/>
      <c r="AU29" s="2377"/>
      <c r="AV29" s="2377"/>
      <c r="AW29" s="2378"/>
    </row>
    <row r="30" spans="1:63" s="401" customFormat="1">
      <c r="A30" s="2257"/>
      <c r="B30" s="2376"/>
      <c r="C30" s="2377"/>
      <c r="D30" s="2377"/>
      <c r="E30" s="2377"/>
      <c r="F30" s="2377"/>
      <c r="G30" s="2378"/>
      <c r="H30" s="2376"/>
      <c r="I30" s="2377"/>
      <c r="J30" s="2377"/>
      <c r="K30" s="2377"/>
      <c r="L30" s="2377"/>
      <c r="M30" s="2378"/>
      <c r="N30" s="2376"/>
      <c r="O30" s="2377"/>
      <c r="P30" s="2377"/>
      <c r="Q30" s="2377"/>
      <c r="R30" s="2377"/>
      <c r="S30" s="2378"/>
      <c r="T30" s="2376"/>
      <c r="U30" s="2377"/>
      <c r="V30" s="2377"/>
      <c r="W30" s="2377"/>
      <c r="X30" s="2377"/>
      <c r="Y30" s="2378"/>
      <c r="Z30" s="2376"/>
      <c r="AA30" s="2377"/>
      <c r="AB30" s="2377"/>
      <c r="AC30" s="2377"/>
      <c r="AD30" s="2377"/>
      <c r="AE30" s="2378"/>
      <c r="AF30" s="2376"/>
      <c r="AG30" s="2377"/>
      <c r="AH30" s="2377"/>
      <c r="AI30" s="2377"/>
      <c r="AJ30" s="2377"/>
      <c r="AK30" s="2378"/>
      <c r="AL30" s="2376"/>
      <c r="AM30" s="2377"/>
      <c r="AN30" s="2377"/>
      <c r="AO30" s="2377"/>
      <c r="AP30" s="2377"/>
      <c r="AQ30" s="2378"/>
      <c r="AR30" s="2376"/>
      <c r="AS30" s="2377"/>
      <c r="AT30" s="2377"/>
      <c r="AU30" s="2377"/>
      <c r="AV30" s="2377"/>
      <c r="AW30" s="2378"/>
    </row>
    <row r="31" spans="1:63" s="401" customFormat="1">
      <c r="A31" s="2257"/>
      <c r="B31" s="2379"/>
      <c r="C31" s="2380"/>
      <c r="D31" s="2380"/>
      <c r="E31" s="2380"/>
      <c r="F31" s="2380"/>
      <c r="G31" s="2381"/>
      <c r="H31" s="2379"/>
      <c r="I31" s="2380"/>
      <c r="J31" s="2380"/>
      <c r="K31" s="2380"/>
      <c r="L31" s="2380"/>
      <c r="M31" s="2381"/>
      <c r="N31" s="2379"/>
      <c r="O31" s="2380"/>
      <c r="P31" s="2380"/>
      <c r="Q31" s="2380"/>
      <c r="R31" s="2380"/>
      <c r="S31" s="2381"/>
      <c r="T31" s="2379"/>
      <c r="U31" s="2380"/>
      <c r="V31" s="2380"/>
      <c r="W31" s="2380"/>
      <c r="X31" s="2380"/>
      <c r="Y31" s="2381"/>
      <c r="Z31" s="2379"/>
      <c r="AA31" s="2380"/>
      <c r="AB31" s="2380"/>
      <c r="AC31" s="2380"/>
      <c r="AD31" s="2380"/>
      <c r="AE31" s="2381"/>
      <c r="AF31" s="2379"/>
      <c r="AG31" s="2380"/>
      <c r="AH31" s="2380"/>
      <c r="AI31" s="2380"/>
      <c r="AJ31" s="2380"/>
      <c r="AK31" s="2381"/>
      <c r="AL31" s="2379"/>
      <c r="AM31" s="2380"/>
      <c r="AN31" s="2380"/>
      <c r="AO31" s="2380"/>
      <c r="AP31" s="2380"/>
      <c r="AQ31" s="2381"/>
      <c r="AR31" s="2379"/>
      <c r="AS31" s="2380"/>
      <c r="AT31" s="2380"/>
      <c r="AU31" s="2380"/>
      <c r="AV31" s="2380"/>
      <c r="AW31" s="2381"/>
    </row>
    <row r="32" spans="1:63" s="401" customFormat="1" ht="26">
      <c r="A32" s="2258" t="s">
        <v>3647</v>
      </c>
      <c r="B32" s="2240" t="s">
        <v>3648</v>
      </c>
      <c r="C32" s="2240"/>
      <c r="D32" s="2240"/>
      <c r="E32" s="2240"/>
      <c r="F32" s="2240"/>
      <c r="G32" s="2240"/>
      <c r="H32" s="2240" t="s">
        <v>3649</v>
      </c>
      <c r="I32" s="2240"/>
      <c r="J32" s="2240"/>
      <c r="K32" s="2240"/>
      <c r="L32" s="2240"/>
      <c r="M32" s="2240"/>
      <c r="N32" s="2240" t="s">
        <v>3650</v>
      </c>
      <c r="O32" s="2240"/>
      <c r="P32" s="2240"/>
      <c r="Q32" s="2240"/>
      <c r="R32" s="2240"/>
      <c r="S32" s="2240"/>
      <c r="T32" s="2240" t="s">
        <v>3651</v>
      </c>
      <c r="U32" s="2240"/>
      <c r="V32" s="2240"/>
      <c r="W32" s="2240"/>
      <c r="X32" s="2240"/>
      <c r="Y32" s="2240"/>
      <c r="Z32" s="2240" t="s">
        <v>3652</v>
      </c>
      <c r="AA32" s="2240"/>
      <c r="AB32" s="2240"/>
      <c r="AC32" s="2240"/>
      <c r="AD32" s="2240"/>
      <c r="AE32" s="2240"/>
      <c r="AF32" s="2240" t="s">
        <v>3653</v>
      </c>
      <c r="AG32" s="2240"/>
      <c r="AH32" s="2240"/>
      <c r="AI32" s="2240"/>
      <c r="AJ32" s="2240"/>
      <c r="AK32" s="2240"/>
      <c r="AL32" s="2240"/>
      <c r="AM32" s="2240"/>
      <c r="AN32" s="2240"/>
      <c r="AO32" s="2240"/>
      <c r="AP32" s="2240"/>
      <c r="AQ32" s="2240"/>
      <c r="AR32" s="2240" t="s">
        <v>3654</v>
      </c>
      <c r="AS32" s="2240"/>
      <c r="AT32" s="2240"/>
      <c r="AU32" s="2240"/>
      <c r="AV32" s="2240"/>
      <c r="AW32" s="2240"/>
      <c r="BJ32" s="448"/>
      <c r="BK32" s="448"/>
    </row>
    <row r="33" spans="1:73" s="401" customFormat="1">
      <c r="A33" s="2258"/>
      <c r="B33" s="2240"/>
      <c r="C33" s="2240"/>
      <c r="D33" s="2240"/>
      <c r="E33" s="2240"/>
      <c r="F33" s="2240"/>
      <c r="G33" s="2240"/>
      <c r="H33" s="2240"/>
      <c r="I33" s="2240"/>
      <c r="J33" s="2240"/>
      <c r="K33" s="2240"/>
      <c r="L33" s="2240"/>
      <c r="M33" s="2240"/>
      <c r="N33" s="2240"/>
      <c r="O33" s="2240"/>
      <c r="P33" s="2240"/>
      <c r="Q33" s="2240"/>
      <c r="R33" s="2240"/>
      <c r="S33" s="2240"/>
      <c r="T33" s="2240"/>
      <c r="U33" s="2240"/>
      <c r="V33" s="2240"/>
      <c r="W33" s="2240"/>
      <c r="X33" s="2240"/>
      <c r="Y33" s="2240"/>
      <c r="Z33" s="2240"/>
      <c r="AA33" s="2240"/>
      <c r="AB33" s="2240"/>
      <c r="AC33" s="2240"/>
      <c r="AD33" s="2240"/>
      <c r="AE33" s="2240"/>
      <c r="AF33" s="2240"/>
      <c r="AG33" s="2240"/>
      <c r="AH33" s="2240"/>
      <c r="AI33" s="2240"/>
      <c r="AJ33" s="2240"/>
      <c r="AK33" s="2240"/>
      <c r="AL33" s="2240"/>
      <c r="AM33" s="2240"/>
      <c r="AN33" s="2240"/>
      <c r="AO33" s="2240"/>
      <c r="AP33" s="2240"/>
      <c r="AQ33" s="2240"/>
      <c r="AR33" s="2240"/>
      <c r="AS33" s="2240"/>
      <c r="AT33" s="2240"/>
      <c r="AU33" s="2240"/>
      <c r="AV33" s="2240"/>
      <c r="AW33" s="2240"/>
    </row>
    <row r="34" spans="1:73" s="401" customFormat="1">
      <c r="A34" s="2258"/>
      <c r="B34" s="2240"/>
      <c r="C34" s="2240"/>
      <c r="D34" s="2240"/>
      <c r="E34" s="2240"/>
      <c r="F34" s="2240"/>
      <c r="G34" s="2240"/>
      <c r="H34" s="2240"/>
      <c r="I34" s="2240"/>
      <c r="J34" s="2240"/>
      <c r="K34" s="2240"/>
      <c r="L34" s="2240"/>
      <c r="M34" s="2240"/>
      <c r="N34" s="2240"/>
      <c r="O34" s="2240"/>
      <c r="P34" s="2240"/>
      <c r="Q34" s="2240"/>
      <c r="R34" s="2240"/>
      <c r="S34" s="2240"/>
      <c r="T34" s="2240"/>
      <c r="U34" s="2240"/>
      <c r="V34" s="2240"/>
      <c r="W34" s="2240"/>
      <c r="X34" s="2240"/>
      <c r="Y34" s="2240"/>
      <c r="Z34" s="2240"/>
      <c r="AA34" s="2240"/>
      <c r="AB34" s="2240"/>
      <c r="AC34" s="2240"/>
      <c r="AD34" s="2240"/>
      <c r="AE34" s="2240"/>
      <c r="AF34" s="2240"/>
      <c r="AG34" s="2240"/>
      <c r="AH34" s="2240"/>
      <c r="AI34" s="2240"/>
      <c r="AJ34" s="2240"/>
      <c r="AK34" s="2240"/>
      <c r="AL34" s="2240"/>
      <c r="AM34" s="2240"/>
      <c r="AN34" s="2240"/>
      <c r="AO34" s="2240"/>
      <c r="AP34" s="2240"/>
      <c r="AQ34" s="2240"/>
      <c r="AR34" s="2240"/>
      <c r="AS34" s="2240"/>
      <c r="AT34" s="2240"/>
      <c r="AU34" s="2240"/>
      <c r="AV34" s="2240"/>
      <c r="AW34" s="2240"/>
    </row>
    <row r="35" spans="1:73" s="401" customFormat="1">
      <c r="A35" s="2258"/>
      <c r="B35" s="2240"/>
      <c r="C35" s="2240"/>
      <c r="D35" s="2240"/>
      <c r="E35" s="2240"/>
      <c r="F35" s="2240"/>
      <c r="G35" s="2240"/>
      <c r="H35" s="2240"/>
      <c r="I35" s="2240"/>
      <c r="J35" s="2240"/>
      <c r="K35" s="2240"/>
      <c r="L35" s="2240"/>
      <c r="M35" s="2240"/>
      <c r="N35" s="2240"/>
      <c r="O35" s="2240"/>
      <c r="P35" s="2240"/>
      <c r="Q35" s="2240"/>
      <c r="R35" s="2240"/>
      <c r="S35" s="2240"/>
      <c r="T35" s="2240"/>
      <c r="U35" s="2240"/>
      <c r="V35" s="2240"/>
      <c r="W35" s="2240"/>
      <c r="X35" s="2240"/>
      <c r="Y35" s="2240"/>
      <c r="Z35" s="2240"/>
      <c r="AA35" s="2240"/>
      <c r="AB35" s="2240"/>
      <c r="AC35" s="2240"/>
      <c r="AD35" s="2240"/>
      <c r="AE35" s="2240"/>
      <c r="AF35" s="2240"/>
      <c r="AG35" s="2240"/>
      <c r="AH35" s="2240"/>
      <c r="AI35" s="2240"/>
      <c r="AJ35" s="2240"/>
      <c r="AK35" s="2240"/>
      <c r="AL35" s="2240"/>
      <c r="AM35" s="2240"/>
      <c r="AN35" s="2240"/>
      <c r="AO35" s="2240"/>
      <c r="AP35" s="2240"/>
      <c r="AQ35" s="2240"/>
      <c r="AR35" s="2241"/>
      <c r="AS35" s="2241"/>
      <c r="AT35" s="2241"/>
      <c r="AU35" s="2241"/>
      <c r="AV35" s="2241"/>
      <c r="AW35" s="2241"/>
    </row>
    <row r="36" spans="1:73" s="401" customFormat="1" ht="17.25" customHeight="1">
      <c r="A36" s="2258" t="s">
        <v>3655</v>
      </c>
      <c r="B36" s="2240" t="s">
        <v>3656</v>
      </c>
      <c r="C36" s="2240"/>
      <c r="D36" s="2240"/>
      <c r="E36" s="2240"/>
      <c r="F36" s="2240"/>
      <c r="G36" s="2240"/>
      <c r="H36" s="2240" t="s">
        <v>3657</v>
      </c>
      <c r="I36" s="2240"/>
      <c r="J36" s="2240"/>
      <c r="K36" s="2240"/>
      <c r="L36" s="2240"/>
      <c r="M36" s="2240"/>
      <c r="N36" s="2240" t="s">
        <v>3658</v>
      </c>
      <c r="O36" s="2240"/>
      <c r="P36" s="2240"/>
      <c r="Q36" s="2240"/>
      <c r="R36" s="2240"/>
      <c r="S36" s="2240"/>
      <c r="T36" s="2240" t="s">
        <v>3659</v>
      </c>
      <c r="U36" s="2240"/>
      <c r="V36" s="2240"/>
      <c r="W36" s="2240"/>
      <c r="X36" s="2240"/>
      <c r="Y36" s="2240"/>
      <c r="Z36" s="2240" t="s">
        <v>3660</v>
      </c>
      <c r="AA36" s="2240"/>
      <c r="AB36" s="2240"/>
      <c r="AC36" s="2240"/>
      <c r="AD36" s="2240"/>
      <c r="AE36" s="2240"/>
      <c r="AF36" s="2240" t="s">
        <v>3661</v>
      </c>
      <c r="AG36" s="2240"/>
      <c r="AH36" s="2240"/>
      <c r="AI36" s="2240"/>
      <c r="AJ36" s="2240"/>
      <c r="AK36" s="2240"/>
      <c r="AL36" s="2240"/>
      <c r="AM36" s="2240"/>
      <c r="AN36" s="2240"/>
      <c r="AO36" s="2240"/>
      <c r="AP36" s="2240"/>
      <c r="AQ36" s="2398"/>
      <c r="AR36" s="2384"/>
      <c r="AS36" s="2385"/>
      <c r="AT36" s="2385"/>
      <c r="AU36" s="2385"/>
      <c r="AV36" s="2385"/>
      <c r="AW36" s="2391"/>
    </row>
    <row r="37" spans="1:73" s="401" customFormat="1" ht="17.25" customHeight="1">
      <c r="A37" s="2258"/>
      <c r="B37" s="2240"/>
      <c r="C37" s="2240"/>
      <c r="D37" s="2240"/>
      <c r="E37" s="2240"/>
      <c r="F37" s="2240"/>
      <c r="G37" s="2240"/>
      <c r="H37" s="2240"/>
      <c r="I37" s="2240"/>
      <c r="J37" s="2240"/>
      <c r="K37" s="2240"/>
      <c r="L37" s="2240"/>
      <c r="M37" s="2240"/>
      <c r="N37" s="2240"/>
      <c r="O37" s="2240"/>
      <c r="P37" s="2240"/>
      <c r="Q37" s="2240"/>
      <c r="R37" s="2240"/>
      <c r="S37" s="2240"/>
      <c r="T37" s="2240"/>
      <c r="U37" s="2240"/>
      <c r="V37" s="2240"/>
      <c r="W37" s="2240"/>
      <c r="X37" s="2240"/>
      <c r="Y37" s="2240"/>
      <c r="Z37" s="2240"/>
      <c r="AA37" s="2240"/>
      <c r="AB37" s="2240"/>
      <c r="AC37" s="2240"/>
      <c r="AD37" s="2240"/>
      <c r="AE37" s="2240"/>
      <c r="AF37" s="2240"/>
      <c r="AG37" s="2240"/>
      <c r="AH37" s="2240"/>
      <c r="AI37" s="2240"/>
      <c r="AJ37" s="2240"/>
      <c r="AK37" s="2240"/>
      <c r="AL37" s="2240"/>
      <c r="AM37" s="2240"/>
      <c r="AN37" s="2240"/>
      <c r="AO37" s="2240"/>
      <c r="AP37" s="2240"/>
      <c r="AQ37" s="2398"/>
      <c r="AR37" s="2386"/>
      <c r="AS37" s="2363"/>
      <c r="AT37" s="2363"/>
      <c r="AU37" s="2363"/>
      <c r="AV37" s="2363"/>
      <c r="AW37" s="2392"/>
    </row>
    <row r="38" spans="1:73" s="401" customFormat="1" ht="17.25" customHeight="1">
      <c r="A38" s="2258"/>
      <c r="B38" s="2240"/>
      <c r="C38" s="2240"/>
      <c r="D38" s="2240"/>
      <c r="E38" s="2240"/>
      <c r="F38" s="2240"/>
      <c r="G38" s="2240"/>
      <c r="H38" s="2240"/>
      <c r="I38" s="2240"/>
      <c r="J38" s="2240"/>
      <c r="K38" s="2240"/>
      <c r="L38" s="2240"/>
      <c r="M38" s="2240"/>
      <c r="N38" s="2240"/>
      <c r="O38" s="2240"/>
      <c r="P38" s="2240"/>
      <c r="Q38" s="2240"/>
      <c r="R38" s="2240"/>
      <c r="S38" s="2240"/>
      <c r="T38" s="2240"/>
      <c r="U38" s="2240"/>
      <c r="V38" s="2240"/>
      <c r="W38" s="2240"/>
      <c r="X38" s="2240"/>
      <c r="Y38" s="2240"/>
      <c r="Z38" s="2240"/>
      <c r="AA38" s="2240"/>
      <c r="AB38" s="2240"/>
      <c r="AC38" s="2240"/>
      <c r="AD38" s="2240"/>
      <c r="AE38" s="2240"/>
      <c r="AF38" s="2240"/>
      <c r="AG38" s="2240"/>
      <c r="AH38" s="2240"/>
      <c r="AI38" s="2240"/>
      <c r="AJ38" s="2240"/>
      <c r="AK38" s="2240"/>
      <c r="AL38" s="2240"/>
      <c r="AM38" s="2240"/>
      <c r="AN38" s="2240"/>
      <c r="AO38" s="2240"/>
      <c r="AP38" s="2240"/>
      <c r="AQ38" s="2398"/>
      <c r="AR38" s="2386"/>
      <c r="AS38" s="2363"/>
      <c r="AT38" s="2363"/>
      <c r="AU38" s="2363"/>
      <c r="AV38" s="2363"/>
      <c r="AW38" s="2392"/>
      <c r="BD38" s="2411"/>
      <c r="BE38" s="2411"/>
      <c r="BF38" s="2411"/>
      <c r="BG38" s="2411"/>
      <c r="BH38" s="2411"/>
      <c r="BI38" s="2411"/>
      <c r="BJ38" s="2411"/>
      <c r="BK38" s="2411"/>
      <c r="BL38" s="2411"/>
      <c r="BM38" s="2411"/>
      <c r="BN38" s="2411"/>
      <c r="BO38" s="2411"/>
      <c r="BP38" s="2411"/>
      <c r="BQ38" s="2411"/>
      <c r="BR38" s="2411"/>
      <c r="BS38" s="2411"/>
      <c r="BT38" s="2411"/>
      <c r="BU38" s="2411"/>
    </row>
    <row r="39" spans="1:73" s="401" customFormat="1" ht="17.25" customHeight="1">
      <c r="A39" s="2258"/>
      <c r="B39" s="2240"/>
      <c r="C39" s="2240"/>
      <c r="D39" s="2240"/>
      <c r="E39" s="2240"/>
      <c r="F39" s="2240"/>
      <c r="G39" s="2240"/>
      <c r="H39" s="2240"/>
      <c r="I39" s="2240"/>
      <c r="J39" s="2240"/>
      <c r="K39" s="2240"/>
      <c r="L39" s="2240"/>
      <c r="M39" s="2240"/>
      <c r="N39" s="2240"/>
      <c r="O39" s="2240"/>
      <c r="P39" s="2240"/>
      <c r="Q39" s="2240"/>
      <c r="R39" s="2240"/>
      <c r="S39" s="2240"/>
      <c r="T39" s="2240"/>
      <c r="U39" s="2240"/>
      <c r="V39" s="2240"/>
      <c r="W39" s="2240"/>
      <c r="X39" s="2240"/>
      <c r="Y39" s="2240"/>
      <c r="Z39" s="2240"/>
      <c r="AA39" s="2240"/>
      <c r="AB39" s="2240"/>
      <c r="AC39" s="2240"/>
      <c r="AD39" s="2240"/>
      <c r="AE39" s="2240"/>
      <c r="AF39" s="2240"/>
      <c r="AG39" s="2240"/>
      <c r="AH39" s="2240"/>
      <c r="AI39" s="2240"/>
      <c r="AJ39" s="2240"/>
      <c r="AK39" s="2240"/>
      <c r="AL39" s="2240"/>
      <c r="AM39" s="2240"/>
      <c r="AN39" s="2240"/>
      <c r="AO39" s="2240"/>
      <c r="AP39" s="2240"/>
      <c r="AQ39" s="2398"/>
      <c r="AR39" s="2387"/>
      <c r="AS39" s="2388"/>
      <c r="AT39" s="2388"/>
      <c r="AU39" s="2388"/>
      <c r="AV39" s="2388"/>
      <c r="AW39" s="2394"/>
      <c r="BD39" s="2411"/>
      <c r="BE39" s="2411"/>
      <c r="BF39" s="2411"/>
      <c r="BG39" s="2411"/>
      <c r="BH39" s="2411"/>
      <c r="BI39" s="2411"/>
      <c r="BJ39" s="2411"/>
      <c r="BK39" s="2411"/>
      <c r="BL39" s="2411"/>
      <c r="BM39" s="2411"/>
      <c r="BN39" s="2411"/>
      <c r="BO39" s="2411"/>
      <c r="BP39" s="2411"/>
      <c r="BQ39" s="2411"/>
      <c r="BR39" s="2411"/>
      <c r="BS39" s="2411"/>
      <c r="BT39" s="2411"/>
      <c r="BU39" s="2411"/>
    </row>
    <row r="40" spans="1:73" s="401" customFormat="1" ht="17.25" customHeight="1">
      <c r="A40" s="2257" t="s">
        <v>108</v>
      </c>
      <c r="B40" s="2384"/>
      <c r="C40" s="2385"/>
      <c r="D40" s="2385"/>
      <c r="E40" s="2385"/>
      <c r="F40" s="2385"/>
      <c r="G40" s="2385"/>
      <c r="H40" s="2384"/>
      <c r="I40" s="2385"/>
      <c r="J40" s="2385"/>
      <c r="K40" s="2385"/>
      <c r="L40" s="2385"/>
      <c r="M40" s="2385"/>
      <c r="N40" s="2384"/>
      <c r="O40" s="2385"/>
      <c r="P40" s="2385"/>
      <c r="Q40" s="2385"/>
      <c r="R40" s="2385"/>
      <c r="S40" s="2385"/>
      <c r="T40" s="2389" t="s">
        <v>3662</v>
      </c>
      <c r="U40" s="2390"/>
      <c r="V40" s="2390"/>
      <c r="W40" s="2390"/>
      <c r="X40" s="2390"/>
      <c r="Y40" s="2390"/>
      <c r="Z40" s="2389" t="s">
        <v>3663</v>
      </c>
      <c r="AA40" s="2385"/>
      <c r="AB40" s="2385"/>
      <c r="AC40" s="2385"/>
      <c r="AD40" s="2385"/>
      <c r="AE40" s="2391"/>
      <c r="AF40" s="2385"/>
      <c r="AG40" s="2385"/>
      <c r="AH40" s="2385"/>
      <c r="AI40" s="2385"/>
      <c r="AJ40" s="2385"/>
      <c r="AK40" s="2391"/>
      <c r="AL40" s="2390" t="s">
        <v>3664</v>
      </c>
      <c r="AM40" s="2385"/>
      <c r="AN40" s="2385"/>
      <c r="AO40" s="2385"/>
      <c r="AP40" s="2385"/>
      <c r="AQ40" s="2391"/>
      <c r="AR40" s="2390" t="s">
        <v>3665</v>
      </c>
      <c r="AS40" s="2385"/>
      <c r="AT40" s="2385"/>
      <c r="AU40" s="2385"/>
      <c r="AV40" s="2385"/>
      <c r="AW40" s="2391"/>
      <c r="BD40" s="2411"/>
      <c r="BE40" s="2411"/>
      <c r="BF40" s="2411"/>
      <c r="BG40" s="2411"/>
      <c r="BH40" s="2411"/>
      <c r="BI40" s="2411"/>
      <c r="BJ40" s="2411"/>
      <c r="BK40" s="2411"/>
      <c r="BL40" s="2411"/>
      <c r="BM40" s="2411"/>
      <c r="BN40" s="2411"/>
      <c r="BO40" s="2411"/>
      <c r="BP40" s="2411"/>
      <c r="BQ40" s="2411"/>
      <c r="BR40" s="2411"/>
      <c r="BS40" s="2411"/>
      <c r="BT40" s="2411"/>
      <c r="BU40" s="2411"/>
    </row>
    <row r="41" spans="1:73" s="401" customFormat="1" ht="17.25" customHeight="1">
      <c r="A41" s="2257"/>
      <c r="B41" s="2386"/>
      <c r="C41" s="2363"/>
      <c r="D41" s="2363"/>
      <c r="E41" s="2363"/>
      <c r="F41" s="2363"/>
      <c r="G41" s="2363"/>
      <c r="H41" s="2386"/>
      <c r="I41" s="2363"/>
      <c r="J41" s="2363"/>
      <c r="K41" s="2363"/>
      <c r="L41" s="2363"/>
      <c r="M41" s="2363"/>
      <c r="N41" s="2386"/>
      <c r="O41" s="2363"/>
      <c r="P41" s="2363"/>
      <c r="Q41" s="2363"/>
      <c r="R41" s="2363"/>
      <c r="S41" s="2363"/>
      <c r="T41" s="2376"/>
      <c r="U41" s="2377"/>
      <c r="V41" s="2377"/>
      <c r="W41" s="2377"/>
      <c r="X41" s="2377"/>
      <c r="Y41" s="2377"/>
      <c r="Z41" s="2386"/>
      <c r="AA41" s="2363"/>
      <c r="AB41" s="2363"/>
      <c r="AC41" s="2363"/>
      <c r="AD41" s="2363"/>
      <c r="AE41" s="2392"/>
      <c r="AF41" s="2363"/>
      <c r="AG41" s="2363"/>
      <c r="AH41" s="2363"/>
      <c r="AI41" s="2363"/>
      <c r="AJ41" s="2363"/>
      <c r="AK41" s="2392"/>
      <c r="AL41" s="2363"/>
      <c r="AM41" s="2363"/>
      <c r="AN41" s="2363"/>
      <c r="AO41" s="2363"/>
      <c r="AP41" s="2363"/>
      <c r="AQ41" s="2392"/>
      <c r="AR41" s="2363"/>
      <c r="AS41" s="2363"/>
      <c r="AT41" s="2363"/>
      <c r="AU41" s="2363"/>
      <c r="AV41" s="2363"/>
      <c r="AW41" s="2392"/>
      <c r="BD41" s="2411"/>
      <c r="BE41" s="2411"/>
      <c r="BF41" s="2411"/>
      <c r="BG41" s="2411"/>
      <c r="BH41" s="2411"/>
      <c r="BI41" s="2411"/>
      <c r="BJ41" s="2411"/>
      <c r="BK41" s="2411"/>
      <c r="BL41" s="2411"/>
      <c r="BM41" s="2411"/>
      <c r="BN41" s="2411"/>
      <c r="BO41" s="2411"/>
      <c r="BP41" s="2411"/>
      <c r="BQ41" s="2411"/>
      <c r="BR41" s="2411"/>
      <c r="BS41" s="2411"/>
      <c r="BT41" s="2411"/>
      <c r="BU41" s="2411"/>
    </row>
    <row r="42" spans="1:73" s="401" customFormat="1" ht="17.25" customHeight="1">
      <c r="A42" s="2257"/>
      <c r="B42" s="2386"/>
      <c r="C42" s="2363"/>
      <c r="D42" s="2363"/>
      <c r="E42" s="2363"/>
      <c r="F42" s="2363"/>
      <c r="G42" s="2363"/>
      <c r="H42" s="2386"/>
      <c r="I42" s="2363"/>
      <c r="J42" s="2363"/>
      <c r="K42" s="2363"/>
      <c r="L42" s="2363"/>
      <c r="M42" s="2363"/>
      <c r="N42" s="2386"/>
      <c r="O42" s="2363"/>
      <c r="P42" s="2363"/>
      <c r="Q42" s="2363"/>
      <c r="R42" s="2363"/>
      <c r="S42" s="2363"/>
      <c r="T42" s="2376"/>
      <c r="U42" s="2377"/>
      <c r="V42" s="2377"/>
      <c r="W42" s="2377"/>
      <c r="X42" s="2377"/>
      <c r="Y42" s="2377"/>
      <c r="Z42" s="2386"/>
      <c r="AA42" s="2363"/>
      <c r="AB42" s="2363"/>
      <c r="AC42" s="2363"/>
      <c r="AD42" s="2363"/>
      <c r="AE42" s="2392"/>
      <c r="AF42" s="2363"/>
      <c r="AG42" s="2363"/>
      <c r="AH42" s="2363"/>
      <c r="AI42" s="2363"/>
      <c r="AJ42" s="2363"/>
      <c r="AK42" s="2392"/>
      <c r="AL42" s="2363"/>
      <c r="AM42" s="2363"/>
      <c r="AN42" s="2363"/>
      <c r="AO42" s="2363"/>
      <c r="AP42" s="2363"/>
      <c r="AQ42" s="2392"/>
      <c r="AR42" s="2363"/>
      <c r="AS42" s="2363"/>
      <c r="AT42" s="2363"/>
      <c r="AU42" s="2363"/>
      <c r="AV42" s="2363"/>
      <c r="AW42" s="2392"/>
      <c r="BD42" s="2411"/>
      <c r="BE42" s="2411"/>
      <c r="BF42" s="2411"/>
      <c r="BG42" s="2411"/>
      <c r="BH42" s="2411"/>
      <c r="BI42" s="2411"/>
      <c r="BJ42" s="2411"/>
      <c r="BK42" s="2411"/>
      <c r="BL42" s="2411"/>
      <c r="BM42" s="2411"/>
      <c r="BN42" s="2411"/>
      <c r="BO42" s="2411"/>
      <c r="BP42" s="2411"/>
      <c r="BQ42" s="2412"/>
      <c r="BR42" s="2411"/>
      <c r="BS42" s="2411"/>
      <c r="BT42" s="2411"/>
      <c r="BU42" s="2411"/>
    </row>
    <row r="43" spans="1:73" s="401" customFormat="1" ht="17.25" customHeight="1">
      <c r="A43" s="2257"/>
      <c r="B43" s="2387"/>
      <c r="C43" s="2388"/>
      <c r="D43" s="2388"/>
      <c r="E43" s="2388"/>
      <c r="F43" s="2388"/>
      <c r="G43" s="2388"/>
      <c r="H43" s="2387"/>
      <c r="I43" s="2388"/>
      <c r="J43" s="2388"/>
      <c r="K43" s="2388"/>
      <c r="L43" s="2388"/>
      <c r="M43" s="2388"/>
      <c r="N43" s="2387"/>
      <c r="O43" s="2388"/>
      <c r="P43" s="2388"/>
      <c r="Q43" s="2388"/>
      <c r="R43" s="2388"/>
      <c r="S43" s="2388"/>
      <c r="T43" s="2379"/>
      <c r="U43" s="2380"/>
      <c r="V43" s="2380"/>
      <c r="W43" s="2380"/>
      <c r="X43" s="2380"/>
      <c r="Y43" s="2380"/>
      <c r="Z43" s="2387"/>
      <c r="AA43" s="2388"/>
      <c r="AB43" s="2388"/>
      <c r="AC43" s="2388"/>
      <c r="AD43" s="2388"/>
      <c r="AE43" s="2393"/>
      <c r="AF43" s="2388"/>
      <c r="AG43" s="2388"/>
      <c r="AH43" s="2388"/>
      <c r="AI43" s="2388"/>
      <c r="AJ43" s="2388"/>
      <c r="AK43" s="2394"/>
      <c r="AL43" s="2388"/>
      <c r="AM43" s="2388"/>
      <c r="AN43" s="2388"/>
      <c r="AO43" s="2388"/>
      <c r="AP43" s="2388"/>
      <c r="AQ43" s="2394"/>
      <c r="AR43" s="2388"/>
      <c r="AS43" s="2388"/>
      <c r="AT43" s="2388"/>
      <c r="AU43" s="2388"/>
      <c r="AV43" s="2388"/>
      <c r="AW43" s="2394"/>
      <c r="BD43" s="2411"/>
      <c r="BE43" s="2411"/>
      <c r="BF43" s="2411"/>
      <c r="BG43" s="2411"/>
      <c r="BH43" s="2411"/>
      <c r="BI43" s="2411"/>
      <c r="BJ43" s="2411"/>
      <c r="BK43" s="2411"/>
      <c r="BL43" s="2411"/>
      <c r="BM43" s="2411"/>
      <c r="BN43" s="2411"/>
      <c r="BO43" s="2411"/>
      <c r="BP43" s="2411"/>
      <c r="BQ43" s="2411"/>
      <c r="BR43" s="2411"/>
      <c r="BS43" s="2411"/>
      <c r="BT43" s="2411"/>
      <c r="BU43" s="2411"/>
    </row>
    <row r="44" spans="1:73" s="401" customFormat="1" ht="17.25" customHeight="1">
      <c r="A44" s="2259" t="s">
        <v>3666</v>
      </c>
      <c r="B44" s="2247" t="s">
        <v>3570</v>
      </c>
      <c r="C44" s="2247"/>
      <c r="D44" s="2247"/>
      <c r="E44" s="2247"/>
      <c r="F44" s="2247"/>
      <c r="G44" s="2247"/>
      <c r="H44" s="2248" t="s">
        <v>3571</v>
      </c>
      <c r="I44" s="2248"/>
      <c r="J44" s="2248"/>
      <c r="K44" s="2248"/>
      <c r="L44" s="2248"/>
      <c r="M44" s="2248"/>
      <c r="N44" s="2249" t="s">
        <v>3572</v>
      </c>
      <c r="O44" s="2249"/>
      <c r="P44" s="2249"/>
      <c r="Q44" s="2249"/>
      <c r="R44" s="2249"/>
      <c r="S44" s="2249"/>
      <c r="T44" s="2242" t="s">
        <v>3573</v>
      </c>
      <c r="U44" s="2242"/>
      <c r="V44" s="2242"/>
      <c r="W44" s="2242"/>
      <c r="X44" s="2242"/>
      <c r="Y44" s="2242"/>
      <c r="Z44" s="2250" t="s">
        <v>3574</v>
      </c>
      <c r="AA44" s="2250"/>
      <c r="AB44" s="2250"/>
      <c r="AC44" s="2250"/>
      <c r="AD44" s="2250"/>
      <c r="AE44" s="2250"/>
      <c r="AF44" s="2414" t="s">
        <v>3575</v>
      </c>
      <c r="AG44" s="2414"/>
      <c r="AH44" s="2414"/>
      <c r="AI44" s="2414"/>
      <c r="AJ44" s="2414"/>
      <c r="AK44" s="2414"/>
      <c r="AL44" s="2415" t="s">
        <v>3576</v>
      </c>
      <c r="AM44" s="2415"/>
      <c r="AN44" s="2415"/>
      <c r="AO44" s="2415"/>
      <c r="AP44" s="2415"/>
      <c r="AQ44" s="2415"/>
      <c r="AR44" s="2416" t="s">
        <v>3577</v>
      </c>
      <c r="AS44" s="2416"/>
      <c r="AT44" s="2416"/>
      <c r="AU44" s="2416"/>
      <c r="AV44" s="2416"/>
      <c r="AW44" s="2416"/>
    </row>
    <row r="45" spans="1:73" s="401" customFormat="1" ht="17.25" customHeight="1">
      <c r="A45" s="2260"/>
      <c r="B45" s="2247"/>
      <c r="C45" s="2247"/>
      <c r="D45" s="2247"/>
      <c r="E45" s="2247"/>
      <c r="F45" s="2247"/>
      <c r="G45" s="2247"/>
      <c r="H45" s="2248"/>
      <c r="I45" s="2248"/>
      <c r="J45" s="2248"/>
      <c r="K45" s="2248"/>
      <c r="L45" s="2248"/>
      <c r="M45" s="2248"/>
      <c r="N45" s="2249"/>
      <c r="O45" s="2249"/>
      <c r="P45" s="2249"/>
      <c r="Q45" s="2249"/>
      <c r="R45" s="2249"/>
      <c r="S45" s="2249"/>
      <c r="T45" s="2242"/>
      <c r="U45" s="2242"/>
      <c r="V45" s="2242"/>
      <c r="W45" s="2242"/>
      <c r="X45" s="2242"/>
      <c r="Y45" s="2242"/>
      <c r="Z45" s="2250"/>
      <c r="AA45" s="2250"/>
      <c r="AB45" s="2250"/>
      <c r="AC45" s="2250"/>
      <c r="AD45" s="2250"/>
      <c r="AE45" s="2250"/>
      <c r="AF45" s="2414"/>
      <c r="AG45" s="2414"/>
      <c r="AH45" s="2414"/>
      <c r="AI45" s="2414"/>
      <c r="AJ45" s="2414"/>
      <c r="AK45" s="2414"/>
      <c r="AL45" s="2415"/>
      <c r="AM45" s="2415"/>
      <c r="AN45" s="2415"/>
      <c r="AO45" s="2415"/>
      <c r="AP45" s="2415"/>
      <c r="AQ45" s="2415"/>
      <c r="AR45" s="2416"/>
      <c r="AS45" s="2416"/>
      <c r="AT45" s="2416"/>
      <c r="AU45" s="2416"/>
      <c r="AV45" s="2416"/>
      <c r="AW45" s="2416"/>
    </row>
    <row r="46" spans="1:73" s="401" customFormat="1" ht="17.25" customHeight="1">
      <c r="A46" s="2260"/>
      <c r="B46" s="2247"/>
      <c r="C46" s="2247"/>
      <c r="D46" s="2247"/>
      <c r="E46" s="2247"/>
      <c r="F46" s="2247"/>
      <c r="G46" s="2247"/>
      <c r="H46" s="2248"/>
      <c r="I46" s="2248"/>
      <c r="J46" s="2248"/>
      <c r="K46" s="2248"/>
      <c r="L46" s="2248"/>
      <c r="M46" s="2248"/>
      <c r="N46" s="2249"/>
      <c r="O46" s="2249"/>
      <c r="P46" s="2249"/>
      <c r="Q46" s="2249"/>
      <c r="R46" s="2249"/>
      <c r="S46" s="2249"/>
      <c r="T46" s="2242"/>
      <c r="U46" s="2242"/>
      <c r="V46" s="2242"/>
      <c r="W46" s="2242"/>
      <c r="X46" s="2242"/>
      <c r="Y46" s="2242"/>
      <c r="Z46" s="2250"/>
      <c r="AA46" s="2250"/>
      <c r="AB46" s="2250"/>
      <c r="AC46" s="2250"/>
      <c r="AD46" s="2250"/>
      <c r="AE46" s="2250"/>
      <c r="AF46" s="2414"/>
      <c r="AG46" s="2414"/>
      <c r="AH46" s="2414"/>
      <c r="AI46" s="2414"/>
      <c r="AJ46" s="2414"/>
      <c r="AK46" s="2414"/>
      <c r="AL46" s="2415"/>
      <c r="AM46" s="2415"/>
      <c r="AN46" s="2415"/>
      <c r="AO46" s="2415"/>
      <c r="AP46" s="2415"/>
      <c r="AQ46" s="2415"/>
      <c r="AR46" s="2416"/>
      <c r="AS46" s="2416"/>
      <c r="AT46" s="2416"/>
      <c r="AU46" s="2416"/>
      <c r="AV46" s="2416"/>
      <c r="AW46" s="2416"/>
    </row>
    <row r="47" spans="1:73" s="401" customFormat="1" ht="17.25" customHeight="1">
      <c r="A47" s="2260"/>
      <c r="E47" s="407"/>
      <c r="L47" s="415"/>
      <c r="N47" s="418"/>
      <c r="R47" s="421"/>
      <c r="W47" s="431"/>
      <c r="AH47" s="435"/>
      <c r="AN47" s="437"/>
      <c r="AU47" s="446"/>
    </row>
    <row r="48" spans="1:73" s="401" customFormat="1" ht="17.25" customHeight="1">
      <c r="A48" s="2260"/>
      <c r="E48" s="407"/>
      <c r="L48" s="415"/>
      <c r="N48" s="418"/>
      <c r="R48" s="421"/>
      <c r="W48" s="431"/>
      <c r="AH48" s="435"/>
      <c r="AN48" s="437"/>
      <c r="AU48" s="446"/>
    </row>
    <row r="49" spans="1:49" s="401" customFormat="1" ht="17.25" customHeight="1">
      <c r="A49" s="2260"/>
      <c r="E49" s="407"/>
      <c r="K49" s="2418" t="s">
        <v>3667</v>
      </c>
      <c r="L49" s="2419"/>
      <c r="M49" s="2419"/>
      <c r="N49" s="2419"/>
      <c r="O49" s="2419"/>
      <c r="P49" s="2419"/>
      <c r="R49" s="421"/>
      <c r="T49" s="2242" t="s">
        <v>3668</v>
      </c>
      <c r="U49" s="2242"/>
      <c r="V49" s="2242"/>
      <c r="W49" s="2242"/>
      <c r="X49" s="2242"/>
      <c r="Y49" s="2242"/>
      <c r="AF49" s="2244" t="s">
        <v>3669</v>
      </c>
      <c r="AG49" s="2244"/>
      <c r="AH49" s="2244"/>
      <c r="AI49" s="2244"/>
      <c r="AJ49" s="2244"/>
      <c r="AK49" s="2244"/>
      <c r="AL49" s="2245" t="s">
        <v>3670</v>
      </c>
      <c r="AM49" s="2245"/>
      <c r="AN49" s="2245"/>
      <c r="AO49" s="2245"/>
      <c r="AP49" s="2245"/>
      <c r="AQ49" s="2245"/>
      <c r="AR49" s="2246" t="s">
        <v>3671</v>
      </c>
      <c r="AS49" s="2246"/>
      <c r="AT49" s="2246"/>
      <c r="AU49" s="2246"/>
      <c r="AV49" s="2246"/>
      <c r="AW49" s="2246"/>
    </row>
    <row r="50" spans="1:49" s="401" customFormat="1" ht="17.25" customHeight="1">
      <c r="A50" s="2260"/>
      <c r="E50" s="407"/>
      <c r="K50" s="2419"/>
      <c r="L50" s="2419"/>
      <c r="M50" s="2419"/>
      <c r="N50" s="2419"/>
      <c r="O50" s="2419"/>
      <c r="P50" s="2419"/>
      <c r="R50" s="421"/>
      <c r="T50" s="2242"/>
      <c r="U50" s="2242"/>
      <c r="V50" s="2242"/>
      <c r="W50" s="2242"/>
      <c r="X50" s="2242"/>
      <c r="Y50" s="2242"/>
      <c r="AF50" s="2244"/>
      <c r="AG50" s="2244"/>
      <c r="AH50" s="2244"/>
      <c r="AI50" s="2244"/>
      <c r="AJ50" s="2244"/>
      <c r="AK50" s="2244"/>
      <c r="AL50" s="2245"/>
      <c r="AM50" s="2245"/>
      <c r="AN50" s="2245"/>
      <c r="AO50" s="2245"/>
      <c r="AP50" s="2245"/>
      <c r="AQ50" s="2245"/>
      <c r="AR50" s="2246"/>
      <c r="AS50" s="2246"/>
      <c r="AT50" s="2246"/>
      <c r="AU50" s="2246"/>
      <c r="AV50" s="2246"/>
      <c r="AW50" s="2246"/>
    </row>
    <row r="51" spans="1:49" s="401" customFormat="1" ht="17.25" customHeight="1">
      <c r="A51" s="2260"/>
      <c r="E51" s="407"/>
      <c r="K51" s="2419"/>
      <c r="L51" s="2419"/>
      <c r="M51" s="2419"/>
      <c r="N51" s="2419"/>
      <c r="O51" s="2419"/>
      <c r="P51" s="2419"/>
      <c r="R51" s="421"/>
      <c r="T51" s="2242"/>
      <c r="U51" s="2242"/>
      <c r="V51" s="2243"/>
      <c r="W51" s="2242"/>
      <c r="X51" s="2242"/>
      <c r="Y51" s="2242"/>
      <c r="AF51" s="2244"/>
      <c r="AG51" s="2244"/>
      <c r="AH51" s="2244"/>
      <c r="AI51" s="2244"/>
      <c r="AJ51" s="2244"/>
      <c r="AK51" s="2244"/>
      <c r="AL51" s="2245"/>
      <c r="AM51" s="2245"/>
      <c r="AN51" s="2245"/>
      <c r="AO51" s="2245"/>
      <c r="AP51" s="2245"/>
      <c r="AQ51" s="2245"/>
      <c r="AR51" s="2246"/>
      <c r="AS51" s="2246"/>
      <c r="AT51" s="2246"/>
      <c r="AU51" s="2246"/>
      <c r="AV51" s="2246"/>
      <c r="AW51" s="2246"/>
    </row>
    <row r="52" spans="1:49" s="401" customFormat="1" ht="17.25" customHeight="1">
      <c r="A52" s="2260"/>
      <c r="E52" s="407"/>
      <c r="R52" s="421"/>
      <c r="T52" s="422"/>
      <c r="U52" s="422"/>
      <c r="V52" s="432"/>
      <c r="W52" s="422"/>
      <c r="X52" s="422"/>
      <c r="Y52" s="422"/>
      <c r="AL52" s="438"/>
      <c r="AM52" s="438"/>
      <c r="AN52" s="439"/>
      <c r="AO52" s="438"/>
      <c r="AP52" s="438"/>
      <c r="AQ52" s="438"/>
    </row>
    <row r="53" spans="1:49" s="401" customFormat="1" ht="17.25" customHeight="1">
      <c r="A53" s="2260"/>
      <c r="E53" s="407"/>
      <c r="N53" s="419"/>
      <c r="O53" s="420"/>
      <c r="P53" s="420"/>
      <c r="Q53" s="420"/>
      <c r="R53" s="423"/>
      <c r="V53" s="433"/>
      <c r="AN53" s="437"/>
      <c r="AO53" s="442"/>
      <c r="AP53" s="442"/>
      <c r="AQ53" s="442"/>
      <c r="AR53" s="443"/>
      <c r="AS53" s="438"/>
      <c r="AT53" s="438"/>
      <c r="AU53" s="438"/>
      <c r="AV53" s="438"/>
      <c r="AW53" s="438"/>
    </row>
    <row r="54" spans="1:49" s="401" customFormat="1" ht="17.25" customHeight="1">
      <c r="A54" s="2260"/>
      <c r="B54" s="405"/>
      <c r="C54" s="405"/>
      <c r="D54" s="405"/>
      <c r="E54" s="408"/>
      <c r="F54" s="405"/>
      <c r="G54" s="405"/>
      <c r="H54" s="2347" t="s">
        <v>3672</v>
      </c>
      <c r="I54" s="2347"/>
      <c r="J54" s="2347"/>
      <c r="K54" s="2347"/>
      <c r="L54" s="2347"/>
      <c r="M54" s="2347"/>
      <c r="N54" s="2410" t="s">
        <v>3673</v>
      </c>
      <c r="O54" s="2410"/>
      <c r="P54" s="2410"/>
      <c r="Q54" s="424"/>
      <c r="R54" s="425"/>
      <c r="S54" s="424"/>
      <c r="T54" s="424"/>
      <c r="U54" s="424"/>
      <c r="V54" s="429"/>
      <c r="W54" s="405"/>
      <c r="Y54" s="2413" t="s">
        <v>3674</v>
      </c>
      <c r="Z54" s="2413"/>
      <c r="AA54" s="2413"/>
      <c r="AB54" s="2413"/>
      <c r="AC54" s="2413"/>
      <c r="AD54" s="2413"/>
      <c r="AE54" s="2413"/>
      <c r="AF54" s="2413"/>
      <c r="AL54" s="2245" t="s">
        <v>3675</v>
      </c>
      <c r="AM54" s="2245"/>
      <c r="AN54" s="2245"/>
      <c r="AO54" s="2245"/>
      <c r="AP54" s="2245"/>
      <c r="AQ54" s="2245"/>
      <c r="AR54" s="444"/>
    </row>
    <row r="55" spans="1:49" s="401" customFormat="1" ht="17.25" customHeight="1">
      <c r="A55" s="2260"/>
      <c r="B55" s="405"/>
      <c r="C55" s="405"/>
      <c r="D55" s="405"/>
      <c r="E55" s="409"/>
      <c r="F55" s="409"/>
      <c r="G55" s="410"/>
      <c r="H55" s="2347"/>
      <c r="I55" s="2347"/>
      <c r="J55" s="2347"/>
      <c r="K55" s="2347"/>
      <c r="L55" s="2347"/>
      <c r="M55" s="2347"/>
      <c r="N55" s="2410"/>
      <c r="O55" s="2410"/>
      <c r="P55" s="2410"/>
      <c r="Q55" s="426"/>
      <c r="R55" s="427"/>
      <c r="S55" s="405"/>
      <c r="T55" s="405"/>
      <c r="U55" s="405"/>
      <c r="V55" s="405"/>
      <c r="W55" s="405"/>
      <c r="Y55" s="2413"/>
      <c r="Z55" s="2413"/>
      <c r="AA55" s="2413"/>
      <c r="AB55" s="2413"/>
      <c r="AC55" s="2413"/>
      <c r="AD55" s="2413"/>
      <c r="AE55" s="2413"/>
      <c r="AF55" s="2413"/>
      <c r="AG55" s="436"/>
      <c r="AH55" s="436"/>
      <c r="AI55" s="436"/>
      <c r="AJ55" s="436"/>
      <c r="AK55" s="436"/>
      <c r="AL55" s="2245"/>
      <c r="AM55" s="2245"/>
      <c r="AN55" s="2245"/>
      <c r="AO55" s="2245"/>
      <c r="AP55" s="2245"/>
      <c r="AQ55" s="2245"/>
      <c r="AR55" s="444"/>
    </row>
    <row r="56" spans="1:49" s="401" customFormat="1" ht="17.25" customHeight="1">
      <c r="A56" s="2260"/>
      <c r="B56" s="405"/>
      <c r="C56" s="405"/>
      <c r="D56" s="405"/>
      <c r="E56" s="405"/>
      <c r="F56" s="405"/>
      <c r="G56" s="408"/>
      <c r="H56" s="2347"/>
      <c r="I56" s="2347"/>
      <c r="J56" s="2347"/>
      <c r="K56" s="2347"/>
      <c r="L56" s="2347"/>
      <c r="M56" s="2347"/>
      <c r="N56" s="2410"/>
      <c r="O56" s="2410"/>
      <c r="P56" s="2410"/>
      <c r="Q56" s="426"/>
      <c r="R56" s="427"/>
      <c r="S56" s="428"/>
      <c r="T56" s="428"/>
      <c r="U56" s="428"/>
      <c r="V56" s="428"/>
      <c r="W56" s="428"/>
      <c r="X56" s="434"/>
      <c r="Y56" s="2413"/>
      <c r="Z56" s="2413"/>
      <c r="AA56" s="2413"/>
      <c r="AB56" s="2413"/>
      <c r="AC56" s="2413"/>
      <c r="AD56" s="2413"/>
      <c r="AE56" s="2413"/>
      <c r="AF56" s="2413"/>
      <c r="AL56" s="2245"/>
      <c r="AM56" s="2245"/>
      <c r="AN56" s="2245"/>
      <c r="AO56" s="2245"/>
      <c r="AP56" s="2245"/>
      <c r="AQ56" s="2245"/>
      <c r="AR56" s="444"/>
    </row>
    <row r="57" spans="1:49" s="401" customFormat="1" ht="17.25" customHeight="1">
      <c r="A57" s="2260"/>
      <c r="B57" s="405"/>
      <c r="C57" s="405"/>
      <c r="D57" s="405"/>
      <c r="E57" s="405"/>
      <c r="F57" s="405"/>
      <c r="G57" s="408"/>
      <c r="H57" s="2347"/>
      <c r="I57" s="2347"/>
      <c r="J57" s="2347"/>
      <c r="K57" s="2347"/>
      <c r="L57" s="2347"/>
      <c r="M57" s="2347"/>
      <c r="N57" s="2410"/>
      <c r="O57" s="2410"/>
      <c r="P57" s="2410"/>
      <c r="Q57" s="426"/>
      <c r="R57" s="427"/>
      <c r="S57" s="405"/>
      <c r="T57" s="405"/>
      <c r="U57" s="405"/>
      <c r="V57" s="405"/>
      <c r="W57" s="405"/>
      <c r="Y57" s="2413"/>
      <c r="Z57" s="2413"/>
      <c r="AA57" s="2413"/>
      <c r="AB57" s="2413"/>
      <c r="AC57" s="2413"/>
      <c r="AD57" s="2413"/>
      <c r="AE57" s="2413"/>
      <c r="AF57" s="2413"/>
      <c r="AO57" s="445"/>
      <c r="AR57" s="444"/>
    </row>
    <row r="58" spans="1:49" s="401" customFormat="1" ht="17.25" customHeight="1">
      <c r="A58" s="2260"/>
      <c r="B58" s="406"/>
      <c r="C58" s="406"/>
      <c r="D58" s="406"/>
      <c r="E58" s="406"/>
      <c r="F58" s="406"/>
      <c r="G58" s="411"/>
      <c r="H58" s="2417" t="s">
        <v>3676</v>
      </c>
      <c r="I58" s="2417"/>
      <c r="J58" s="2417"/>
      <c r="K58" s="2417"/>
      <c r="L58" s="2417"/>
      <c r="M58" s="2417"/>
      <c r="N58" s="2383" t="s">
        <v>3677</v>
      </c>
      <c r="O58" s="2383"/>
      <c r="P58" s="2383"/>
      <c r="Q58" s="426"/>
      <c r="R58" s="427"/>
      <c r="S58" s="405"/>
      <c r="T58" s="405"/>
      <c r="U58" s="405"/>
      <c r="V58" s="405"/>
      <c r="W58" s="405"/>
      <c r="AE58" s="422"/>
      <c r="AN58" s="440"/>
      <c r="AR58" s="444"/>
    </row>
    <row r="59" spans="1:49" s="401" customFormat="1" ht="17.25" customHeight="1">
      <c r="A59" s="2260"/>
      <c r="B59" s="406"/>
      <c r="C59" s="406"/>
      <c r="D59" s="406"/>
      <c r="E59" s="406"/>
      <c r="F59" s="412"/>
      <c r="G59" s="413"/>
      <c r="H59" s="2417"/>
      <c r="I59" s="2417"/>
      <c r="J59" s="2417"/>
      <c r="K59" s="2417"/>
      <c r="L59" s="2417"/>
      <c r="M59" s="2417"/>
      <c r="N59" s="2383"/>
      <c r="O59" s="2383"/>
      <c r="P59" s="2383"/>
      <c r="Q59" s="429"/>
      <c r="R59" s="427"/>
      <c r="S59" s="405"/>
      <c r="T59" s="405"/>
      <c r="U59" s="405"/>
      <c r="V59" s="405"/>
      <c r="W59" s="405"/>
      <c r="AE59" s="422"/>
      <c r="AL59" s="2355" t="s">
        <v>3678</v>
      </c>
      <c r="AM59" s="2355"/>
      <c r="AN59" s="2355"/>
      <c r="AO59" s="2355"/>
      <c r="AP59" s="2355"/>
      <c r="AQ59" s="2355"/>
      <c r="AR59" s="444"/>
    </row>
    <row r="60" spans="1:49" s="401" customFormat="1" ht="17.25" customHeight="1">
      <c r="A60" s="2260"/>
      <c r="B60" s="406"/>
      <c r="C60" s="406"/>
      <c r="D60" s="406"/>
      <c r="E60" s="406"/>
      <c r="F60" s="412"/>
      <c r="G60" s="406"/>
      <c r="H60" s="2417"/>
      <c r="I60" s="2417"/>
      <c r="J60" s="2417"/>
      <c r="K60" s="2417"/>
      <c r="L60" s="2417"/>
      <c r="M60" s="2417"/>
      <c r="N60" s="2383"/>
      <c r="O60" s="2383"/>
      <c r="P60" s="2383"/>
      <c r="Q60" s="405"/>
      <c r="R60" s="427"/>
      <c r="S60" s="405"/>
      <c r="T60" s="405"/>
      <c r="U60" s="405"/>
      <c r="V60" s="405"/>
      <c r="W60" s="405"/>
      <c r="AL60" s="2355"/>
      <c r="AM60" s="2355"/>
      <c r="AN60" s="2355"/>
      <c r="AO60" s="2355"/>
      <c r="AP60" s="2355"/>
      <c r="AQ60" s="2355"/>
      <c r="AR60" s="444"/>
    </row>
    <row r="61" spans="1:49" s="401" customFormat="1" ht="17.25" customHeight="1">
      <c r="A61" s="2260"/>
      <c r="B61" s="406"/>
      <c r="C61" s="406"/>
      <c r="D61" s="406"/>
      <c r="E61" s="406"/>
      <c r="F61" s="412"/>
      <c r="G61" s="406"/>
      <c r="H61" s="2417"/>
      <c r="I61" s="2417"/>
      <c r="J61" s="2417"/>
      <c r="K61" s="2417"/>
      <c r="L61" s="2417"/>
      <c r="M61" s="2417"/>
      <c r="N61" s="2383"/>
      <c r="O61" s="2383"/>
      <c r="P61" s="2383"/>
      <c r="Q61" s="405"/>
      <c r="R61" s="427"/>
      <c r="S61" s="405"/>
      <c r="T61" s="405"/>
      <c r="U61" s="405"/>
      <c r="V61" s="405"/>
      <c r="W61" s="405"/>
      <c r="AL61" s="2355"/>
      <c r="AM61" s="2355"/>
      <c r="AN61" s="2355"/>
      <c r="AO61" s="2355"/>
      <c r="AP61" s="2355"/>
      <c r="AQ61" s="2355"/>
      <c r="AR61" s="444"/>
    </row>
    <row r="62" spans="1:49" s="401" customFormat="1" ht="17.25" customHeight="1">
      <c r="A62" s="2260"/>
      <c r="B62" s="406"/>
      <c r="C62" s="406"/>
      <c r="D62" s="406"/>
      <c r="E62" s="406"/>
      <c r="F62" s="412"/>
      <c r="G62" s="414"/>
      <c r="H62" s="414"/>
      <c r="I62" s="416"/>
      <c r="J62" s="416"/>
      <c r="K62" s="416"/>
      <c r="L62" s="416"/>
      <c r="M62" s="416"/>
      <c r="N62" s="416"/>
      <c r="O62" s="416"/>
      <c r="P62" s="416"/>
      <c r="Q62" s="416"/>
      <c r="R62" s="430"/>
      <c r="S62" s="405"/>
      <c r="T62" s="405"/>
      <c r="U62" s="405"/>
      <c r="V62" s="405"/>
      <c r="W62" s="405"/>
      <c r="AL62" s="441"/>
      <c r="AM62" s="441"/>
      <c r="AN62" s="441"/>
      <c r="AO62" s="441"/>
      <c r="AP62" s="441"/>
      <c r="AQ62" s="441"/>
      <c r="AR62" s="444"/>
    </row>
    <row r="63" spans="1:49" s="401" customFormat="1" ht="17.25" customHeight="1">
      <c r="A63" s="2260"/>
      <c r="B63" s="406"/>
      <c r="C63" s="406"/>
      <c r="D63" s="406"/>
      <c r="E63" s="406"/>
      <c r="F63" s="412"/>
      <c r="G63" s="414"/>
      <c r="H63" s="414"/>
      <c r="I63" s="417"/>
      <c r="J63" s="414"/>
      <c r="K63" s="414"/>
      <c r="L63" s="414"/>
      <c r="M63" s="414"/>
      <c r="N63" s="414"/>
      <c r="O63" s="414"/>
      <c r="P63" s="414"/>
      <c r="Q63" s="414"/>
      <c r="R63" s="414"/>
      <c r="S63" s="405"/>
      <c r="T63" s="405"/>
      <c r="U63" s="405"/>
      <c r="V63" s="405"/>
      <c r="W63" s="405"/>
      <c r="AR63" s="444"/>
    </row>
    <row r="64" spans="1:49" s="401" customFormat="1" ht="17.25" customHeight="1">
      <c r="A64" s="2260"/>
      <c r="B64" s="406"/>
      <c r="C64" s="406"/>
      <c r="D64" s="406"/>
      <c r="E64" s="406"/>
      <c r="F64" s="412"/>
      <c r="G64" s="414"/>
      <c r="H64" s="414"/>
      <c r="I64" s="417"/>
      <c r="J64" s="414"/>
      <c r="K64" s="414"/>
      <c r="L64" s="414"/>
      <c r="M64" s="414"/>
      <c r="N64" s="414"/>
      <c r="O64" s="414"/>
      <c r="P64" s="414"/>
      <c r="Q64" s="414"/>
      <c r="R64" s="414"/>
      <c r="S64" s="405"/>
      <c r="T64" s="405"/>
      <c r="U64" s="2352" t="s">
        <v>3679</v>
      </c>
      <c r="V64" s="2337"/>
      <c r="W64" s="2336" t="s">
        <v>3680</v>
      </c>
      <c r="X64" s="2337"/>
      <c r="Y64" s="2337"/>
      <c r="Z64" s="2337"/>
      <c r="AA64" s="2337"/>
      <c r="AB64" s="2337"/>
      <c r="AC64" s="2337"/>
      <c r="AD64" s="2337"/>
      <c r="AE64" s="2337"/>
      <c r="AF64" s="2337"/>
      <c r="AG64" s="2337"/>
      <c r="AH64" s="2337"/>
      <c r="AI64" s="2337"/>
      <c r="AJ64" s="2338"/>
      <c r="AN64" s="2344" t="s">
        <v>3681</v>
      </c>
      <c r="AO64" s="2344"/>
      <c r="AP64" s="2344"/>
      <c r="AQ64" s="2344"/>
      <c r="AR64" s="2344"/>
      <c r="AS64" s="2344"/>
      <c r="AT64" s="2344"/>
      <c r="AU64" s="2344"/>
      <c r="AV64" s="2344"/>
      <c r="AW64" s="2344"/>
    </row>
    <row r="65" spans="1:59" s="401" customFormat="1" ht="17.25" customHeight="1">
      <c r="A65" s="2260"/>
      <c r="F65" s="2330" t="s">
        <v>3682</v>
      </c>
      <c r="G65" s="2331"/>
      <c r="H65" s="2227" t="s">
        <v>3683</v>
      </c>
      <c r="I65" s="2228"/>
      <c r="J65" s="2228"/>
      <c r="K65" s="2227" t="s">
        <v>3684</v>
      </c>
      <c r="L65" s="2228"/>
      <c r="M65" s="2227" t="s">
        <v>3685</v>
      </c>
      <c r="N65" s="2228"/>
      <c r="O65" s="1103" t="s">
        <v>3686</v>
      </c>
      <c r="P65" s="1104"/>
      <c r="Q65" s="1104"/>
      <c r="R65" s="1106"/>
      <c r="T65" s="405"/>
      <c r="U65" s="2340"/>
      <c r="V65" s="2298"/>
      <c r="W65" s="2298"/>
      <c r="X65" s="2298"/>
      <c r="Y65" s="2298"/>
      <c r="Z65" s="2298"/>
      <c r="AA65" s="2298"/>
      <c r="AB65" s="2298"/>
      <c r="AC65" s="2298"/>
      <c r="AD65" s="2298"/>
      <c r="AE65" s="2298"/>
      <c r="AF65" s="2298"/>
      <c r="AG65" s="2298"/>
      <c r="AH65" s="2298"/>
      <c r="AI65" s="2298"/>
      <c r="AJ65" s="2299"/>
      <c r="AN65" s="2344"/>
      <c r="AO65" s="2344"/>
      <c r="AP65" s="2344"/>
      <c r="AQ65" s="2344"/>
      <c r="AR65" s="2344"/>
      <c r="AS65" s="2344"/>
      <c r="AT65" s="2344"/>
      <c r="AU65" s="2344"/>
      <c r="AV65" s="2344"/>
      <c r="AW65" s="2344"/>
      <c r="AX65" s="454"/>
      <c r="AY65" s="454"/>
      <c r="AZ65" s="454"/>
      <c r="BA65" s="454"/>
      <c r="BB65" s="454"/>
      <c r="BC65" s="454"/>
      <c r="BD65" s="454"/>
      <c r="BE65" s="454"/>
      <c r="BF65" s="454"/>
      <c r="BG65" s="422"/>
    </row>
    <row r="66" spans="1:59" s="401" customFormat="1" ht="17.25" customHeight="1">
      <c r="A66" s="2260"/>
      <c r="F66" s="2332"/>
      <c r="G66" s="2333"/>
      <c r="H66" s="2229" t="s">
        <v>3687</v>
      </c>
      <c r="I66" s="2229"/>
      <c r="J66" s="2229"/>
      <c r="K66" s="2229">
        <v>-2</v>
      </c>
      <c r="L66" s="2229"/>
      <c r="M66" s="2229">
        <v>-2</v>
      </c>
      <c r="N66" s="2229"/>
      <c r="O66" s="2230" t="s">
        <v>3688</v>
      </c>
      <c r="P66" s="2231"/>
      <c r="Q66" s="2231"/>
      <c r="R66" s="257">
        <v>-3</v>
      </c>
      <c r="T66" s="405"/>
      <c r="U66" s="2340"/>
      <c r="V66" s="2298"/>
      <c r="W66" s="2298"/>
      <c r="X66" s="2298"/>
      <c r="Y66" s="2298"/>
      <c r="Z66" s="2298"/>
      <c r="AA66" s="2298"/>
      <c r="AB66" s="2298"/>
      <c r="AC66" s="2298"/>
      <c r="AD66" s="2298"/>
      <c r="AE66" s="2298"/>
      <c r="AF66" s="2298"/>
      <c r="AG66" s="2298"/>
      <c r="AH66" s="2298"/>
      <c r="AI66" s="2298"/>
      <c r="AJ66" s="2299"/>
      <c r="AN66" s="2377" t="s">
        <v>3689</v>
      </c>
      <c r="AO66" s="2363"/>
      <c r="AP66" s="2363"/>
      <c r="AQ66" s="2363"/>
      <c r="AR66" s="2363"/>
      <c r="AS66" s="2363"/>
      <c r="AT66" s="2363"/>
      <c r="AU66" s="2363"/>
      <c r="AV66" s="2363"/>
      <c r="AW66" s="2363"/>
      <c r="AX66" s="454"/>
      <c r="AY66" s="454"/>
      <c r="AZ66" s="454"/>
      <c r="BA66" s="454"/>
      <c r="BB66" s="454"/>
      <c r="BC66" s="454"/>
      <c r="BD66" s="454"/>
      <c r="BE66" s="454"/>
      <c r="BF66" s="454"/>
      <c r="BG66" s="422"/>
    </row>
    <row r="67" spans="1:59" s="401" customFormat="1" ht="17.25" customHeight="1">
      <c r="A67" s="2260"/>
      <c r="F67" s="2332"/>
      <c r="G67" s="2333"/>
      <c r="H67" s="2232" t="s">
        <v>3690</v>
      </c>
      <c r="I67" s="2233"/>
      <c r="J67" s="2233"/>
      <c r="K67" s="2232">
        <v>-1</v>
      </c>
      <c r="L67" s="2233"/>
      <c r="M67" s="2232">
        <v>-1</v>
      </c>
      <c r="N67" s="2233"/>
      <c r="O67" s="2234" t="s">
        <v>3691</v>
      </c>
      <c r="P67" s="2235"/>
      <c r="Q67" s="2235"/>
      <c r="R67" s="191">
        <v>-2</v>
      </c>
      <c r="U67" s="2300" t="s">
        <v>3692</v>
      </c>
      <c r="V67" s="2301"/>
      <c r="W67" s="2395" t="s">
        <v>3693</v>
      </c>
      <c r="X67" s="2396"/>
      <c r="Y67" s="2396"/>
      <c r="Z67" s="2396"/>
      <c r="AA67" s="2396"/>
      <c r="AB67" s="2396"/>
      <c r="AC67" s="2396"/>
      <c r="AD67" s="2396"/>
      <c r="AE67" s="2396"/>
      <c r="AF67" s="2396"/>
      <c r="AG67" s="2396"/>
      <c r="AH67" s="2396"/>
      <c r="AI67" s="2396"/>
      <c r="AJ67" s="2397"/>
      <c r="AN67" s="2363"/>
      <c r="AO67" s="2363"/>
      <c r="AP67" s="2363"/>
      <c r="AQ67" s="2363"/>
      <c r="AR67" s="2363"/>
      <c r="AS67" s="2363"/>
      <c r="AT67" s="2363"/>
      <c r="AU67" s="2363"/>
      <c r="AV67" s="2363"/>
      <c r="AW67" s="2363"/>
      <c r="AX67" s="454"/>
      <c r="AY67" s="454"/>
      <c r="AZ67" s="454"/>
      <c r="BA67" s="454"/>
      <c r="BB67" s="454"/>
      <c r="BC67" s="454"/>
      <c r="BD67" s="454"/>
      <c r="BE67" s="454"/>
      <c r="BF67" s="454"/>
      <c r="BG67" s="422"/>
    </row>
    <row r="68" spans="1:59" s="401" customFormat="1" ht="17.25" customHeight="1">
      <c r="A68" s="2260"/>
      <c r="F68" s="2332"/>
      <c r="G68" s="2333"/>
      <c r="H68" s="2236" t="s">
        <v>3694</v>
      </c>
      <c r="I68" s="2237"/>
      <c r="J68" s="2237"/>
      <c r="K68" s="2236">
        <v>0</v>
      </c>
      <c r="L68" s="2237"/>
      <c r="M68" s="2236">
        <v>0</v>
      </c>
      <c r="N68" s="2237"/>
      <c r="O68" s="2230" t="s">
        <v>3695</v>
      </c>
      <c r="P68" s="2231"/>
      <c r="Q68" s="2231"/>
      <c r="R68" s="257">
        <v>-1</v>
      </c>
      <c r="U68" s="2302"/>
      <c r="V68" s="2301"/>
      <c r="W68" s="2396"/>
      <c r="X68" s="2396"/>
      <c r="Y68" s="2396"/>
      <c r="Z68" s="2396"/>
      <c r="AA68" s="2396"/>
      <c r="AB68" s="2396"/>
      <c r="AC68" s="2396"/>
      <c r="AD68" s="2396"/>
      <c r="AE68" s="2396"/>
      <c r="AF68" s="2396"/>
      <c r="AG68" s="2396"/>
      <c r="AH68" s="2396"/>
      <c r="AI68" s="2396"/>
      <c r="AJ68" s="2397"/>
      <c r="AN68" s="2363"/>
      <c r="AO68" s="2363"/>
      <c r="AP68" s="2363"/>
      <c r="AQ68" s="2363"/>
      <c r="AR68" s="2363"/>
      <c r="AS68" s="2363"/>
      <c r="AT68" s="2363"/>
      <c r="AU68" s="2363"/>
      <c r="AV68" s="2363"/>
      <c r="AW68" s="2363"/>
      <c r="AX68" s="454"/>
      <c r="AY68" s="454"/>
      <c r="AZ68" s="454"/>
      <c r="BA68" s="454"/>
      <c r="BB68" s="454"/>
      <c r="BC68" s="454"/>
      <c r="BD68" s="454"/>
      <c r="BE68" s="454"/>
      <c r="BF68" s="454"/>
      <c r="BG68" s="422"/>
    </row>
    <row r="69" spans="1:59" s="401" customFormat="1" ht="17.25" customHeight="1">
      <c r="A69" s="2260"/>
      <c r="F69" s="2332"/>
      <c r="G69" s="2333"/>
      <c r="H69" s="2232" t="s">
        <v>3696</v>
      </c>
      <c r="I69" s="2233"/>
      <c r="J69" s="2233"/>
      <c r="K69" s="2232" t="s">
        <v>3697</v>
      </c>
      <c r="L69" s="2233"/>
      <c r="M69" s="2232">
        <v>1</v>
      </c>
      <c r="N69" s="2233"/>
      <c r="O69" s="2238" t="s">
        <v>3698</v>
      </c>
      <c r="P69" s="2239"/>
      <c r="Q69" s="2239"/>
      <c r="R69" s="258">
        <v>0</v>
      </c>
      <c r="U69" s="2302"/>
      <c r="V69" s="2301"/>
      <c r="W69" s="2396"/>
      <c r="X69" s="2396"/>
      <c r="Y69" s="2396"/>
      <c r="Z69" s="2396"/>
      <c r="AA69" s="2396"/>
      <c r="AB69" s="2396"/>
      <c r="AC69" s="2396"/>
      <c r="AD69" s="2396"/>
      <c r="AE69" s="2396"/>
      <c r="AF69" s="2396"/>
      <c r="AG69" s="2396"/>
      <c r="AH69" s="2396"/>
      <c r="AI69" s="2396"/>
      <c r="AJ69" s="2397"/>
      <c r="AN69" s="2363"/>
      <c r="AO69" s="2363"/>
      <c r="AP69" s="2363"/>
      <c r="AQ69" s="2363"/>
      <c r="AR69" s="2363"/>
      <c r="AS69" s="2363"/>
      <c r="AT69" s="2363"/>
      <c r="AU69" s="2363"/>
      <c r="AV69" s="2363"/>
      <c r="AW69" s="2363"/>
      <c r="AX69" s="454"/>
      <c r="AY69" s="454"/>
      <c r="AZ69" s="454"/>
      <c r="BA69" s="454"/>
      <c r="BB69" s="454"/>
      <c r="BC69" s="454"/>
      <c r="BD69" s="454"/>
      <c r="BE69" s="454"/>
      <c r="BF69" s="454"/>
      <c r="BG69" s="422"/>
    </row>
    <row r="70" spans="1:59" s="401" customFormat="1" ht="17.25" customHeight="1">
      <c r="A70" s="2260"/>
      <c r="F70" s="2332"/>
      <c r="G70" s="2333"/>
      <c r="H70" s="2229" t="s">
        <v>3699</v>
      </c>
      <c r="I70" s="2229"/>
      <c r="J70" s="2229"/>
      <c r="K70" s="2229" t="s">
        <v>3700</v>
      </c>
      <c r="L70" s="2229"/>
      <c r="M70" s="2229">
        <v>2</v>
      </c>
      <c r="N70" s="2229"/>
      <c r="O70" s="2230" t="s">
        <v>3701</v>
      </c>
      <c r="P70" s="2231"/>
      <c r="Q70" s="2231"/>
      <c r="R70" s="257" t="s">
        <v>3702</v>
      </c>
      <c r="U70" s="2339" t="s">
        <v>3703</v>
      </c>
      <c r="V70" s="2298"/>
      <c r="W70" s="2297" t="s">
        <v>3704</v>
      </c>
      <c r="X70" s="2298"/>
      <c r="Y70" s="2298"/>
      <c r="Z70" s="2298"/>
      <c r="AA70" s="2298"/>
      <c r="AB70" s="2298"/>
      <c r="AC70" s="2298"/>
      <c r="AD70" s="2298"/>
      <c r="AE70" s="2298"/>
      <c r="AF70" s="2298"/>
      <c r="AG70" s="2298"/>
      <c r="AH70" s="2298"/>
      <c r="AI70" s="2298"/>
      <c r="AJ70" s="2299"/>
      <c r="AN70" s="2348" t="s">
        <v>3705</v>
      </c>
      <c r="AO70" s="2349"/>
      <c r="AP70" s="2349"/>
      <c r="AQ70" s="2349"/>
      <c r="AR70" s="2349"/>
      <c r="AS70" s="2349"/>
      <c r="AT70" s="2349"/>
      <c r="AU70" s="2349"/>
      <c r="AV70" s="2349"/>
      <c r="AW70" s="2349"/>
      <c r="AX70" s="454"/>
      <c r="AY70" s="454"/>
      <c r="AZ70" s="454"/>
      <c r="BA70" s="454"/>
      <c r="BB70" s="454"/>
      <c r="BC70" s="454"/>
      <c r="BD70" s="454"/>
      <c r="BE70" s="454"/>
      <c r="BF70" s="454"/>
      <c r="BG70" s="422"/>
    </row>
    <row r="71" spans="1:59" s="401" customFormat="1">
      <c r="A71" s="2260"/>
      <c r="F71" s="2332"/>
      <c r="G71" s="2333"/>
      <c r="H71" s="2232" t="s">
        <v>3706</v>
      </c>
      <c r="I71" s="2233"/>
      <c r="J71" s="2233"/>
      <c r="K71" s="2232" t="s">
        <v>3707</v>
      </c>
      <c r="L71" s="2233"/>
      <c r="M71" s="2232">
        <v>3</v>
      </c>
      <c r="N71" s="2233"/>
      <c r="O71" s="2234" t="s">
        <v>3708</v>
      </c>
      <c r="P71" s="2235"/>
      <c r="Q71" s="2235"/>
      <c r="R71" s="191" t="s">
        <v>3709</v>
      </c>
      <c r="U71" s="2340"/>
      <c r="V71" s="2298"/>
      <c r="W71" s="2298"/>
      <c r="X71" s="2298"/>
      <c r="Y71" s="2298"/>
      <c r="Z71" s="2298"/>
      <c r="AA71" s="2298"/>
      <c r="AB71" s="2298"/>
      <c r="AC71" s="2298"/>
      <c r="AD71" s="2298"/>
      <c r="AE71" s="2298"/>
      <c r="AF71" s="2298"/>
      <c r="AG71" s="2298"/>
      <c r="AH71" s="2298"/>
      <c r="AI71" s="2298"/>
      <c r="AJ71" s="2299"/>
      <c r="AN71" s="2349"/>
      <c r="AO71" s="2349"/>
      <c r="AP71" s="2349"/>
      <c r="AQ71" s="2349"/>
      <c r="AR71" s="2349"/>
      <c r="AS71" s="2349"/>
      <c r="AT71" s="2349"/>
      <c r="AU71" s="2349"/>
      <c r="AV71" s="2349"/>
      <c r="AW71" s="2349"/>
    </row>
    <row r="72" spans="1:59" s="401" customFormat="1">
      <c r="A72" s="2260"/>
      <c r="F72" s="2332"/>
      <c r="G72" s="2333"/>
      <c r="H72" s="2229" t="s">
        <v>3710</v>
      </c>
      <c r="I72" s="2229"/>
      <c r="J72" s="2229"/>
      <c r="K72" s="2229" t="s">
        <v>3711</v>
      </c>
      <c r="L72" s="2229"/>
      <c r="M72" s="2229">
        <v>4</v>
      </c>
      <c r="N72" s="2229"/>
      <c r="O72" s="2230" t="s">
        <v>3712</v>
      </c>
      <c r="P72" s="2231"/>
      <c r="Q72" s="2231"/>
      <c r="R72" s="257" t="s">
        <v>3713</v>
      </c>
      <c r="U72" s="2340"/>
      <c r="V72" s="2298"/>
      <c r="W72" s="2298"/>
      <c r="X72" s="2298"/>
      <c r="Y72" s="2298"/>
      <c r="Z72" s="2298"/>
      <c r="AA72" s="2298"/>
      <c r="AB72" s="2298"/>
      <c r="AC72" s="2298"/>
      <c r="AD72" s="2298"/>
      <c r="AE72" s="2298"/>
      <c r="AF72" s="2298"/>
      <c r="AG72" s="2298"/>
      <c r="AH72" s="2298"/>
      <c r="AI72" s="2298"/>
      <c r="AJ72" s="2299"/>
      <c r="AN72" s="2349"/>
      <c r="AO72" s="2349"/>
      <c r="AP72" s="2349"/>
      <c r="AQ72" s="2349"/>
      <c r="AR72" s="2349"/>
      <c r="AS72" s="2349"/>
      <c r="AT72" s="2349"/>
      <c r="AU72" s="2349"/>
      <c r="AV72" s="2349"/>
      <c r="AW72" s="2349"/>
    </row>
    <row r="73" spans="1:59" s="401" customFormat="1">
      <c r="A73" s="2260"/>
      <c r="F73" s="2334"/>
      <c r="G73" s="2335"/>
      <c r="H73" s="2262" t="s">
        <v>3714</v>
      </c>
      <c r="I73" s="2263"/>
      <c r="J73" s="2263"/>
      <c r="K73" s="2262" t="s">
        <v>3715</v>
      </c>
      <c r="L73" s="2263"/>
      <c r="M73" s="2262">
        <v>5</v>
      </c>
      <c r="N73" s="2263"/>
      <c r="O73" s="2425" t="s">
        <v>3716</v>
      </c>
      <c r="P73" s="2426"/>
      <c r="Q73" s="2426"/>
      <c r="R73" s="450" t="s">
        <v>3717</v>
      </c>
      <c r="U73" s="2300" t="s">
        <v>3718</v>
      </c>
      <c r="V73" s="2301"/>
      <c r="W73" s="2350" t="s">
        <v>3719</v>
      </c>
      <c r="X73" s="2301"/>
      <c r="Y73" s="2301"/>
      <c r="Z73" s="2301"/>
      <c r="AA73" s="2301"/>
      <c r="AB73" s="2301"/>
      <c r="AC73" s="2301"/>
      <c r="AD73" s="2301"/>
      <c r="AE73" s="2301"/>
      <c r="AF73" s="2301"/>
      <c r="AG73" s="2301"/>
      <c r="AH73" s="2301"/>
      <c r="AI73" s="2301"/>
      <c r="AJ73" s="2351"/>
      <c r="AN73" s="2349"/>
      <c r="AO73" s="2349"/>
      <c r="AP73" s="2349"/>
      <c r="AQ73" s="2349"/>
      <c r="AR73" s="2349"/>
      <c r="AS73" s="2349"/>
      <c r="AT73" s="2349"/>
      <c r="AU73" s="2349"/>
      <c r="AV73" s="2349"/>
      <c r="AW73" s="2349"/>
    </row>
    <row r="74" spans="1:59" s="401" customFormat="1">
      <c r="A74" s="2260"/>
      <c r="F74" s="2329" t="s">
        <v>3720</v>
      </c>
      <c r="G74" s="2329"/>
      <c r="H74" s="2329"/>
      <c r="I74" s="2329"/>
      <c r="J74" s="2329"/>
      <c r="K74" s="2329"/>
      <c r="L74" s="2329"/>
      <c r="M74" s="2329"/>
      <c r="N74" s="2329"/>
      <c r="U74" s="2345"/>
      <c r="V74" s="2301"/>
      <c r="W74" s="2301"/>
      <c r="X74" s="2301"/>
      <c r="Y74" s="2301"/>
      <c r="Z74" s="2301"/>
      <c r="AA74" s="2301"/>
      <c r="AB74" s="2301"/>
      <c r="AC74" s="2301"/>
      <c r="AD74" s="2301"/>
      <c r="AE74" s="2301"/>
      <c r="AF74" s="2301"/>
      <c r="AG74" s="2301"/>
      <c r="AH74" s="2301"/>
      <c r="AI74" s="2301"/>
      <c r="AJ74" s="2351"/>
      <c r="AN74" s="422"/>
      <c r="AO74" s="422"/>
      <c r="AP74" s="422"/>
      <c r="AQ74" s="422"/>
      <c r="AR74" s="422"/>
      <c r="AS74" s="422"/>
      <c r="AT74" s="422"/>
      <c r="AU74" s="422"/>
      <c r="AV74" s="422"/>
      <c r="AW74" s="422"/>
    </row>
    <row r="75" spans="1:59" s="401" customFormat="1">
      <c r="A75" s="2260"/>
      <c r="F75" s="2329"/>
      <c r="G75" s="2329"/>
      <c r="H75" s="2329"/>
      <c r="I75" s="2329"/>
      <c r="J75" s="2329"/>
      <c r="K75" s="2329"/>
      <c r="L75" s="2329"/>
      <c r="M75" s="2329"/>
      <c r="N75" s="2329"/>
      <c r="U75" s="2302"/>
      <c r="V75" s="2301"/>
      <c r="W75" s="2301"/>
      <c r="X75" s="2301"/>
      <c r="Y75" s="2301"/>
      <c r="Z75" s="2301"/>
      <c r="AA75" s="2301"/>
      <c r="AB75" s="2301"/>
      <c r="AC75" s="2301"/>
      <c r="AD75" s="2301"/>
      <c r="AE75" s="2301"/>
      <c r="AF75" s="2301"/>
      <c r="AG75" s="2301"/>
      <c r="AH75" s="2301"/>
      <c r="AI75" s="2301"/>
      <c r="AJ75" s="2351"/>
      <c r="AO75" s="454"/>
      <c r="AP75" s="454"/>
      <c r="AQ75" s="454"/>
      <c r="AR75" s="454"/>
      <c r="AS75" s="454"/>
      <c r="AT75" s="454"/>
      <c r="AU75" s="454"/>
      <c r="AV75" s="454"/>
      <c r="AW75" s="454"/>
    </row>
    <row r="76" spans="1:59" s="401" customFormat="1">
      <c r="A76" s="2260"/>
      <c r="G76" s="422"/>
      <c r="H76" s="422"/>
      <c r="U76" s="2339" t="s">
        <v>3721</v>
      </c>
      <c r="V76" s="2298"/>
      <c r="W76" s="2297" t="s">
        <v>3722</v>
      </c>
      <c r="X76" s="2298"/>
      <c r="Y76" s="2298"/>
      <c r="Z76" s="2298"/>
      <c r="AA76" s="2298"/>
      <c r="AB76" s="2298"/>
      <c r="AC76" s="2298"/>
      <c r="AD76" s="2298"/>
      <c r="AE76" s="2298"/>
      <c r="AF76" s="2298"/>
      <c r="AG76" s="2298"/>
      <c r="AH76" s="2298"/>
      <c r="AI76" s="2298"/>
      <c r="AJ76" s="2299"/>
      <c r="AO76" s="454"/>
      <c r="AP76" s="454"/>
      <c r="AQ76" s="454"/>
      <c r="AR76" s="454"/>
      <c r="AS76" s="454"/>
      <c r="AT76" s="454"/>
      <c r="AU76" s="454"/>
      <c r="AV76" s="454"/>
      <c r="AW76" s="454"/>
    </row>
    <row r="77" spans="1:59" s="401" customFormat="1">
      <c r="A77" s="2260"/>
      <c r="U77" s="2340"/>
      <c r="V77" s="2298"/>
      <c r="W77" s="2298"/>
      <c r="X77" s="2298"/>
      <c r="Y77" s="2298"/>
      <c r="Z77" s="2298"/>
      <c r="AA77" s="2298"/>
      <c r="AB77" s="2298"/>
      <c r="AC77" s="2298"/>
      <c r="AD77" s="2298"/>
      <c r="AE77" s="2298"/>
      <c r="AF77" s="2298"/>
      <c r="AG77" s="2298"/>
      <c r="AH77" s="2298"/>
      <c r="AI77" s="2298"/>
      <c r="AJ77" s="2299"/>
      <c r="AO77" s="454"/>
      <c r="AP77" s="454"/>
      <c r="AQ77" s="454"/>
      <c r="AR77" s="454"/>
      <c r="AS77" s="454"/>
      <c r="AT77" s="454"/>
      <c r="AU77" s="454"/>
      <c r="AV77" s="454"/>
      <c r="AW77" s="454"/>
    </row>
    <row r="78" spans="1:59" s="401" customFormat="1">
      <c r="A78" s="2260"/>
      <c r="U78" s="2340"/>
      <c r="V78" s="2298"/>
      <c r="W78" s="2298"/>
      <c r="X78" s="2298"/>
      <c r="Y78" s="2298"/>
      <c r="Z78" s="2298"/>
      <c r="AA78" s="2298"/>
      <c r="AB78" s="2298"/>
      <c r="AC78" s="2298"/>
      <c r="AD78" s="2298"/>
      <c r="AE78" s="2298"/>
      <c r="AF78" s="2298"/>
      <c r="AG78" s="2298"/>
      <c r="AH78" s="2298"/>
      <c r="AI78" s="2298"/>
      <c r="AJ78" s="2299"/>
      <c r="AO78" s="454"/>
      <c r="AP78" s="454"/>
      <c r="AQ78" s="454"/>
      <c r="AR78" s="454"/>
      <c r="AS78" s="454"/>
      <c r="AT78" s="454"/>
      <c r="AU78" s="454"/>
      <c r="AV78" s="454"/>
      <c r="AW78" s="454"/>
    </row>
    <row r="79" spans="1:59" s="401" customFormat="1">
      <c r="A79" s="2260"/>
      <c r="U79" s="2300" t="s">
        <v>3723</v>
      </c>
      <c r="V79" s="2301"/>
      <c r="W79" s="2350" t="s">
        <v>3724</v>
      </c>
      <c r="X79" s="2301"/>
      <c r="Y79" s="2301"/>
      <c r="Z79" s="2301"/>
      <c r="AA79" s="2301"/>
      <c r="AB79" s="2301"/>
      <c r="AC79" s="2301"/>
      <c r="AD79" s="2301"/>
      <c r="AE79" s="2301"/>
      <c r="AF79" s="2301"/>
      <c r="AG79" s="2301"/>
      <c r="AH79" s="2301"/>
      <c r="AI79" s="2301"/>
      <c r="AJ79" s="2351"/>
    </row>
    <row r="80" spans="1:59" s="401" customFormat="1">
      <c r="A80" s="2260"/>
      <c r="U80" s="2302"/>
      <c r="V80" s="2301"/>
      <c r="W80" s="2301"/>
      <c r="X80" s="2301"/>
      <c r="Y80" s="2301"/>
      <c r="Z80" s="2301"/>
      <c r="AA80" s="2301"/>
      <c r="AB80" s="2301"/>
      <c r="AC80" s="2301"/>
      <c r="AD80" s="2301"/>
      <c r="AE80" s="2301"/>
      <c r="AF80" s="2301"/>
      <c r="AG80" s="2301"/>
      <c r="AH80" s="2301"/>
      <c r="AI80" s="2301"/>
      <c r="AJ80" s="2351"/>
    </row>
    <row r="81" spans="1:52" s="401" customFormat="1">
      <c r="A81" s="2260"/>
      <c r="U81" s="2302"/>
      <c r="V81" s="2301"/>
      <c r="W81" s="2301"/>
      <c r="X81" s="2301"/>
      <c r="Y81" s="2301"/>
      <c r="Z81" s="2301"/>
      <c r="AA81" s="2301"/>
      <c r="AB81" s="2301"/>
      <c r="AC81" s="2301"/>
      <c r="AD81" s="2301"/>
      <c r="AE81" s="2301"/>
      <c r="AF81" s="2301"/>
      <c r="AG81" s="2301"/>
      <c r="AH81" s="2301"/>
      <c r="AI81" s="2301"/>
      <c r="AJ81" s="2351"/>
    </row>
    <row r="82" spans="1:52" s="401" customFormat="1">
      <c r="A82" s="2260"/>
      <c r="U82" s="2339" t="s">
        <v>3725</v>
      </c>
      <c r="V82" s="2298"/>
      <c r="W82" s="2298"/>
      <c r="X82" s="2298"/>
      <c r="Y82" s="2298"/>
      <c r="Z82" s="2298"/>
      <c r="AA82" s="2298"/>
      <c r="AB82" s="2298"/>
      <c r="AC82" s="2298"/>
      <c r="AD82" s="2298"/>
      <c r="AE82" s="2298"/>
      <c r="AF82" s="2298"/>
      <c r="AG82" s="2298"/>
      <c r="AH82" s="2298"/>
      <c r="AI82" s="2298"/>
      <c r="AJ82" s="2299"/>
    </row>
    <row r="83" spans="1:52" s="401" customFormat="1">
      <c r="A83" s="2260"/>
      <c r="U83" s="2340"/>
      <c r="V83" s="2298"/>
      <c r="W83" s="2298"/>
      <c r="X83" s="2298"/>
      <c r="Y83" s="2298"/>
      <c r="Z83" s="2298"/>
      <c r="AA83" s="2298"/>
      <c r="AB83" s="2298"/>
      <c r="AC83" s="2298"/>
      <c r="AD83" s="2298"/>
      <c r="AE83" s="2298"/>
      <c r="AF83" s="2298"/>
      <c r="AG83" s="2298"/>
      <c r="AH83" s="2298"/>
      <c r="AI83" s="2298"/>
      <c r="AJ83" s="2299"/>
    </row>
    <row r="84" spans="1:52" s="401" customFormat="1">
      <c r="A84" s="2261"/>
      <c r="U84" s="2341"/>
      <c r="V84" s="2342"/>
      <c r="W84" s="2342"/>
      <c r="X84" s="2342"/>
      <c r="Y84" s="2342"/>
      <c r="Z84" s="2342"/>
      <c r="AA84" s="2342"/>
      <c r="AB84" s="2342"/>
      <c r="AC84" s="2342"/>
      <c r="AD84" s="2342"/>
      <c r="AE84" s="2342"/>
      <c r="AF84" s="2342"/>
      <c r="AG84" s="2342"/>
      <c r="AH84" s="2342"/>
      <c r="AI84" s="2342"/>
      <c r="AJ84" s="2343"/>
    </row>
    <row r="85" spans="1:52" s="401" customFormat="1">
      <c r="A85" s="402"/>
    </row>
    <row r="86" spans="1:52" s="401" customFormat="1">
      <c r="A86" s="402"/>
      <c r="B86" s="2196" t="s">
        <v>3726</v>
      </c>
      <c r="C86" s="2197"/>
      <c r="D86" s="2197"/>
      <c r="E86" s="2197"/>
      <c r="F86" s="2197"/>
      <c r="G86" s="2197"/>
      <c r="H86" s="2197"/>
      <c r="I86" s="2197"/>
      <c r="J86" s="2197"/>
      <c r="K86" s="2197"/>
      <c r="L86" s="2197"/>
      <c r="M86" s="2197"/>
      <c r="N86" s="2197"/>
      <c r="O86" s="2197"/>
      <c r="P86" s="2197"/>
      <c r="Q86" s="2197"/>
      <c r="R86" s="2197"/>
      <c r="S86" s="2197"/>
      <c r="T86" s="2197"/>
      <c r="U86" s="2197"/>
      <c r="V86" s="2197"/>
      <c r="W86" s="2197"/>
      <c r="X86" s="2197"/>
      <c r="Y86" s="2197"/>
      <c r="Z86" s="2197"/>
      <c r="AA86" s="2197"/>
      <c r="AB86" s="2197"/>
      <c r="AC86" s="2197"/>
      <c r="AD86" s="2197"/>
      <c r="AE86" s="2197"/>
      <c r="AF86" s="2197"/>
      <c r="AG86" s="2197"/>
      <c r="AH86" s="2197"/>
      <c r="AI86" s="2197"/>
      <c r="AJ86" s="2197"/>
      <c r="AK86" s="2197"/>
      <c r="AL86" s="2197"/>
      <c r="AM86" s="2197"/>
      <c r="AN86" s="2197"/>
      <c r="AO86" s="2197"/>
      <c r="AP86" s="2197"/>
      <c r="AQ86" s="2197"/>
      <c r="AR86" s="2197"/>
      <c r="AS86" s="2197"/>
      <c r="AT86" s="2197"/>
      <c r="AU86" s="2198"/>
    </row>
    <row r="87" spans="1:52" s="401" customFormat="1">
      <c r="A87" s="402"/>
      <c r="B87" s="2199"/>
      <c r="C87" s="2200"/>
      <c r="D87" s="2200"/>
      <c r="E87" s="2200"/>
      <c r="F87" s="2200"/>
      <c r="G87" s="2200"/>
      <c r="H87" s="2200"/>
      <c r="I87" s="2200"/>
      <c r="J87" s="2200"/>
      <c r="K87" s="2200"/>
      <c r="L87" s="2200"/>
      <c r="M87" s="2200"/>
      <c r="N87" s="2200"/>
      <c r="O87" s="2200"/>
      <c r="P87" s="2200"/>
      <c r="Q87" s="2200"/>
      <c r="R87" s="2200"/>
      <c r="S87" s="2200"/>
      <c r="T87" s="2200"/>
      <c r="U87" s="2200"/>
      <c r="V87" s="2200"/>
      <c r="W87" s="2200"/>
      <c r="X87" s="2200"/>
      <c r="Y87" s="2200"/>
      <c r="Z87" s="2200"/>
      <c r="AA87" s="2200"/>
      <c r="AB87" s="2200"/>
      <c r="AC87" s="2200"/>
      <c r="AD87" s="2200"/>
      <c r="AE87" s="2200"/>
      <c r="AF87" s="2200"/>
      <c r="AG87" s="2200"/>
      <c r="AH87" s="2200"/>
      <c r="AI87" s="2200"/>
      <c r="AJ87" s="2200"/>
      <c r="AK87" s="2200"/>
      <c r="AL87" s="2200"/>
      <c r="AM87" s="2200"/>
      <c r="AN87" s="2200"/>
      <c r="AO87" s="2200"/>
      <c r="AP87" s="2200"/>
      <c r="AQ87" s="2200"/>
      <c r="AR87" s="2200"/>
      <c r="AS87" s="2200"/>
      <c r="AT87" s="2200"/>
      <c r="AU87" s="2201"/>
    </row>
    <row r="88" spans="1:52" s="401" customFormat="1">
      <c r="A88" s="402"/>
      <c r="B88" s="2202"/>
      <c r="C88" s="2203"/>
      <c r="D88" s="2203"/>
      <c r="E88" s="2203"/>
      <c r="F88" s="2203"/>
      <c r="G88" s="2203"/>
      <c r="H88" s="2203"/>
      <c r="I88" s="2203"/>
      <c r="J88" s="2203"/>
      <c r="K88" s="2203"/>
      <c r="L88" s="2203"/>
      <c r="M88" s="2203"/>
      <c r="N88" s="2203"/>
      <c r="O88" s="2203"/>
      <c r="P88" s="2203"/>
      <c r="Q88" s="2203"/>
      <c r="R88" s="2203"/>
      <c r="S88" s="2203"/>
      <c r="T88" s="2203"/>
      <c r="U88" s="2203"/>
      <c r="V88" s="2203"/>
      <c r="W88" s="2203"/>
      <c r="X88" s="2203"/>
      <c r="Y88" s="2203"/>
      <c r="Z88" s="2203"/>
      <c r="AA88" s="2203"/>
      <c r="AB88" s="2203"/>
      <c r="AC88" s="2203"/>
      <c r="AD88" s="2203"/>
      <c r="AE88" s="2203"/>
      <c r="AF88" s="2203"/>
      <c r="AG88" s="2203"/>
      <c r="AH88" s="2203"/>
      <c r="AI88" s="2203"/>
      <c r="AJ88" s="2203"/>
      <c r="AK88" s="2203"/>
      <c r="AL88" s="2203"/>
      <c r="AM88" s="2203"/>
      <c r="AN88" s="2203"/>
      <c r="AO88" s="2203"/>
      <c r="AP88" s="2203"/>
      <c r="AQ88" s="2203"/>
      <c r="AR88" s="2203"/>
      <c r="AS88" s="2203"/>
      <c r="AT88" s="2203"/>
      <c r="AU88" s="2204"/>
    </row>
    <row r="89" spans="1:52" s="401" customFormat="1">
      <c r="A89" s="402"/>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c r="AA89" s="180"/>
      <c r="AB89" s="180"/>
      <c r="AC89" s="180"/>
      <c r="AD89" s="180"/>
      <c r="AE89" s="180"/>
      <c r="AF89" s="180"/>
      <c r="AG89" s="180"/>
      <c r="AH89" s="180"/>
      <c r="AI89" s="180"/>
      <c r="AJ89" s="180"/>
      <c r="AK89" s="180"/>
      <c r="AL89" s="180"/>
      <c r="AM89" s="180"/>
      <c r="AN89" s="180"/>
      <c r="AO89" s="180"/>
      <c r="AP89" s="180"/>
      <c r="AQ89" s="180"/>
      <c r="AR89" s="180"/>
      <c r="AS89" s="180"/>
      <c r="AT89" s="180"/>
      <c r="AU89" s="180"/>
    </row>
    <row r="90" spans="1:52" s="401" customFormat="1" ht="18" customHeight="1">
      <c r="A90" s="402"/>
      <c r="B90" s="2288" t="s">
        <v>3727</v>
      </c>
      <c r="C90" s="2289"/>
      <c r="D90" s="2289"/>
      <c r="E90" s="2289"/>
      <c r="F90" s="2289"/>
      <c r="G90" s="2289"/>
      <c r="H90" s="2289"/>
      <c r="I90" s="2289"/>
      <c r="J90" s="2289"/>
      <c r="K90" s="2289"/>
      <c r="L90" s="2289"/>
      <c r="M90" s="2289"/>
      <c r="N90" s="2289"/>
      <c r="O90" s="2289"/>
      <c r="P90" s="2289"/>
      <c r="Q90" s="2289"/>
      <c r="R90" s="2289"/>
      <c r="S90" s="2289"/>
      <c r="T90" s="2289"/>
      <c r="U90" s="2289"/>
      <c r="V90" s="2289"/>
      <c r="W90" s="2290"/>
      <c r="X90" s="180"/>
      <c r="Y90" s="180"/>
      <c r="Z90" s="2288" t="s">
        <v>3728</v>
      </c>
      <c r="AA90" s="2289"/>
      <c r="AB90" s="2289"/>
      <c r="AC90" s="2289"/>
      <c r="AD90" s="2289"/>
      <c r="AE90" s="2289"/>
      <c r="AF90" s="2289"/>
      <c r="AG90" s="2289"/>
      <c r="AH90" s="2289"/>
      <c r="AI90" s="2289"/>
      <c r="AJ90" s="2289"/>
      <c r="AK90" s="2289"/>
      <c r="AL90" s="2289"/>
      <c r="AM90" s="2289"/>
      <c r="AN90" s="2289"/>
      <c r="AO90" s="2289"/>
      <c r="AP90" s="2289"/>
      <c r="AQ90" s="2289"/>
      <c r="AR90" s="2289"/>
      <c r="AS90" s="2289"/>
      <c r="AT90" s="2289"/>
      <c r="AU90" s="2290"/>
    </row>
    <row r="91" spans="1:52" s="401" customFormat="1" ht="18" customHeight="1">
      <c r="A91" s="402"/>
      <c r="B91" s="2294"/>
      <c r="C91" s="2295"/>
      <c r="D91" s="2295"/>
      <c r="E91" s="2295"/>
      <c r="F91" s="2295"/>
      <c r="G91" s="2295"/>
      <c r="H91" s="2295"/>
      <c r="I91" s="2295"/>
      <c r="J91" s="2295"/>
      <c r="K91" s="2295"/>
      <c r="L91" s="2295"/>
      <c r="M91" s="2295"/>
      <c r="N91" s="2295"/>
      <c r="O91" s="2295"/>
      <c r="P91" s="2295"/>
      <c r="Q91" s="2295"/>
      <c r="R91" s="2295"/>
      <c r="S91" s="2295"/>
      <c r="T91" s="2295"/>
      <c r="U91" s="2295"/>
      <c r="V91" s="2295"/>
      <c r="W91" s="2296"/>
      <c r="X91" s="180"/>
      <c r="Y91" s="180"/>
      <c r="Z91" s="2294"/>
      <c r="AA91" s="2295"/>
      <c r="AB91" s="2295"/>
      <c r="AC91" s="2295"/>
      <c r="AD91" s="2295"/>
      <c r="AE91" s="2295"/>
      <c r="AF91" s="2295"/>
      <c r="AG91" s="2295"/>
      <c r="AH91" s="2295"/>
      <c r="AI91" s="2295"/>
      <c r="AJ91" s="2295"/>
      <c r="AK91" s="2295"/>
      <c r="AL91" s="2295"/>
      <c r="AM91" s="2295"/>
      <c r="AN91" s="2295"/>
      <c r="AO91" s="2295"/>
      <c r="AP91" s="2295"/>
      <c r="AQ91" s="2295"/>
      <c r="AR91" s="2295"/>
      <c r="AS91" s="2295"/>
      <c r="AT91" s="2295"/>
      <c r="AU91" s="2296"/>
    </row>
    <row r="92" spans="1:52" s="401" customFormat="1">
      <c r="A92" s="402"/>
      <c r="B92" s="2173" t="s">
        <v>3729</v>
      </c>
      <c r="C92" s="2174"/>
      <c r="D92" s="2174"/>
      <c r="E92" s="2174"/>
      <c r="F92" s="2174"/>
      <c r="G92" s="2174"/>
      <c r="H92" s="2174"/>
      <c r="I92" s="2174"/>
      <c r="J92" s="2174"/>
      <c r="K92" s="2174"/>
      <c r="L92" s="2174"/>
      <c r="M92" s="2321" t="s">
        <v>3730</v>
      </c>
      <c r="N92" s="2322"/>
      <c r="O92" s="2322"/>
      <c r="P92" s="2322"/>
      <c r="Q92" s="2322"/>
      <c r="R92" s="2322"/>
      <c r="S92" s="2322"/>
      <c r="T92" s="2322"/>
      <c r="U92" s="2322"/>
      <c r="V92" s="2322"/>
      <c r="W92" s="2323"/>
      <c r="X92" s="180"/>
      <c r="Y92" s="180"/>
      <c r="Z92" s="2420" t="s">
        <v>3731</v>
      </c>
      <c r="AA92" s="2421"/>
      <c r="AB92" s="2421"/>
      <c r="AC92" s="2421"/>
      <c r="AD92" s="2421"/>
      <c r="AE92" s="2421"/>
      <c r="AF92" s="2421"/>
      <c r="AG92" s="2421"/>
      <c r="AH92" s="2421"/>
      <c r="AI92" s="2421"/>
      <c r="AJ92" s="2421"/>
      <c r="AK92" s="2422"/>
      <c r="AL92" s="2422"/>
      <c r="AM92" s="2421"/>
      <c r="AN92" s="2421"/>
      <c r="AO92" s="2421"/>
      <c r="AP92" s="2423"/>
      <c r="AQ92" s="2421"/>
      <c r="AR92" s="2421"/>
      <c r="AS92" s="2421"/>
      <c r="AT92" s="2423"/>
      <c r="AU92" s="2424"/>
      <c r="AX92" s="422"/>
      <c r="AY92" s="422"/>
      <c r="AZ92" s="422"/>
    </row>
    <row r="93" spans="1:52" s="401" customFormat="1">
      <c r="A93" s="402"/>
      <c r="B93" s="2176"/>
      <c r="C93" s="2177"/>
      <c r="D93" s="2177"/>
      <c r="E93" s="2177"/>
      <c r="F93" s="2177"/>
      <c r="G93" s="2177"/>
      <c r="H93" s="2177"/>
      <c r="I93" s="2177"/>
      <c r="J93" s="2177"/>
      <c r="K93" s="2177"/>
      <c r="L93" s="2177"/>
      <c r="M93" s="2324"/>
      <c r="N93" s="2325"/>
      <c r="O93" s="2325"/>
      <c r="P93" s="2325"/>
      <c r="Q93" s="2325"/>
      <c r="R93" s="2325"/>
      <c r="S93" s="2325"/>
      <c r="T93" s="2325"/>
      <c r="U93" s="2325"/>
      <c r="V93" s="2325"/>
      <c r="W93" s="2326"/>
      <c r="X93" s="180"/>
      <c r="Y93" s="180"/>
      <c r="Z93" s="2173" t="s">
        <v>3732</v>
      </c>
      <c r="AA93" s="2322"/>
      <c r="AB93" s="2322"/>
      <c r="AC93" s="2322"/>
      <c r="AD93" s="2322"/>
      <c r="AE93" s="2322"/>
      <c r="AF93" s="2322"/>
      <c r="AG93" s="2322"/>
      <c r="AH93" s="2322"/>
      <c r="AI93" s="2322"/>
      <c r="AJ93" s="2322"/>
      <c r="AK93" s="2321" t="s">
        <v>3733</v>
      </c>
      <c r="AL93" s="2322"/>
      <c r="AM93" s="2322"/>
      <c r="AN93" s="2322"/>
      <c r="AO93" s="2322"/>
      <c r="AP93" s="2322"/>
      <c r="AQ93" s="2322"/>
      <c r="AR93" s="2322"/>
      <c r="AS93" s="2322"/>
      <c r="AT93" s="2322"/>
      <c r="AU93" s="2323"/>
      <c r="AX93" s="422"/>
      <c r="AY93" s="422"/>
      <c r="AZ93" s="422"/>
    </row>
    <row r="94" spans="1:52" s="401" customFormat="1">
      <c r="A94" s="402"/>
      <c r="B94" s="2176"/>
      <c r="C94" s="2177"/>
      <c r="D94" s="2177"/>
      <c r="E94" s="2177"/>
      <c r="F94" s="2177"/>
      <c r="G94" s="2177"/>
      <c r="H94" s="2177"/>
      <c r="I94" s="2177"/>
      <c r="J94" s="2177"/>
      <c r="K94" s="2177"/>
      <c r="L94" s="2177"/>
      <c r="M94" s="2321" t="s">
        <v>3734</v>
      </c>
      <c r="N94" s="2322"/>
      <c r="O94" s="2322"/>
      <c r="P94" s="2322"/>
      <c r="Q94" s="2322"/>
      <c r="R94" s="2322"/>
      <c r="S94" s="2322"/>
      <c r="T94" s="2322"/>
      <c r="U94" s="2322"/>
      <c r="V94" s="2322"/>
      <c r="W94" s="2323"/>
      <c r="X94" s="180"/>
      <c r="Y94" s="180"/>
      <c r="Z94" s="1871"/>
      <c r="AA94" s="1845"/>
      <c r="AB94" s="1845"/>
      <c r="AC94" s="1845"/>
      <c r="AD94" s="1845"/>
      <c r="AE94" s="1845"/>
      <c r="AF94" s="1845"/>
      <c r="AG94" s="1845"/>
      <c r="AH94" s="1845"/>
      <c r="AI94" s="1845"/>
      <c r="AJ94" s="1845"/>
      <c r="AK94" s="2408"/>
      <c r="AL94" s="1845"/>
      <c r="AM94" s="1845"/>
      <c r="AN94" s="1845"/>
      <c r="AO94" s="1845"/>
      <c r="AP94" s="1845"/>
      <c r="AQ94" s="1845"/>
      <c r="AR94" s="1845"/>
      <c r="AS94" s="1845"/>
      <c r="AT94" s="1845"/>
      <c r="AU94" s="2409"/>
      <c r="AX94" s="422"/>
      <c r="AY94" s="422"/>
      <c r="AZ94" s="422"/>
    </row>
    <row r="95" spans="1:52" s="401" customFormat="1">
      <c r="A95" s="402"/>
      <c r="B95" s="2176"/>
      <c r="C95" s="2177"/>
      <c r="D95" s="2177"/>
      <c r="E95" s="2177"/>
      <c r="F95" s="2177"/>
      <c r="G95" s="2177"/>
      <c r="H95" s="2177"/>
      <c r="I95" s="2177"/>
      <c r="J95" s="2177"/>
      <c r="K95" s="2177"/>
      <c r="L95" s="2177"/>
      <c r="M95" s="2324"/>
      <c r="N95" s="2325"/>
      <c r="O95" s="2325"/>
      <c r="P95" s="2325"/>
      <c r="Q95" s="2325"/>
      <c r="R95" s="2325"/>
      <c r="S95" s="2325"/>
      <c r="T95" s="2325"/>
      <c r="U95" s="2325"/>
      <c r="V95" s="2325"/>
      <c r="W95" s="2326"/>
      <c r="X95" s="180"/>
      <c r="Y95" s="180"/>
      <c r="Z95" s="1871"/>
      <c r="AA95" s="1845"/>
      <c r="AB95" s="1845"/>
      <c r="AC95" s="1845"/>
      <c r="AD95" s="1845"/>
      <c r="AE95" s="1845"/>
      <c r="AF95" s="1845"/>
      <c r="AG95" s="1845"/>
      <c r="AH95" s="1845"/>
      <c r="AI95" s="1845"/>
      <c r="AJ95" s="1845"/>
      <c r="AK95" s="2408"/>
      <c r="AL95" s="1845"/>
      <c r="AM95" s="1845"/>
      <c r="AN95" s="1845"/>
      <c r="AO95" s="1845"/>
      <c r="AP95" s="1845"/>
      <c r="AQ95" s="1845"/>
      <c r="AR95" s="1845"/>
      <c r="AS95" s="1845"/>
      <c r="AT95" s="1845"/>
      <c r="AU95" s="2409"/>
      <c r="AX95" s="422"/>
      <c r="AY95" s="422"/>
      <c r="AZ95" s="422"/>
    </row>
    <row r="96" spans="1:52" s="401" customFormat="1">
      <c r="A96" s="402"/>
      <c r="B96" s="2176"/>
      <c r="C96" s="2177"/>
      <c r="D96" s="2177"/>
      <c r="E96" s="2177"/>
      <c r="F96" s="2177"/>
      <c r="G96" s="2177"/>
      <c r="H96" s="2177"/>
      <c r="I96" s="2177"/>
      <c r="J96" s="2177"/>
      <c r="K96" s="2177"/>
      <c r="L96" s="2177"/>
      <c r="M96" s="2399" t="s">
        <v>3735</v>
      </c>
      <c r="N96" s="2400"/>
      <c r="O96" s="2400"/>
      <c r="P96" s="2400"/>
      <c r="Q96" s="2400"/>
      <c r="R96" s="2400"/>
      <c r="S96" s="2400"/>
      <c r="T96" s="2400"/>
      <c r="U96" s="2400"/>
      <c r="V96" s="2400"/>
      <c r="W96" s="2401"/>
      <c r="X96" s="180"/>
      <c r="Y96" s="180"/>
      <c r="Z96" s="2405"/>
      <c r="AA96" s="2406"/>
      <c r="AB96" s="2406"/>
      <c r="AC96" s="2406"/>
      <c r="AD96" s="2406"/>
      <c r="AE96" s="2406"/>
      <c r="AF96" s="2406"/>
      <c r="AG96" s="2406"/>
      <c r="AH96" s="2406"/>
      <c r="AI96" s="2406"/>
      <c r="AJ96" s="2407"/>
      <c r="AK96" s="2328"/>
      <c r="AL96" s="1846"/>
      <c r="AM96" s="1846"/>
      <c r="AN96" s="1846"/>
      <c r="AO96" s="1846"/>
      <c r="AP96" s="1846"/>
      <c r="AQ96" s="1846"/>
      <c r="AR96" s="1846"/>
      <c r="AS96" s="1846"/>
      <c r="AT96" s="1846"/>
      <c r="AU96" s="2158"/>
      <c r="AX96" s="422"/>
      <c r="AY96" s="422"/>
      <c r="AZ96" s="422"/>
    </row>
    <row r="97" spans="1:52" s="401" customFormat="1">
      <c r="A97" s="402"/>
      <c r="B97" s="2176"/>
      <c r="C97" s="2177"/>
      <c r="D97" s="2177"/>
      <c r="E97" s="2177"/>
      <c r="F97" s="2177"/>
      <c r="G97" s="2177"/>
      <c r="H97" s="2177"/>
      <c r="I97" s="2177"/>
      <c r="J97" s="2177"/>
      <c r="K97" s="2177"/>
      <c r="L97" s="2177"/>
      <c r="M97" s="2402"/>
      <c r="N97" s="2403"/>
      <c r="O97" s="2403"/>
      <c r="P97" s="2403"/>
      <c r="Q97" s="2403"/>
      <c r="R97" s="2403"/>
      <c r="S97" s="2403"/>
      <c r="T97" s="2403"/>
      <c r="U97" s="2403"/>
      <c r="V97" s="2403"/>
      <c r="W97" s="2404"/>
      <c r="X97" s="180"/>
      <c r="Y97" s="180"/>
      <c r="Z97" s="451"/>
      <c r="AA97" s="451"/>
      <c r="AB97" s="451"/>
      <c r="AC97" s="451"/>
      <c r="AD97" s="451"/>
      <c r="AE97" s="451"/>
      <c r="AF97" s="451"/>
      <c r="AG97" s="451"/>
      <c r="AH97" s="451"/>
      <c r="AI97" s="451"/>
      <c r="AJ97" s="451"/>
      <c r="AK97" s="451"/>
      <c r="AL97" s="451"/>
      <c r="AM97" s="451"/>
      <c r="AN97" s="451"/>
      <c r="AO97" s="451"/>
      <c r="AP97" s="451"/>
      <c r="AQ97" s="451"/>
      <c r="AR97" s="451"/>
      <c r="AS97" s="451"/>
      <c r="AT97" s="451"/>
      <c r="AU97" s="451"/>
      <c r="AX97" s="422"/>
      <c r="AY97" s="422"/>
      <c r="AZ97" s="422"/>
    </row>
    <row r="98" spans="1:52" s="401" customFormat="1" ht="28">
      <c r="A98" s="402"/>
      <c r="B98" s="2176"/>
      <c r="C98" s="2177"/>
      <c r="D98" s="2177"/>
      <c r="E98" s="2177"/>
      <c r="F98" s="2177"/>
      <c r="G98" s="2177"/>
      <c r="H98" s="2177"/>
      <c r="I98" s="2177"/>
      <c r="J98" s="2177"/>
      <c r="K98" s="2177"/>
      <c r="L98" s="2177"/>
      <c r="M98" s="2321" t="s">
        <v>3736</v>
      </c>
      <c r="N98" s="2322"/>
      <c r="O98" s="2322"/>
      <c r="P98" s="2322"/>
      <c r="Q98" s="2322"/>
      <c r="R98" s="2322"/>
      <c r="S98" s="2322"/>
      <c r="T98" s="2322"/>
      <c r="U98" s="2322"/>
      <c r="V98" s="2322"/>
      <c r="W98" s="2323"/>
      <c r="X98" s="180"/>
      <c r="Y98" s="180"/>
      <c r="Z98" s="2356"/>
      <c r="AA98" s="2356"/>
      <c r="AB98" s="2356"/>
      <c r="AC98" s="2356"/>
      <c r="AD98" s="2356"/>
      <c r="AE98" s="2356"/>
      <c r="AF98" s="2356"/>
      <c r="AG98" s="2356"/>
      <c r="AH98" s="184"/>
      <c r="AI98" s="2356"/>
      <c r="AJ98" s="2356"/>
      <c r="AK98" s="2356"/>
      <c r="AL98" s="2356"/>
      <c r="AM98" s="2356"/>
      <c r="AN98" s="2356"/>
      <c r="AO98" s="2356"/>
      <c r="AP98" s="2356"/>
      <c r="AQ98" s="2356"/>
      <c r="AR98" s="2356"/>
      <c r="AS98" s="2356"/>
      <c r="AT98" s="2356"/>
      <c r="AU98" s="2356"/>
      <c r="AV98" s="447"/>
      <c r="AW98" s="447"/>
      <c r="AX98" s="422"/>
      <c r="AY98" s="422"/>
      <c r="AZ98" s="422"/>
    </row>
    <row r="99" spans="1:52" s="401" customFormat="1" ht="16" customHeight="1">
      <c r="A99" s="402"/>
      <c r="B99" s="2176"/>
      <c r="C99" s="2177"/>
      <c r="D99" s="2177"/>
      <c r="E99" s="2177"/>
      <c r="F99" s="2177"/>
      <c r="G99" s="2177"/>
      <c r="H99" s="2177"/>
      <c r="I99" s="2177"/>
      <c r="J99" s="2177"/>
      <c r="K99" s="2177"/>
      <c r="L99" s="2177"/>
      <c r="M99" s="2324"/>
      <c r="N99" s="2325"/>
      <c r="O99" s="2325"/>
      <c r="P99" s="2325"/>
      <c r="Q99" s="2325"/>
      <c r="R99" s="2325"/>
      <c r="S99" s="2325"/>
      <c r="T99" s="2325"/>
      <c r="U99" s="2325"/>
      <c r="V99" s="2325"/>
      <c r="W99" s="2326"/>
      <c r="X99" s="180"/>
      <c r="Y99" s="180"/>
      <c r="Z99" s="2356"/>
      <c r="AA99" s="2356"/>
      <c r="AB99" s="2356"/>
      <c r="AC99" s="2356"/>
      <c r="AD99" s="2356"/>
      <c r="AE99" s="2356"/>
      <c r="AF99" s="2356"/>
      <c r="AG99" s="2356"/>
      <c r="AH99" s="184"/>
      <c r="AI99" s="2356"/>
      <c r="AJ99" s="2356"/>
      <c r="AK99" s="2356"/>
      <c r="AL99" s="2356"/>
      <c r="AM99" s="2356"/>
      <c r="AN99" s="2356"/>
      <c r="AO99" s="2356"/>
      <c r="AP99" s="2356"/>
      <c r="AQ99" s="2356"/>
      <c r="AR99" s="2356"/>
      <c r="AS99" s="2356"/>
      <c r="AT99" s="2356"/>
      <c r="AU99" s="2356"/>
      <c r="AV99" s="447"/>
      <c r="AW99" s="447"/>
      <c r="AX99" s="452"/>
      <c r="AY99" s="452"/>
      <c r="AZ99" s="452"/>
    </row>
    <row r="100" spans="1:52" s="401" customFormat="1" ht="17" customHeight="1">
      <c r="A100" s="402"/>
      <c r="B100" s="2176"/>
      <c r="C100" s="2177"/>
      <c r="D100" s="2177"/>
      <c r="E100" s="2177"/>
      <c r="F100" s="2177"/>
      <c r="G100" s="2177"/>
      <c r="H100" s="2177"/>
      <c r="I100" s="2177"/>
      <c r="J100" s="2177"/>
      <c r="K100" s="2177"/>
      <c r="L100" s="2177"/>
      <c r="M100" s="2327" t="s">
        <v>3737</v>
      </c>
      <c r="N100" s="2322"/>
      <c r="O100" s="2322"/>
      <c r="P100" s="2322"/>
      <c r="Q100" s="2322"/>
      <c r="R100" s="2322"/>
      <c r="S100" s="2322"/>
      <c r="T100" s="2322"/>
      <c r="U100" s="2322"/>
      <c r="V100" s="2322"/>
      <c r="W100" s="2323"/>
      <c r="X100" s="451"/>
      <c r="Y100" s="451"/>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405"/>
      <c r="AW100" s="405"/>
      <c r="AX100" s="452"/>
      <c r="AY100" s="452"/>
      <c r="AZ100" s="452"/>
    </row>
    <row r="101" spans="1:52" s="401" customFormat="1">
      <c r="A101" s="402"/>
      <c r="B101" s="2179"/>
      <c r="C101" s="2180"/>
      <c r="D101" s="2180"/>
      <c r="E101" s="2180"/>
      <c r="F101" s="2180"/>
      <c r="G101" s="2180"/>
      <c r="H101" s="2180"/>
      <c r="I101" s="2180"/>
      <c r="J101" s="2180"/>
      <c r="K101" s="2180"/>
      <c r="L101" s="2180"/>
      <c r="M101" s="2328"/>
      <c r="N101" s="1846"/>
      <c r="O101" s="1846"/>
      <c r="P101" s="1846"/>
      <c r="Q101" s="1846"/>
      <c r="R101" s="1846"/>
      <c r="S101" s="1846"/>
      <c r="T101" s="1846"/>
      <c r="U101" s="1846"/>
      <c r="V101" s="1846"/>
      <c r="W101" s="2158"/>
      <c r="X101" s="451"/>
      <c r="Y101" s="451"/>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405"/>
      <c r="AW101" s="405"/>
      <c r="AX101" s="2"/>
      <c r="AY101" s="2"/>
      <c r="AZ101" s="2"/>
    </row>
    <row r="102" spans="1:52" s="401" customFormat="1">
      <c r="A102" s="402"/>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451"/>
      <c r="Y102" s="451"/>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405"/>
      <c r="AW102" s="405"/>
      <c r="AX102" s="2"/>
      <c r="AY102" s="2"/>
      <c r="AZ102" s="2"/>
    </row>
    <row r="103" spans="1:52" s="401" customFormat="1">
      <c r="A103" s="402"/>
      <c r="B103" s="2196" t="s">
        <v>3738</v>
      </c>
      <c r="C103" s="2197"/>
      <c r="D103" s="2197"/>
      <c r="E103" s="2197"/>
      <c r="F103" s="2197"/>
      <c r="G103" s="2197"/>
      <c r="H103" s="2197"/>
      <c r="I103" s="2197"/>
      <c r="J103" s="2197"/>
      <c r="K103" s="2197"/>
      <c r="L103" s="2197"/>
      <c r="M103" s="2197"/>
      <c r="N103" s="2197"/>
      <c r="O103" s="2197"/>
      <c r="P103" s="2197"/>
      <c r="Q103" s="2197"/>
      <c r="R103" s="2197"/>
      <c r="S103" s="2197"/>
      <c r="T103" s="2197"/>
      <c r="U103" s="2197"/>
      <c r="V103" s="2197"/>
      <c r="W103" s="2197"/>
      <c r="X103" s="2197"/>
      <c r="Y103" s="2197"/>
      <c r="Z103" s="2197"/>
      <c r="AA103" s="2197"/>
      <c r="AB103" s="2197"/>
      <c r="AC103" s="2197"/>
      <c r="AD103" s="2197"/>
      <c r="AE103" s="2197"/>
      <c r="AF103" s="2197"/>
      <c r="AG103" s="2197"/>
      <c r="AH103" s="2197"/>
      <c r="AI103" s="2197"/>
      <c r="AJ103" s="2197"/>
      <c r="AK103" s="2197"/>
      <c r="AL103" s="2197"/>
      <c r="AM103" s="2197"/>
      <c r="AN103" s="2197"/>
      <c r="AO103" s="2197"/>
      <c r="AP103" s="2197"/>
      <c r="AQ103" s="2197"/>
      <c r="AR103" s="2197"/>
      <c r="AS103" s="2197"/>
      <c r="AT103" s="2197"/>
      <c r="AU103" s="2198"/>
      <c r="AV103" s="187"/>
      <c r="AW103" s="405"/>
      <c r="AX103" s="422"/>
      <c r="AY103" s="422"/>
      <c r="AZ103" s="422"/>
    </row>
    <row r="104" spans="1:52" s="401" customFormat="1">
      <c r="A104" s="402"/>
      <c r="B104" s="2199"/>
      <c r="C104" s="2200"/>
      <c r="D104" s="2200"/>
      <c r="E104" s="2200"/>
      <c r="F104" s="2200"/>
      <c r="G104" s="2200"/>
      <c r="H104" s="2200"/>
      <c r="I104" s="2200"/>
      <c r="J104" s="2200"/>
      <c r="K104" s="2200"/>
      <c r="L104" s="2200"/>
      <c r="M104" s="2200"/>
      <c r="N104" s="2200"/>
      <c r="O104" s="2200"/>
      <c r="P104" s="2200"/>
      <c r="Q104" s="2200"/>
      <c r="R104" s="2200"/>
      <c r="S104" s="2200"/>
      <c r="T104" s="2200"/>
      <c r="U104" s="2200"/>
      <c r="V104" s="2200"/>
      <c r="W104" s="2200"/>
      <c r="X104" s="2200"/>
      <c r="Y104" s="2200"/>
      <c r="Z104" s="2200"/>
      <c r="AA104" s="2200"/>
      <c r="AB104" s="2200"/>
      <c r="AC104" s="2200"/>
      <c r="AD104" s="2200"/>
      <c r="AE104" s="2200"/>
      <c r="AF104" s="2200"/>
      <c r="AG104" s="2200"/>
      <c r="AH104" s="2200"/>
      <c r="AI104" s="2200"/>
      <c r="AJ104" s="2200"/>
      <c r="AK104" s="2200"/>
      <c r="AL104" s="2200"/>
      <c r="AM104" s="2200"/>
      <c r="AN104" s="2200"/>
      <c r="AO104" s="2200"/>
      <c r="AP104" s="2200"/>
      <c r="AQ104" s="2200"/>
      <c r="AR104" s="2200"/>
      <c r="AS104" s="2200"/>
      <c r="AT104" s="2200"/>
      <c r="AU104" s="2201"/>
      <c r="AV104" s="187"/>
      <c r="AW104" s="405"/>
      <c r="AX104" s="422"/>
      <c r="AY104" s="422"/>
      <c r="AZ104" s="422"/>
    </row>
    <row r="105" spans="1:52" s="401" customFormat="1">
      <c r="A105" s="402"/>
      <c r="B105" s="2202"/>
      <c r="C105" s="2203"/>
      <c r="D105" s="2203"/>
      <c r="E105" s="2203"/>
      <c r="F105" s="2203"/>
      <c r="G105" s="2203"/>
      <c r="H105" s="2203"/>
      <c r="I105" s="2203"/>
      <c r="J105" s="2203"/>
      <c r="K105" s="2203"/>
      <c r="L105" s="2203"/>
      <c r="M105" s="2203"/>
      <c r="N105" s="2203"/>
      <c r="O105" s="2203"/>
      <c r="P105" s="2203"/>
      <c r="Q105" s="2203"/>
      <c r="R105" s="2203"/>
      <c r="S105" s="2203"/>
      <c r="T105" s="2203"/>
      <c r="U105" s="2203"/>
      <c r="V105" s="2203"/>
      <c r="W105" s="2203"/>
      <c r="X105" s="2203"/>
      <c r="Y105" s="2203"/>
      <c r="Z105" s="2203"/>
      <c r="AA105" s="2203"/>
      <c r="AB105" s="2203"/>
      <c r="AC105" s="2203"/>
      <c r="AD105" s="2203"/>
      <c r="AE105" s="2203"/>
      <c r="AF105" s="2203"/>
      <c r="AG105" s="2203"/>
      <c r="AH105" s="2203"/>
      <c r="AI105" s="2203"/>
      <c r="AJ105" s="2203"/>
      <c r="AK105" s="2203"/>
      <c r="AL105" s="2203"/>
      <c r="AM105" s="2203"/>
      <c r="AN105" s="2203"/>
      <c r="AO105" s="2203"/>
      <c r="AP105" s="2203"/>
      <c r="AQ105" s="2203"/>
      <c r="AR105" s="2203"/>
      <c r="AS105" s="2203"/>
      <c r="AT105" s="2203"/>
      <c r="AU105" s="2204"/>
      <c r="AV105" s="187"/>
      <c r="AW105" s="405"/>
      <c r="AX105" s="422"/>
      <c r="AY105" s="422"/>
      <c r="AZ105" s="422"/>
    </row>
    <row r="106" spans="1:52" s="401" customFormat="1">
      <c r="A106" s="402"/>
      <c r="B106" s="15"/>
      <c r="C106" s="15"/>
      <c r="D106" s="15"/>
      <c r="E106" s="15"/>
      <c r="F106" s="15"/>
      <c r="G106" s="15"/>
      <c r="H106" s="15"/>
      <c r="I106" s="15"/>
      <c r="J106" s="15"/>
      <c r="K106" s="15"/>
      <c r="L106" s="15"/>
      <c r="M106" s="15"/>
      <c r="N106" s="15"/>
      <c r="O106" s="15"/>
      <c r="P106" s="15"/>
      <c r="Q106" s="15"/>
      <c r="R106" s="15"/>
      <c r="S106" s="15"/>
      <c r="T106" s="185"/>
      <c r="U106" s="185"/>
      <c r="V106" s="185"/>
      <c r="W106" s="185"/>
      <c r="X106" s="422"/>
      <c r="Y106" s="451"/>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7"/>
      <c r="AW106" s="405"/>
      <c r="AX106" s="422"/>
      <c r="AY106" s="422"/>
      <c r="AZ106" s="422"/>
    </row>
    <row r="107" spans="1:52" s="401" customFormat="1" ht="18" customHeight="1">
      <c r="A107" s="402"/>
      <c r="B107" s="2288" t="s">
        <v>3739</v>
      </c>
      <c r="C107" s="2289"/>
      <c r="D107" s="2289"/>
      <c r="E107" s="2289"/>
      <c r="F107" s="2289"/>
      <c r="G107" s="2289"/>
      <c r="H107" s="2289"/>
      <c r="I107" s="2289"/>
      <c r="J107" s="2289"/>
      <c r="K107" s="2289"/>
      <c r="L107" s="2289"/>
      <c r="M107" s="2289"/>
      <c r="N107" s="2289"/>
      <c r="O107" s="2289"/>
      <c r="P107" s="2290"/>
      <c r="R107" s="2288" t="s">
        <v>3740</v>
      </c>
      <c r="S107" s="2289"/>
      <c r="T107" s="2289"/>
      <c r="U107" s="2289"/>
      <c r="V107" s="2289"/>
      <c r="W107" s="2289"/>
      <c r="X107" s="2289"/>
      <c r="Y107" s="2289"/>
      <c r="Z107" s="2289"/>
      <c r="AA107" s="2290"/>
      <c r="AB107" s="452"/>
      <c r="AC107" s="2288" t="s">
        <v>3741</v>
      </c>
      <c r="AD107" s="2289"/>
      <c r="AE107" s="2289"/>
      <c r="AF107" s="2289"/>
      <c r="AG107" s="2289"/>
      <c r="AH107" s="2289"/>
      <c r="AI107" s="2289"/>
      <c r="AJ107" s="2289"/>
      <c r="AK107" s="2289"/>
      <c r="AL107" s="2289"/>
      <c r="AM107" s="2290"/>
      <c r="AO107" s="2288" t="s">
        <v>3742</v>
      </c>
      <c r="AP107" s="2289"/>
      <c r="AQ107" s="2289"/>
      <c r="AR107" s="2289"/>
      <c r="AS107" s="2289"/>
      <c r="AT107" s="2289"/>
      <c r="AU107" s="2290"/>
      <c r="AV107" s="452"/>
      <c r="AW107" s="452"/>
      <c r="AX107" s="453"/>
      <c r="AY107" s="453"/>
      <c r="AZ107" s="453"/>
    </row>
    <row r="108" spans="1:52" s="401" customFormat="1" ht="18" customHeight="1">
      <c r="A108" s="402"/>
      <c r="B108" s="2294"/>
      <c r="C108" s="2295"/>
      <c r="D108" s="2295"/>
      <c r="E108" s="2295"/>
      <c r="F108" s="2295"/>
      <c r="G108" s="2295"/>
      <c r="H108" s="2295"/>
      <c r="I108" s="2295"/>
      <c r="J108" s="2295"/>
      <c r="K108" s="2295"/>
      <c r="L108" s="2295"/>
      <c r="M108" s="2295"/>
      <c r="N108" s="2295"/>
      <c r="O108" s="2295"/>
      <c r="P108" s="2296"/>
      <c r="R108" s="2291"/>
      <c r="S108" s="2292"/>
      <c r="T108" s="2292"/>
      <c r="U108" s="2292"/>
      <c r="V108" s="2292"/>
      <c r="W108" s="2292"/>
      <c r="X108" s="2292"/>
      <c r="Y108" s="2292"/>
      <c r="Z108" s="2292"/>
      <c r="AA108" s="2293"/>
      <c r="AB108" s="452"/>
      <c r="AC108" s="2291"/>
      <c r="AD108" s="2292"/>
      <c r="AE108" s="2292"/>
      <c r="AF108" s="2292"/>
      <c r="AG108" s="2292"/>
      <c r="AH108" s="2292"/>
      <c r="AI108" s="2292"/>
      <c r="AJ108" s="2292"/>
      <c r="AK108" s="2292"/>
      <c r="AL108" s="2292"/>
      <c r="AM108" s="2293"/>
      <c r="AO108" s="2294"/>
      <c r="AP108" s="2295"/>
      <c r="AQ108" s="2295"/>
      <c r="AR108" s="2295"/>
      <c r="AS108" s="2295"/>
      <c r="AT108" s="2295"/>
      <c r="AU108" s="2296"/>
      <c r="AV108" s="452"/>
      <c r="AW108" s="452"/>
      <c r="AX108" s="453"/>
      <c r="AY108" s="453"/>
      <c r="AZ108" s="453"/>
    </row>
    <row r="109" spans="1:52" s="401" customFormat="1" ht="18" customHeight="1">
      <c r="A109" s="402"/>
      <c r="B109" s="2303" t="s">
        <v>3743</v>
      </c>
      <c r="C109" s="2304"/>
      <c r="D109" s="2304"/>
      <c r="E109" s="2304"/>
      <c r="F109" s="2304"/>
      <c r="G109" s="2304"/>
      <c r="H109" s="2304"/>
      <c r="I109" s="2304"/>
      <c r="J109" s="2304"/>
      <c r="K109" s="2304"/>
      <c r="L109" s="2304"/>
      <c r="M109" s="2304"/>
      <c r="N109" s="2281" t="s">
        <v>3744</v>
      </c>
      <c r="O109" s="2282"/>
      <c r="P109" s="2316"/>
      <c r="R109" s="2280" t="s">
        <v>3745</v>
      </c>
      <c r="S109" s="2282"/>
      <c r="T109" s="2282"/>
      <c r="U109" s="2282"/>
      <c r="V109" s="2282"/>
      <c r="W109" s="2282"/>
      <c r="X109" s="2251" t="s">
        <v>3746</v>
      </c>
      <c r="Y109" s="2252"/>
      <c r="Z109" s="2252"/>
      <c r="AA109" s="2253"/>
      <c r="AC109" s="2280" t="s">
        <v>3747</v>
      </c>
      <c r="AD109" s="2281"/>
      <c r="AE109" s="2282"/>
      <c r="AF109" s="2282"/>
      <c r="AG109" s="2282"/>
      <c r="AH109" s="2282"/>
      <c r="AI109" s="2283"/>
      <c r="AJ109" s="2252" t="s">
        <v>3746</v>
      </c>
      <c r="AK109" s="2252"/>
      <c r="AL109" s="2252"/>
      <c r="AM109" s="2253"/>
      <c r="AO109" s="2280" t="s">
        <v>3748</v>
      </c>
      <c r="AP109" s="2282"/>
      <c r="AQ109" s="2282"/>
      <c r="AR109" s="2282"/>
      <c r="AS109" s="2282"/>
      <c r="AT109" s="2282"/>
      <c r="AU109" s="2316"/>
      <c r="AV109" s="2"/>
      <c r="AW109" s="2"/>
      <c r="AX109" s="453"/>
      <c r="AY109" s="453"/>
      <c r="AZ109" s="453"/>
    </row>
    <row r="110" spans="1:52" s="401" customFormat="1" ht="18" customHeight="1">
      <c r="A110" s="402"/>
      <c r="B110" s="2303"/>
      <c r="C110" s="2304"/>
      <c r="D110" s="2304"/>
      <c r="E110" s="2304"/>
      <c r="F110" s="2304"/>
      <c r="G110" s="2304"/>
      <c r="H110" s="2304"/>
      <c r="I110" s="2304"/>
      <c r="J110" s="2304"/>
      <c r="K110" s="2304"/>
      <c r="L110" s="2304"/>
      <c r="M110" s="2304"/>
      <c r="N110" s="2281"/>
      <c r="O110" s="2282"/>
      <c r="P110" s="2316"/>
      <c r="R110" s="2280"/>
      <c r="S110" s="2282"/>
      <c r="T110" s="2282"/>
      <c r="U110" s="2282"/>
      <c r="V110" s="2282"/>
      <c r="W110" s="2282"/>
      <c r="X110" s="2309" t="s">
        <v>3749</v>
      </c>
      <c r="Y110" s="1999"/>
      <c r="Z110" s="1999"/>
      <c r="AA110" s="2050"/>
      <c r="AC110" s="2280"/>
      <c r="AD110" s="2281"/>
      <c r="AE110" s="2282"/>
      <c r="AF110" s="2282"/>
      <c r="AG110" s="2282"/>
      <c r="AH110" s="2282"/>
      <c r="AI110" s="2283"/>
      <c r="AJ110" s="2282" t="s">
        <v>3750</v>
      </c>
      <c r="AK110" s="2282"/>
      <c r="AL110" s="2282"/>
      <c r="AM110" s="2316"/>
      <c r="AO110" s="2280"/>
      <c r="AP110" s="2282"/>
      <c r="AQ110" s="2282"/>
      <c r="AR110" s="2282"/>
      <c r="AS110" s="2282"/>
      <c r="AT110" s="2282"/>
      <c r="AU110" s="2316"/>
      <c r="AV110" s="2"/>
      <c r="AW110" s="2"/>
      <c r="AX110" s="453"/>
      <c r="AY110" s="453"/>
      <c r="AZ110" s="453"/>
    </row>
    <row r="111" spans="1:52" s="401" customFormat="1" ht="18" customHeight="1">
      <c r="A111" s="402"/>
      <c r="B111" s="2303"/>
      <c r="C111" s="2304"/>
      <c r="D111" s="2304"/>
      <c r="E111" s="2304"/>
      <c r="F111" s="2304"/>
      <c r="G111" s="2304"/>
      <c r="H111" s="2304"/>
      <c r="I111" s="2304"/>
      <c r="J111" s="2304"/>
      <c r="K111" s="2304"/>
      <c r="L111" s="2304"/>
      <c r="M111" s="2304"/>
      <c r="N111" s="2281"/>
      <c r="O111" s="2282"/>
      <c r="P111" s="2316"/>
      <c r="R111" s="2280"/>
      <c r="S111" s="2282"/>
      <c r="T111" s="2282"/>
      <c r="U111" s="2282"/>
      <c r="V111" s="2282"/>
      <c r="W111" s="2282"/>
      <c r="X111" s="2309"/>
      <c r="Y111" s="1999"/>
      <c r="Z111" s="1999"/>
      <c r="AA111" s="2050"/>
      <c r="AC111" s="2280"/>
      <c r="AD111" s="2281"/>
      <c r="AE111" s="2282"/>
      <c r="AF111" s="2282"/>
      <c r="AG111" s="2282"/>
      <c r="AH111" s="2282"/>
      <c r="AI111" s="2283"/>
      <c r="AJ111" s="2286"/>
      <c r="AK111" s="2286"/>
      <c r="AL111" s="2286"/>
      <c r="AM111" s="2320"/>
      <c r="AO111" s="2280"/>
      <c r="AP111" s="2282"/>
      <c r="AQ111" s="2282"/>
      <c r="AR111" s="2282"/>
      <c r="AS111" s="2282"/>
      <c r="AT111" s="2282"/>
      <c r="AU111" s="2316"/>
      <c r="AV111" s="422"/>
      <c r="AW111" s="422"/>
      <c r="AX111" s="453"/>
      <c r="AY111" s="453"/>
      <c r="AZ111" s="453"/>
    </row>
    <row r="112" spans="1:52" s="401" customFormat="1" ht="18" customHeight="1">
      <c r="A112" s="402"/>
      <c r="B112" s="2303"/>
      <c r="C112" s="2304"/>
      <c r="D112" s="2304"/>
      <c r="E112" s="2304"/>
      <c r="F112" s="2304"/>
      <c r="G112" s="2304"/>
      <c r="H112" s="2304"/>
      <c r="I112" s="2304"/>
      <c r="J112" s="2304"/>
      <c r="K112" s="2304"/>
      <c r="L112" s="2304"/>
      <c r="M112" s="2304"/>
      <c r="N112" s="2281"/>
      <c r="O112" s="2282"/>
      <c r="P112" s="2316"/>
      <c r="R112" s="2280"/>
      <c r="S112" s="2282"/>
      <c r="T112" s="2282"/>
      <c r="U112" s="2282"/>
      <c r="V112" s="2282"/>
      <c r="W112" s="2282"/>
      <c r="X112" s="2254" t="s">
        <v>3751</v>
      </c>
      <c r="Y112" s="2255"/>
      <c r="Z112" s="2255"/>
      <c r="AA112" s="2256"/>
      <c r="AC112" s="2280"/>
      <c r="AD112" s="2281"/>
      <c r="AE112" s="2282"/>
      <c r="AF112" s="2282"/>
      <c r="AG112" s="2282"/>
      <c r="AH112" s="2282"/>
      <c r="AI112" s="2283"/>
      <c r="AJ112" s="2252" t="s">
        <v>3751</v>
      </c>
      <c r="AK112" s="2252"/>
      <c r="AL112" s="2252"/>
      <c r="AM112" s="2253"/>
      <c r="AO112" s="2274" t="s">
        <v>3752</v>
      </c>
      <c r="AP112" s="2275"/>
      <c r="AQ112" s="2275"/>
      <c r="AR112" s="2275"/>
      <c r="AS112" s="2275"/>
      <c r="AT112" s="2275"/>
      <c r="AU112" s="2276"/>
      <c r="AV112" s="422"/>
      <c r="AW112" s="422"/>
      <c r="AX112" s="453"/>
      <c r="AY112" s="453"/>
      <c r="AZ112" s="453"/>
    </row>
    <row r="113" spans="1:52" s="401" customFormat="1" ht="18" customHeight="1">
      <c r="A113" s="402"/>
      <c r="B113" s="2303"/>
      <c r="C113" s="2304"/>
      <c r="D113" s="2304"/>
      <c r="E113" s="2304"/>
      <c r="F113" s="2304"/>
      <c r="G113" s="2304"/>
      <c r="H113" s="2304"/>
      <c r="I113" s="2304"/>
      <c r="J113" s="2304"/>
      <c r="K113" s="2304"/>
      <c r="L113" s="2304"/>
      <c r="M113" s="2304"/>
      <c r="N113" s="2281"/>
      <c r="O113" s="2282"/>
      <c r="P113" s="2316"/>
      <c r="R113" s="2280"/>
      <c r="S113" s="2282"/>
      <c r="T113" s="2282"/>
      <c r="U113" s="2282"/>
      <c r="V113" s="2282"/>
      <c r="W113" s="2282"/>
      <c r="X113" s="2309" t="s">
        <v>3753</v>
      </c>
      <c r="Y113" s="1999"/>
      <c r="Z113" s="1999"/>
      <c r="AA113" s="2050"/>
      <c r="AC113" s="2280"/>
      <c r="AD113" s="2281"/>
      <c r="AE113" s="2282"/>
      <c r="AF113" s="2282"/>
      <c r="AG113" s="2282"/>
      <c r="AH113" s="2282"/>
      <c r="AI113" s="2283"/>
      <c r="AJ113" s="1999" t="s">
        <v>3754</v>
      </c>
      <c r="AK113" s="1999"/>
      <c r="AL113" s="1999"/>
      <c r="AM113" s="2050"/>
      <c r="AO113" s="2274"/>
      <c r="AP113" s="2275"/>
      <c r="AQ113" s="2275"/>
      <c r="AR113" s="2275"/>
      <c r="AS113" s="2275"/>
      <c r="AT113" s="2275"/>
      <c r="AU113" s="2276"/>
      <c r="AV113" s="422"/>
      <c r="AW113" s="422"/>
      <c r="AX113" s="453"/>
      <c r="AY113" s="453"/>
      <c r="AZ113" s="453"/>
    </row>
    <row r="114" spans="1:52" s="401" customFormat="1" ht="18" customHeight="1">
      <c r="A114" s="402"/>
      <c r="B114" s="2303"/>
      <c r="C114" s="2304"/>
      <c r="D114" s="2304"/>
      <c r="E114" s="2304"/>
      <c r="F114" s="2304"/>
      <c r="G114" s="2304"/>
      <c r="H114" s="2304"/>
      <c r="I114" s="2304"/>
      <c r="J114" s="2304"/>
      <c r="K114" s="2304"/>
      <c r="L114" s="2304"/>
      <c r="M114" s="2304"/>
      <c r="N114" s="2281"/>
      <c r="O114" s="2282"/>
      <c r="P114" s="2316"/>
      <c r="R114" s="2284"/>
      <c r="S114" s="2286"/>
      <c r="T114" s="2286"/>
      <c r="U114" s="2286"/>
      <c r="V114" s="2286"/>
      <c r="W114" s="2286"/>
      <c r="X114" s="2310"/>
      <c r="Y114" s="2311"/>
      <c r="Z114" s="2312"/>
      <c r="AA114" s="2313"/>
      <c r="AC114" s="2284"/>
      <c r="AD114" s="2285"/>
      <c r="AE114" s="2286"/>
      <c r="AF114" s="2286"/>
      <c r="AG114" s="2286"/>
      <c r="AH114" s="2286"/>
      <c r="AI114" s="2287"/>
      <c r="AJ114" s="2314"/>
      <c r="AK114" s="2314"/>
      <c r="AL114" s="2314"/>
      <c r="AM114" s="2315"/>
      <c r="AO114" s="2274"/>
      <c r="AP114" s="2275"/>
      <c r="AQ114" s="2275"/>
      <c r="AR114" s="2275"/>
      <c r="AS114" s="2275"/>
      <c r="AT114" s="2275"/>
      <c r="AU114" s="2276"/>
      <c r="AV114" s="422"/>
      <c r="AW114" s="422"/>
    </row>
    <row r="115" spans="1:52" s="401" customFormat="1" ht="18" customHeight="1">
      <c r="A115" s="449"/>
      <c r="B115" s="2305"/>
      <c r="C115" s="2306"/>
      <c r="D115" s="2306"/>
      <c r="E115" s="2306"/>
      <c r="F115" s="2306"/>
      <c r="G115" s="2306"/>
      <c r="H115" s="2306"/>
      <c r="I115" s="2306"/>
      <c r="J115" s="2306"/>
      <c r="K115" s="2306"/>
      <c r="L115" s="2306"/>
      <c r="M115" s="2306"/>
      <c r="N115" s="2281"/>
      <c r="O115" s="2282"/>
      <c r="P115" s="2316"/>
      <c r="R115" s="2274" t="s">
        <v>3755</v>
      </c>
      <c r="S115" s="2275"/>
      <c r="T115" s="2275"/>
      <c r="U115" s="2275"/>
      <c r="V115" s="2275"/>
      <c r="W115" s="2275"/>
      <c r="X115" s="2275"/>
      <c r="Y115" s="2275"/>
      <c r="Z115" s="2275"/>
      <c r="AA115" s="2276"/>
      <c r="AB115" s="453"/>
      <c r="AC115" s="2274" t="s">
        <v>3756</v>
      </c>
      <c r="AD115" s="2275"/>
      <c r="AE115" s="2275"/>
      <c r="AF115" s="2275"/>
      <c r="AG115" s="2275"/>
      <c r="AH115" s="2275"/>
      <c r="AI115" s="2275"/>
      <c r="AJ115" s="2275"/>
      <c r="AK115" s="2275"/>
      <c r="AL115" s="2275"/>
      <c r="AM115" s="2276"/>
      <c r="AO115" s="2274"/>
      <c r="AP115" s="2275"/>
      <c r="AQ115" s="2275"/>
      <c r="AR115" s="2275"/>
      <c r="AS115" s="2275"/>
      <c r="AT115" s="2275"/>
      <c r="AU115" s="2276"/>
      <c r="AV115" s="453"/>
      <c r="AW115" s="453"/>
    </row>
    <row r="116" spans="1:52" s="401" customFormat="1" ht="18" customHeight="1">
      <c r="A116" s="402"/>
      <c r="B116" s="2303" t="s">
        <v>3757</v>
      </c>
      <c r="C116" s="2304"/>
      <c r="D116" s="2304"/>
      <c r="E116" s="2304"/>
      <c r="F116" s="2304"/>
      <c r="G116" s="2304"/>
      <c r="H116" s="2304"/>
      <c r="I116" s="2304"/>
      <c r="J116" s="2304"/>
      <c r="K116" s="2304"/>
      <c r="L116" s="2304"/>
      <c r="M116" s="2304"/>
      <c r="N116" s="2281"/>
      <c r="O116" s="2282"/>
      <c r="P116" s="2316"/>
      <c r="R116" s="2274"/>
      <c r="S116" s="2275"/>
      <c r="T116" s="2275"/>
      <c r="U116" s="2275"/>
      <c r="V116" s="2275"/>
      <c r="W116" s="2275"/>
      <c r="X116" s="2275"/>
      <c r="Y116" s="2275"/>
      <c r="Z116" s="2275"/>
      <c r="AA116" s="2276"/>
      <c r="AB116" s="453"/>
      <c r="AC116" s="2274"/>
      <c r="AD116" s="2275"/>
      <c r="AE116" s="2275"/>
      <c r="AF116" s="2275"/>
      <c r="AG116" s="2275"/>
      <c r="AH116" s="2275"/>
      <c r="AI116" s="2275"/>
      <c r="AJ116" s="2275"/>
      <c r="AK116" s="2275"/>
      <c r="AL116" s="2275"/>
      <c r="AM116" s="2276"/>
      <c r="AO116" s="2274"/>
      <c r="AP116" s="2275"/>
      <c r="AQ116" s="2275"/>
      <c r="AR116" s="2275"/>
      <c r="AS116" s="2275"/>
      <c r="AT116" s="2275"/>
      <c r="AU116" s="2276"/>
      <c r="AV116" s="453"/>
      <c r="AW116" s="453"/>
    </row>
    <row r="117" spans="1:52" s="401" customFormat="1" ht="18" customHeight="1">
      <c r="A117" s="402"/>
      <c r="B117" s="2303"/>
      <c r="C117" s="2304"/>
      <c r="D117" s="2304"/>
      <c r="E117" s="2304"/>
      <c r="F117" s="2304"/>
      <c r="G117" s="2304"/>
      <c r="H117" s="2304"/>
      <c r="I117" s="2304"/>
      <c r="J117" s="2304"/>
      <c r="K117" s="2304"/>
      <c r="L117" s="2304"/>
      <c r="M117" s="2304"/>
      <c r="N117" s="2281"/>
      <c r="O117" s="2282"/>
      <c r="P117" s="2316"/>
      <c r="R117" s="2274"/>
      <c r="S117" s="2275"/>
      <c r="T117" s="2275"/>
      <c r="U117" s="2275"/>
      <c r="V117" s="2275"/>
      <c r="W117" s="2275"/>
      <c r="X117" s="2275"/>
      <c r="Y117" s="2275"/>
      <c r="Z117" s="2275"/>
      <c r="AA117" s="2276"/>
      <c r="AB117" s="453"/>
      <c r="AC117" s="2274"/>
      <c r="AD117" s="2275"/>
      <c r="AE117" s="2275"/>
      <c r="AF117" s="2275"/>
      <c r="AG117" s="2275"/>
      <c r="AH117" s="2275"/>
      <c r="AI117" s="2275"/>
      <c r="AJ117" s="2275"/>
      <c r="AK117" s="2275"/>
      <c r="AL117" s="2275"/>
      <c r="AM117" s="2276"/>
      <c r="AO117" s="2274"/>
      <c r="AP117" s="2275"/>
      <c r="AQ117" s="2275"/>
      <c r="AR117" s="2275"/>
      <c r="AS117" s="2275"/>
      <c r="AT117" s="2275"/>
      <c r="AU117" s="2276"/>
      <c r="AV117" s="453"/>
      <c r="AW117" s="453"/>
    </row>
    <row r="118" spans="1:52" s="401" customFormat="1" ht="18" customHeight="1">
      <c r="A118" s="402"/>
      <c r="B118" s="2303"/>
      <c r="C118" s="2304"/>
      <c r="D118" s="2304"/>
      <c r="E118" s="2304"/>
      <c r="F118" s="2304"/>
      <c r="G118" s="2304"/>
      <c r="H118" s="2304"/>
      <c r="I118" s="2304"/>
      <c r="J118" s="2304"/>
      <c r="K118" s="2304"/>
      <c r="L118" s="2304"/>
      <c r="M118" s="2304"/>
      <c r="N118" s="2281"/>
      <c r="O118" s="2282"/>
      <c r="P118" s="2316"/>
      <c r="R118" s="2274"/>
      <c r="S118" s="2275"/>
      <c r="T118" s="2275"/>
      <c r="U118" s="2275"/>
      <c r="V118" s="2275"/>
      <c r="W118" s="2275"/>
      <c r="X118" s="2275"/>
      <c r="Y118" s="2275"/>
      <c r="Z118" s="2275"/>
      <c r="AA118" s="2276"/>
      <c r="AB118" s="453"/>
      <c r="AC118" s="2274"/>
      <c r="AD118" s="2275"/>
      <c r="AE118" s="2275"/>
      <c r="AF118" s="2275"/>
      <c r="AG118" s="2275"/>
      <c r="AH118" s="2275"/>
      <c r="AI118" s="2275"/>
      <c r="AJ118" s="2275"/>
      <c r="AK118" s="2275"/>
      <c r="AL118" s="2275"/>
      <c r="AM118" s="2276"/>
      <c r="AO118" s="2274"/>
      <c r="AP118" s="2275"/>
      <c r="AQ118" s="2275"/>
      <c r="AR118" s="2275"/>
      <c r="AS118" s="2275"/>
      <c r="AT118" s="2275"/>
      <c r="AU118" s="2276"/>
      <c r="AV118" s="453"/>
      <c r="AW118" s="453"/>
    </row>
    <row r="119" spans="1:52" s="401" customFormat="1" ht="18" customHeight="1">
      <c r="A119" s="402"/>
      <c r="B119" s="2303"/>
      <c r="C119" s="2304"/>
      <c r="D119" s="2304"/>
      <c r="E119" s="2304"/>
      <c r="F119" s="2304"/>
      <c r="G119" s="2304"/>
      <c r="H119" s="2304"/>
      <c r="I119" s="2304"/>
      <c r="J119" s="2304"/>
      <c r="K119" s="2304"/>
      <c r="L119" s="2304"/>
      <c r="M119" s="2304"/>
      <c r="N119" s="2281"/>
      <c r="O119" s="2282"/>
      <c r="P119" s="2316"/>
      <c r="R119" s="2274"/>
      <c r="S119" s="2275"/>
      <c r="T119" s="2275"/>
      <c r="U119" s="2275"/>
      <c r="V119" s="2275"/>
      <c r="W119" s="2275"/>
      <c r="X119" s="2275"/>
      <c r="Y119" s="2275"/>
      <c r="Z119" s="2275"/>
      <c r="AA119" s="2276"/>
      <c r="AB119" s="453"/>
      <c r="AC119" s="2274"/>
      <c r="AD119" s="2275"/>
      <c r="AE119" s="2275"/>
      <c r="AF119" s="2275"/>
      <c r="AG119" s="2275"/>
      <c r="AH119" s="2275"/>
      <c r="AI119" s="2275"/>
      <c r="AJ119" s="2275"/>
      <c r="AK119" s="2275"/>
      <c r="AL119" s="2275"/>
      <c r="AM119" s="2276"/>
      <c r="AO119" s="2274"/>
      <c r="AP119" s="2275"/>
      <c r="AQ119" s="2275"/>
      <c r="AR119" s="2275"/>
      <c r="AS119" s="2275"/>
      <c r="AT119" s="2275"/>
      <c r="AU119" s="2276"/>
      <c r="AV119" s="453"/>
      <c r="AW119" s="453"/>
    </row>
    <row r="120" spans="1:52" s="401" customFormat="1" ht="18" customHeight="1">
      <c r="A120" s="402"/>
      <c r="B120" s="2303"/>
      <c r="C120" s="2304"/>
      <c r="D120" s="2304"/>
      <c r="E120" s="2304"/>
      <c r="F120" s="2304"/>
      <c r="G120" s="2304"/>
      <c r="H120" s="2304"/>
      <c r="I120" s="2304"/>
      <c r="J120" s="2304"/>
      <c r="K120" s="2304"/>
      <c r="L120" s="2304"/>
      <c r="M120" s="2304"/>
      <c r="N120" s="2281"/>
      <c r="O120" s="2282"/>
      <c r="P120" s="2316"/>
      <c r="R120" s="2274"/>
      <c r="S120" s="2275"/>
      <c r="T120" s="2275"/>
      <c r="U120" s="2275"/>
      <c r="V120" s="2275"/>
      <c r="W120" s="2275"/>
      <c r="X120" s="2275"/>
      <c r="Y120" s="2275"/>
      <c r="Z120" s="2275"/>
      <c r="AA120" s="2276"/>
      <c r="AB120" s="1"/>
      <c r="AC120" s="2274"/>
      <c r="AD120" s="2275"/>
      <c r="AE120" s="2275"/>
      <c r="AF120" s="2275"/>
      <c r="AG120" s="2275"/>
      <c r="AH120" s="2275"/>
      <c r="AI120" s="2275"/>
      <c r="AJ120" s="2275"/>
      <c r="AK120" s="2275"/>
      <c r="AL120" s="2275"/>
      <c r="AM120" s="2276"/>
      <c r="AO120" s="2274"/>
      <c r="AP120" s="2275"/>
      <c r="AQ120" s="2275"/>
      <c r="AR120" s="2275"/>
      <c r="AS120" s="2275"/>
      <c r="AT120" s="2275"/>
      <c r="AU120" s="2276"/>
      <c r="AV120" s="453"/>
      <c r="AW120" s="453"/>
    </row>
    <row r="121" spans="1:52" s="401" customFormat="1" ht="18" customHeight="1">
      <c r="A121" s="402"/>
      <c r="B121" s="2307"/>
      <c r="C121" s="2308"/>
      <c r="D121" s="2308"/>
      <c r="E121" s="2308"/>
      <c r="F121" s="2308"/>
      <c r="G121" s="2308"/>
      <c r="H121" s="2308"/>
      <c r="I121" s="2308"/>
      <c r="J121" s="2308"/>
      <c r="K121" s="2308"/>
      <c r="L121" s="2308"/>
      <c r="M121" s="2308"/>
      <c r="N121" s="2317"/>
      <c r="O121" s="2318"/>
      <c r="P121" s="2319"/>
      <c r="R121" s="2277"/>
      <c r="S121" s="2278"/>
      <c r="T121" s="2278"/>
      <c r="U121" s="2278"/>
      <c r="V121" s="2278"/>
      <c r="W121" s="2278"/>
      <c r="X121" s="2278"/>
      <c r="Y121" s="2278"/>
      <c r="Z121" s="2278"/>
      <c r="AA121" s="2279"/>
      <c r="AB121" s="422"/>
      <c r="AC121" s="2277"/>
      <c r="AD121" s="2278"/>
      <c r="AE121" s="2278"/>
      <c r="AF121" s="2278"/>
      <c r="AG121" s="2278"/>
      <c r="AH121" s="2278"/>
      <c r="AI121" s="2278"/>
      <c r="AJ121" s="2278"/>
      <c r="AK121" s="2278"/>
      <c r="AL121" s="2278"/>
      <c r="AM121" s="2279"/>
      <c r="AO121" s="2277"/>
      <c r="AP121" s="2278"/>
      <c r="AQ121" s="2278"/>
      <c r="AR121" s="2278"/>
      <c r="AS121" s="2278"/>
      <c r="AT121" s="2278"/>
      <c r="AU121" s="2279"/>
      <c r="AV121" s="453"/>
      <c r="AW121" s="453"/>
    </row>
    <row r="122" spans="1:52" s="401" customFormat="1" ht="18" customHeight="1">
      <c r="A122" s="402"/>
      <c r="B122" s="32"/>
      <c r="C122" s="32"/>
      <c r="D122" s="32"/>
      <c r="E122" s="32"/>
      <c r="F122" s="32"/>
      <c r="G122" s="32"/>
      <c r="H122" s="32"/>
      <c r="I122" s="32"/>
      <c r="J122" s="32"/>
      <c r="K122" s="32"/>
    </row>
    <row r="123" spans="1:52" s="401" customFormat="1" ht="18" customHeight="1">
      <c r="A123" s="402"/>
      <c r="B123" s="160"/>
      <c r="C123" s="328"/>
      <c r="D123" s="328"/>
      <c r="E123" s="328"/>
      <c r="F123" s="328"/>
      <c r="G123" s="328"/>
      <c r="H123" s="328"/>
      <c r="I123" s="328"/>
      <c r="J123" s="328"/>
      <c r="K123" s="170"/>
    </row>
    <row r="124" spans="1:52" s="401" customFormat="1" ht="18" customHeight="1">
      <c r="A124" s="402"/>
      <c r="B124" s="32"/>
      <c r="C124" s="32"/>
      <c r="D124" s="32"/>
      <c r="E124" s="32"/>
      <c r="F124" s="32"/>
      <c r="G124" s="32"/>
      <c r="H124" s="32"/>
      <c r="I124" s="32"/>
      <c r="J124" s="32"/>
      <c r="K124" s="32"/>
      <c r="T124" s="328"/>
      <c r="U124" s="328"/>
    </row>
    <row r="125" spans="1:52" s="401" customFormat="1" ht="18" customHeight="1">
      <c r="A125" s="402"/>
      <c r="B125" s="32"/>
      <c r="C125" s="32"/>
      <c r="D125" s="32"/>
      <c r="E125" s="32"/>
      <c r="F125" s="32"/>
      <c r="G125" s="32"/>
      <c r="H125" s="32"/>
      <c r="I125" s="32"/>
      <c r="J125" s="32"/>
      <c r="K125" s="32"/>
      <c r="T125" s="328"/>
      <c r="U125" s="328"/>
    </row>
    <row r="126" spans="1:52" s="401" customFormat="1" ht="18" customHeight="1">
      <c r="A126" s="402"/>
      <c r="B126" s="32"/>
      <c r="C126" s="32"/>
      <c r="D126" s="32"/>
      <c r="E126" s="32"/>
      <c r="F126" s="32"/>
      <c r="G126" s="32"/>
      <c r="H126" s="32"/>
      <c r="I126" s="32"/>
      <c r="J126" s="32"/>
      <c r="K126" s="32"/>
      <c r="T126" s="328"/>
      <c r="U126" s="328"/>
      <c r="AL126" s="328"/>
      <c r="AM126" s="328"/>
      <c r="AN126" s="328"/>
      <c r="AO126" s="328"/>
    </row>
    <row r="127" spans="1:52" s="401" customFormat="1" ht="18" customHeight="1">
      <c r="A127" s="402"/>
      <c r="B127" s="32"/>
      <c r="C127" s="32"/>
      <c r="D127" s="32"/>
      <c r="E127" s="32"/>
      <c r="F127" s="32"/>
      <c r="G127" s="32"/>
      <c r="H127" s="32"/>
      <c r="I127" s="32"/>
      <c r="J127" s="32"/>
      <c r="K127" s="32"/>
      <c r="T127" s="328"/>
      <c r="U127" s="328"/>
      <c r="AL127" s="328"/>
      <c r="AM127" s="328"/>
      <c r="AN127" s="328"/>
      <c r="AO127" s="328"/>
    </row>
    <row r="128" spans="1:52" s="401" customFormat="1" ht="18" customHeight="1">
      <c r="A128" s="402"/>
      <c r="B128" s="32"/>
      <c r="C128" s="32"/>
      <c r="D128" s="32"/>
      <c r="E128" s="32"/>
      <c r="F128" s="32"/>
      <c r="G128" s="32"/>
      <c r="H128" s="32"/>
      <c r="I128" s="32"/>
      <c r="J128" s="32"/>
      <c r="K128" s="32"/>
      <c r="T128" s="328"/>
      <c r="U128" s="328"/>
      <c r="AL128" s="328"/>
      <c r="AM128" s="328"/>
      <c r="AN128" s="328"/>
      <c r="AO128" s="328"/>
    </row>
    <row r="129" spans="1:47" s="401" customFormat="1" ht="18" customHeight="1">
      <c r="A129" s="402"/>
      <c r="B129" s="32"/>
      <c r="C129" s="32"/>
      <c r="D129" s="32"/>
      <c r="E129" s="32"/>
      <c r="F129" s="32"/>
      <c r="G129" s="32"/>
      <c r="H129" s="32"/>
      <c r="I129" s="32"/>
      <c r="J129" s="32"/>
      <c r="K129" s="32"/>
      <c r="T129" s="328"/>
      <c r="U129" s="328"/>
      <c r="AL129" s="328"/>
      <c r="AM129" s="328"/>
      <c r="AN129" s="328"/>
      <c r="AO129" s="328"/>
      <c r="AP129" s="328"/>
      <c r="AQ129" s="328"/>
      <c r="AR129" s="328"/>
      <c r="AS129" s="328"/>
      <c r="AT129" s="328"/>
      <c r="AU129" s="328"/>
    </row>
    <row r="130" spans="1:47" s="401" customFormat="1" ht="18" customHeight="1">
      <c r="A130" s="402"/>
      <c r="B130" s="32"/>
      <c r="C130" s="32"/>
      <c r="D130" s="32"/>
      <c r="E130" s="32"/>
      <c r="F130" s="32"/>
      <c r="G130" s="32"/>
      <c r="H130" s="32"/>
      <c r="I130" s="32"/>
      <c r="J130" s="32"/>
      <c r="K130" s="32"/>
      <c r="T130" s="328"/>
      <c r="U130" s="328"/>
      <c r="AL130" s="328"/>
      <c r="AM130" s="328"/>
      <c r="AN130" s="328"/>
      <c r="AO130" s="328"/>
      <c r="AP130" s="328"/>
      <c r="AQ130" s="328"/>
      <c r="AR130" s="328"/>
      <c r="AS130" s="328"/>
      <c r="AT130" s="328"/>
      <c r="AU130" s="328"/>
    </row>
    <row r="131" spans="1:47" s="401" customFormat="1" ht="18" customHeight="1">
      <c r="A131" s="402"/>
      <c r="B131" s="32"/>
      <c r="C131" s="32"/>
      <c r="D131" s="32"/>
      <c r="E131" s="32"/>
      <c r="F131" s="32"/>
      <c r="G131" s="32"/>
      <c r="H131" s="32"/>
      <c r="I131" s="32"/>
      <c r="J131" s="32"/>
      <c r="K131" s="32"/>
      <c r="T131" s="328"/>
      <c r="U131" s="328"/>
      <c r="AL131" s="328"/>
      <c r="AM131" s="328"/>
      <c r="AN131" s="328"/>
      <c r="AO131" s="328"/>
      <c r="AP131" s="328"/>
      <c r="AQ131" s="328"/>
      <c r="AR131" s="328"/>
      <c r="AS131" s="328"/>
      <c r="AT131" s="328"/>
      <c r="AU131" s="328"/>
    </row>
    <row r="132" spans="1:47" s="401" customFormat="1" ht="18" customHeight="1">
      <c r="A132" s="402"/>
      <c r="B132" s="32"/>
      <c r="C132" s="32"/>
      <c r="D132" s="32"/>
      <c r="E132" s="32"/>
      <c r="F132" s="32"/>
      <c r="G132" s="32"/>
      <c r="H132" s="32"/>
      <c r="I132" s="32"/>
      <c r="J132" s="32"/>
      <c r="K132" s="32"/>
      <c r="T132" s="328"/>
      <c r="U132" s="328"/>
      <c r="AL132" s="328"/>
      <c r="AM132" s="328"/>
      <c r="AN132" s="328"/>
      <c r="AO132" s="328"/>
      <c r="AP132" s="328"/>
      <c r="AQ132" s="328"/>
      <c r="AR132" s="328"/>
      <c r="AS132" s="328"/>
      <c r="AT132" s="328"/>
      <c r="AU132" s="328"/>
    </row>
    <row r="133" spans="1:47" s="401" customFormat="1" ht="18" customHeight="1">
      <c r="A133" s="402"/>
      <c r="B133" s="32"/>
      <c r="C133" s="32"/>
      <c r="D133" s="32"/>
      <c r="E133" s="32"/>
      <c r="F133" s="32"/>
      <c r="G133" s="32"/>
      <c r="H133" s="32"/>
      <c r="I133" s="32"/>
      <c r="J133" s="32"/>
      <c r="K133" s="32"/>
      <c r="T133" s="328"/>
      <c r="U133" s="328"/>
      <c r="AL133" s="328"/>
      <c r="AM133" s="328"/>
      <c r="AN133" s="328"/>
      <c r="AO133" s="328"/>
      <c r="AP133" s="328"/>
      <c r="AQ133" s="328"/>
      <c r="AR133" s="328"/>
      <c r="AS133" s="328"/>
      <c r="AT133" s="328"/>
      <c r="AU133" s="328"/>
    </row>
    <row r="134" spans="1:47" s="401" customFormat="1" ht="18" customHeight="1">
      <c r="A134" s="402"/>
      <c r="B134" s="32"/>
      <c r="C134" s="32"/>
      <c r="D134" s="32"/>
      <c r="E134" s="32"/>
      <c r="F134" s="32"/>
      <c r="G134" s="32"/>
      <c r="H134" s="32"/>
      <c r="I134" s="32"/>
      <c r="J134" s="32"/>
      <c r="K134" s="32"/>
      <c r="T134" s="328"/>
      <c r="U134" s="328"/>
      <c r="AL134" s="328"/>
      <c r="AM134" s="328"/>
      <c r="AN134" s="328"/>
      <c r="AO134" s="328"/>
      <c r="AP134" s="328"/>
      <c r="AQ134" s="328"/>
      <c r="AR134" s="328"/>
      <c r="AS134" s="328"/>
      <c r="AT134" s="328"/>
      <c r="AU134" s="328"/>
    </row>
    <row r="135" spans="1:47" s="401" customFormat="1" ht="18" customHeight="1">
      <c r="A135" s="402"/>
      <c r="B135" s="32"/>
      <c r="C135" s="32"/>
      <c r="D135" s="32"/>
      <c r="E135" s="32"/>
      <c r="F135" s="32"/>
      <c r="G135" s="32"/>
      <c r="H135" s="32"/>
      <c r="I135" s="32"/>
      <c r="J135" s="32"/>
      <c r="K135" s="32"/>
      <c r="T135" s="328"/>
      <c r="U135" s="328"/>
      <c r="AD135" s="328"/>
      <c r="AE135" s="328"/>
      <c r="AF135" s="328"/>
      <c r="AG135" s="328"/>
      <c r="AH135" s="328"/>
      <c r="AI135" s="328"/>
      <c r="AJ135" s="328"/>
      <c r="AK135" s="328"/>
      <c r="AL135" s="328"/>
      <c r="AM135" s="328"/>
      <c r="AN135" s="328"/>
      <c r="AO135" s="328"/>
      <c r="AP135" s="328"/>
      <c r="AQ135" s="328"/>
      <c r="AR135" s="328"/>
      <c r="AS135" s="328"/>
      <c r="AT135" s="328"/>
      <c r="AU135" s="328"/>
    </row>
    <row r="136" spans="1:47" s="401" customFormat="1" ht="18" customHeight="1">
      <c r="A136" s="402"/>
      <c r="B136" s="32"/>
      <c r="C136" s="32"/>
      <c r="D136" s="32"/>
      <c r="E136" s="32"/>
      <c r="F136" s="32"/>
      <c r="G136" s="32"/>
      <c r="H136" s="32"/>
      <c r="I136" s="32"/>
      <c r="J136" s="32"/>
      <c r="K136" s="32"/>
      <c r="T136" s="328"/>
      <c r="U136" s="328"/>
      <c r="AD136" s="328"/>
      <c r="AE136" s="328"/>
      <c r="AF136" s="328"/>
      <c r="AG136" s="328"/>
      <c r="AH136" s="328"/>
      <c r="AI136" s="328"/>
      <c r="AJ136" s="328"/>
      <c r="AK136" s="328"/>
      <c r="AL136" s="328"/>
      <c r="AM136" s="328"/>
      <c r="AN136" s="328"/>
      <c r="AO136" s="328"/>
      <c r="AP136" s="328"/>
      <c r="AQ136" s="328"/>
      <c r="AR136" s="328"/>
      <c r="AS136" s="328"/>
      <c r="AT136" s="328"/>
      <c r="AU136" s="328"/>
    </row>
    <row r="137" spans="1:47" s="401" customFormat="1" ht="18" customHeight="1">
      <c r="A137" s="402"/>
      <c r="B137" s="32"/>
      <c r="C137" s="32"/>
      <c r="D137" s="32"/>
      <c r="E137" s="32"/>
      <c r="F137" s="32"/>
      <c r="G137" s="32"/>
      <c r="H137" s="32"/>
      <c r="I137" s="32"/>
      <c r="J137" s="32"/>
      <c r="K137" s="32"/>
      <c r="T137" s="328"/>
      <c r="U137" s="328"/>
      <c r="AD137" s="328"/>
      <c r="AE137" s="328"/>
      <c r="AF137" s="328"/>
      <c r="AG137" s="328"/>
      <c r="AH137" s="328"/>
      <c r="AI137" s="328"/>
      <c r="AJ137" s="328"/>
      <c r="AK137" s="328"/>
      <c r="AL137" s="328"/>
      <c r="AM137" s="328"/>
      <c r="AN137" s="328"/>
      <c r="AO137" s="328"/>
      <c r="AP137" s="328"/>
      <c r="AQ137" s="328"/>
      <c r="AR137" s="328"/>
      <c r="AS137" s="328"/>
      <c r="AT137" s="328"/>
      <c r="AU137" s="328"/>
    </row>
    <row r="138" spans="1:47" s="401" customFormat="1" ht="18" customHeight="1">
      <c r="A138" s="402"/>
      <c r="B138" s="328"/>
      <c r="C138" s="328"/>
      <c r="D138" s="328"/>
      <c r="E138" s="328"/>
      <c r="F138" s="328"/>
      <c r="G138" s="328"/>
      <c r="H138" s="328"/>
      <c r="I138" s="328"/>
      <c r="J138" s="328"/>
      <c r="K138" s="328"/>
      <c r="L138" s="328"/>
      <c r="M138" s="328"/>
      <c r="N138" s="328"/>
      <c r="O138" s="328"/>
      <c r="P138" s="328"/>
      <c r="Q138" s="328"/>
      <c r="R138" s="328"/>
      <c r="S138" s="328"/>
      <c r="T138" s="328"/>
      <c r="U138" s="328"/>
      <c r="V138" s="328"/>
      <c r="W138" s="328"/>
      <c r="X138" s="328"/>
      <c r="Y138" s="328"/>
      <c r="Z138" s="328"/>
      <c r="AA138" s="328"/>
      <c r="AB138" s="328"/>
      <c r="AC138" s="328"/>
      <c r="AD138" s="328"/>
      <c r="AE138" s="328"/>
      <c r="AF138" s="328"/>
      <c r="AG138" s="328"/>
      <c r="AH138" s="328"/>
      <c r="AI138" s="328"/>
      <c r="AJ138" s="328"/>
      <c r="AK138" s="328"/>
      <c r="AL138" s="328"/>
      <c r="AM138" s="328"/>
      <c r="AN138" s="328"/>
      <c r="AO138" s="328"/>
      <c r="AP138" s="328"/>
      <c r="AQ138" s="328"/>
      <c r="AR138" s="328"/>
      <c r="AS138" s="328"/>
      <c r="AT138" s="328"/>
      <c r="AU138" s="328"/>
    </row>
    <row r="139" spans="1:47" s="401" customFormat="1" ht="18" customHeight="1">
      <c r="A139" s="402"/>
      <c r="B139" s="328"/>
      <c r="C139" s="328"/>
      <c r="D139" s="328"/>
      <c r="E139" s="328"/>
      <c r="F139" s="328"/>
      <c r="G139" s="328"/>
      <c r="H139" s="328"/>
      <c r="I139" s="328"/>
      <c r="J139" s="328"/>
      <c r="K139" s="328"/>
      <c r="L139" s="328"/>
      <c r="M139" s="328"/>
      <c r="N139" s="328"/>
      <c r="O139" s="328"/>
      <c r="P139" s="328"/>
      <c r="Q139" s="328"/>
      <c r="R139" s="328"/>
      <c r="S139" s="328"/>
      <c r="T139" s="328"/>
      <c r="U139" s="328"/>
      <c r="V139" s="328"/>
      <c r="W139" s="328"/>
      <c r="X139" s="328"/>
      <c r="Y139" s="328"/>
      <c r="Z139" s="328"/>
      <c r="AA139" s="328"/>
      <c r="AB139" s="328"/>
      <c r="AC139" s="328"/>
      <c r="AD139" s="328"/>
      <c r="AE139" s="328"/>
      <c r="AF139" s="328"/>
      <c r="AG139" s="328"/>
      <c r="AH139" s="328"/>
      <c r="AI139" s="328"/>
      <c r="AJ139" s="328"/>
      <c r="AK139" s="328"/>
      <c r="AL139" s="328"/>
      <c r="AM139" s="328"/>
      <c r="AN139" s="328"/>
      <c r="AO139" s="328"/>
      <c r="AP139" s="328"/>
      <c r="AQ139" s="328"/>
      <c r="AR139" s="328"/>
      <c r="AS139" s="328"/>
      <c r="AT139" s="328"/>
      <c r="AU139" s="328"/>
    </row>
    <row r="140" spans="1:47" s="401" customForma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c r="AA140" s="180"/>
      <c r="AB140" s="180"/>
      <c r="AC140" s="180"/>
      <c r="AD140" s="180"/>
      <c r="AE140" s="180"/>
      <c r="AF140" s="180"/>
      <c r="AG140" s="180"/>
      <c r="AH140" s="180"/>
      <c r="AI140" s="180"/>
      <c r="AJ140" s="180"/>
      <c r="AK140" s="180"/>
      <c r="AL140" s="180"/>
      <c r="AM140" s="180"/>
      <c r="AN140" s="180"/>
      <c r="AO140" s="180"/>
      <c r="AP140" s="180"/>
      <c r="AQ140" s="180"/>
      <c r="AR140" s="180"/>
      <c r="AS140" s="180"/>
      <c r="AT140" s="180"/>
      <c r="AU140" s="180"/>
    </row>
    <row r="141" spans="1:47" s="401" customFormat="1">
      <c r="A141" s="449"/>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c r="AA141" s="180"/>
      <c r="AB141" s="180"/>
      <c r="AC141" s="180"/>
      <c r="AD141" s="180"/>
      <c r="AE141" s="180"/>
      <c r="AF141" s="180"/>
      <c r="AG141" s="180"/>
      <c r="AH141" s="180"/>
      <c r="AI141" s="180"/>
      <c r="AJ141" s="180"/>
      <c r="AK141" s="180"/>
      <c r="AL141" s="180"/>
      <c r="AM141" s="180"/>
      <c r="AN141" s="180"/>
      <c r="AO141" s="180"/>
      <c r="AP141" s="180"/>
      <c r="AQ141" s="180"/>
      <c r="AR141" s="180"/>
      <c r="AS141" s="180"/>
      <c r="AT141" s="180"/>
      <c r="AU141" s="180"/>
    </row>
    <row r="142" spans="1:47" s="401" customFormat="1">
      <c r="A142" s="449"/>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c r="AA142" s="180"/>
      <c r="AB142" s="180"/>
      <c r="AC142" s="180"/>
      <c r="AD142" s="180"/>
      <c r="AE142" s="180"/>
      <c r="AF142" s="180"/>
      <c r="AG142" s="180"/>
      <c r="AH142" s="180"/>
      <c r="AI142" s="180"/>
      <c r="AJ142" s="180"/>
      <c r="AK142" s="180"/>
      <c r="AL142" s="180"/>
      <c r="AM142" s="180"/>
      <c r="AN142" s="180"/>
      <c r="AO142" s="180"/>
      <c r="AP142" s="180"/>
      <c r="AQ142" s="180"/>
      <c r="AR142" s="180"/>
      <c r="AS142" s="180"/>
      <c r="AT142" s="180"/>
      <c r="AU142" s="180"/>
    </row>
    <row r="143" spans="1:47" s="401" customFormat="1">
      <c r="A143" s="449"/>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80"/>
      <c r="AF143" s="180"/>
      <c r="AG143" s="180"/>
      <c r="AH143" s="180"/>
      <c r="AI143" s="180"/>
      <c r="AJ143" s="180"/>
      <c r="AK143" s="180"/>
      <c r="AL143" s="180"/>
      <c r="AM143" s="180"/>
      <c r="AN143" s="180"/>
      <c r="AO143" s="180"/>
      <c r="AP143" s="180"/>
      <c r="AQ143" s="180"/>
      <c r="AR143" s="180"/>
      <c r="AS143" s="180"/>
      <c r="AT143" s="180"/>
      <c r="AU143" s="180"/>
    </row>
    <row r="144" spans="1:47" s="401" customFormat="1">
      <c r="A144" s="449"/>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c r="AG144" s="180"/>
      <c r="AH144" s="180"/>
      <c r="AI144" s="180"/>
      <c r="AJ144" s="180"/>
      <c r="AK144" s="180"/>
      <c r="AL144" s="180"/>
      <c r="AM144" s="180"/>
      <c r="AN144" s="180"/>
      <c r="AO144" s="180"/>
      <c r="AP144" s="180"/>
      <c r="AQ144" s="180"/>
      <c r="AR144" s="180"/>
      <c r="AS144" s="180"/>
      <c r="AT144" s="180"/>
      <c r="AU144" s="180"/>
    </row>
    <row r="145" spans="1:47" s="401" customFormat="1">
      <c r="A145" s="449"/>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80"/>
      <c r="AF145" s="180"/>
      <c r="AG145" s="180"/>
      <c r="AH145" s="180"/>
      <c r="AI145" s="180"/>
      <c r="AJ145" s="180"/>
      <c r="AK145" s="180"/>
      <c r="AL145" s="180"/>
      <c r="AM145" s="180"/>
      <c r="AN145" s="180"/>
      <c r="AO145" s="180"/>
      <c r="AP145" s="180"/>
      <c r="AQ145" s="180"/>
      <c r="AR145" s="180"/>
      <c r="AS145" s="180"/>
      <c r="AT145" s="180"/>
      <c r="AU145" s="180"/>
    </row>
    <row r="146" spans="1:47" s="401" customFormat="1">
      <c r="A146" s="449"/>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180"/>
      <c r="AM146" s="180"/>
      <c r="AN146" s="180"/>
      <c r="AO146" s="180"/>
      <c r="AP146" s="180"/>
      <c r="AQ146" s="180"/>
      <c r="AR146" s="180"/>
      <c r="AS146" s="180"/>
      <c r="AT146" s="180"/>
      <c r="AU146" s="180"/>
    </row>
    <row r="147" spans="1:47" s="401" customFormat="1">
      <c r="A147" s="449"/>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80"/>
      <c r="AF147" s="180"/>
      <c r="AG147" s="180"/>
      <c r="AH147" s="180"/>
      <c r="AI147" s="180"/>
      <c r="AJ147" s="180"/>
      <c r="AK147" s="180"/>
      <c r="AL147" s="180"/>
      <c r="AM147" s="180"/>
      <c r="AN147" s="180"/>
      <c r="AO147" s="180"/>
      <c r="AP147" s="180"/>
      <c r="AQ147" s="180"/>
      <c r="AR147" s="180"/>
      <c r="AS147" s="180"/>
      <c r="AT147" s="180"/>
      <c r="AU147" s="180"/>
    </row>
    <row r="148" spans="1:47" s="401" customFormat="1">
      <c r="A148" s="449"/>
      <c r="B148" s="180"/>
      <c r="C148" s="180"/>
      <c r="D148" s="180"/>
    </row>
    <row r="149" spans="1:47" s="401" customFormat="1">
      <c r="A149" s="449"/>
      <c r="B149" s="180"/>
      <c r="C149" s="180"/>
      <c r="D149" s="180"/>
    </row>
    <row r="150" spans="1:47" s="401" customFormat="1">
      <c r="A150" s="449"/>
      <c r="B150" s="180"/>
      <c r="C150" s="180"/>
      <c r="D150" s="180"/>
    </row>
    <row r="151" spans="1:47" s="401" customFormat="1">
      <c r="A151" s="449"/>
      <c r="B151" s="180"/>
      <c r="C151" s="180"/>
      <c r="D151" s="180"/>
    </row>
    <row r="152" spans="1:47" s="401" customFormat="1">
      <c r="A152" s="402"/>
      <c r="B152" s="180"/>
      <c r="C152" s="180"/>
      <c r="D152" s="180"/>
    </row>
    <row r="153" spans="1:47" s="401" customFormat="1">
      <c r="A153" s="402"/>
      <c r="B153" s="180"/>
      <c r="C153" s="180"/>
      <c r="D153" s="180"/>
    </row>
    <row r="154" spans="1:47" s="401" customFormat="1">
      <c r="A154" s="402"/>
      <c r="B154" s="180"/>
      <c r="C154" s="180"/>
      <c r="D154" s="180"/>
    </row>
    <row r="155" spans="1:47" s="401" customFormat="1">
      <c r="A155" s="402"/>
      <c r="B155" s="180"/>
      <c r="C155" s="180"/>
      <c r="D155" s="180"/>
    </row>
    <row r="156" spans="1:47" s="401" customFormat="1">
      <c r="A156" s="402"/>
      <c r="B156" s="180"/>
      <c r="C156" s="180"/>
      <c r="D156" s="180"/>
    </row>
    <row r="157" spans="1:47" s="401" customFormat="1">
      <c r="A157" s="402"/>
      <c r="B157" s="180"/>
      <c r="C157" s="180"/>
      <c r="D157" s="180"/>
    </row>
    <row r="158" spans="1:47" s="401" customFormat="1">
      <c r="A158" s="402"/>
      <c r="B158" s="180"/>
      <c r="C158" s="180"/>
      <c r="D158" s="180"/>
    </row>
    <row r="159" spans="1:47" s="401" customFormat="1">
      <c r="A159" s="402"/>
      <c r="B159" s="180"/>
      <c r="C159" s="180"/>
      <c r="D159" s="180"/>
    </row>
    <row r="160" spans="1:47" s="401" customFormat="1">
      <c r="A160" s="402"/>
      <c r="B160" s="180"/>
      <c r="C160" s="180"/>
      <c r="D160" s="180"/>
    </row>
    <row r="161" spans="1:4" s="401" customFormat="1">
      <c r="A161" s="402"/>
      <c r="B161" s="180"/>
      <c r="C161" s="180"/>
      <c r="D161" s="180"/>
    </row>
    <row r="162" spans="1:4" s="401" customFormat="1">
      <c r="A162" s="402"/>
      <c r="B162" s="180"/>
      <c r="C162" s="180"/>
      <c r="D162" s="180"/>
    </row>
    <row r="163" spans="1:4" s="401" customFormat="1">
      <c r="A163" s="402"/>
      <c r="B163" s="180"/>
      <c r="C163" s="180"/>
      <c r="D163" s="180"/>
    </row>
    <row r="164" spans="1:4" s="401" customFormat="1">
      <c r="A164" s="402"/>
      <c r="B164" s="180"/>
      <c r="C164" s="180"/>
      <c r="D164" s="180"/>
    </row>
    <row r="165" spans="1:4" s="401" customFormat="1">
      <c r="A165" s="402"/>
      <c r="B165" s="180"/>
      <c r="C165" s="180"/>
      <c r="D165" s="180"/>
    </row>
    <row r="166" spans="1:4" s="401" customFormat="1">
      <c r="A166" s="402"/>
      <c r="B166" s="180"/>
      <c r="C166" s="180"/>
      <c r="D166" s="180"/>
    </row>
    <row r="167" spans="1:4" s="401" customFormat="1">
      <c r="A167" s="402"/>
      <c r="B167" s="180"/>
      <c r="C167" s="180"/>
      <c r="D167" s="180"/>
    </row>
    <row r="168" spans="1:4" s="401" customFormat="1">
      <c r="A168" s="402"/>
      <c r="B168" s="180"/>
      <c r="C168" s="180"/>
      <c r="D168" s="180"/>
    </row>
    <row r="169" spans="1:4" s="401" customFormat="1">
      <c r="A169" s="402"/>
      <c r="B169" s="180"/>
      <c r="C169" s="180"/>
      <c r="D169" s="180"/>
    </row>
    <row r="170" spans="1:4" s="401" customFormat="1">
      <c r="A170" s="402"/>
      <c r="B170" s="180"/>
      <c r="C170" s="180"/>
      <c r="D170" s="180"/>
    </row>
    <row r="171" spans="1:4" s="401" customFormat="1">
      <c r="A171" s="402"/>
      <c r="B171" s="180"/>
      <c r="C171" s="180"/>
      <c r="D171" s="180"/>
    </row>
    <row r="172" spans="1:4" s="401" customFormat="1">
      <c r="A172" s="402"/>
    </row>
    <row r="173" spans="1:4" s="401" customFormat="1">
      <c r="A173" s="402"/>
    </row>
    <row r="174" spans="1:4" s="401" customFormat="1">
      <c r="A174" s="402"/>
    </row>
    <row r="175" spans="1:4" s="401" customFormat="1">
      <c r="A175" s="402"/>
    </row>
    <row r="176" spans="1:4" s="401" customFormat="1">
      <c r="A176" s="402"/>
    </row>
    <row r="177" spans="1:47" s="401" customFormat="1">
      <c r="A177" s="402"/>
    </row>
    <row r="178" spans="1:47" s="401" customFormat="1">
      <c r="A178" s="402"/>
    </row>
    <row r="179" spans="1:47" s="401" customFormat="1">
      <c r="A179" s="402"/>
    </row>
    <row r="180" spans="1:47" s="401" customFormat="1">
      <c r="A180" s="402"/>
      <c r="AU180" s="180"/>
    </row>
    <row r="181" spans="1:47" s="401" customFormat="1">
      <c r="A181" s="402"/>
      <c r="AU181" s="180"/>
    </row>
    <row r="182" spans="1:47" s="401" customFormat="1">
      <c r="A182" s="402"/>
      <c r="AU182" s="180"/>
    </row>
    <row r="183" spans="1:47" s="401" customFormat="1">
      <c r="A183" s="402"/>
      <c r="AU183" s="180"/>
    </row>
    <row r="184" spans="1:47" s="401" customFormat="1">
      <c r="A184" s="402"/>
      <c r="AU184" s="180"/>
    </row>
    <row r="185" spans="1:47" s="401" customFormat="1">
      <c r="A185" s="402"/>
      <c r="AU185" s="180"/>
    </row>
    <row r="186" spans="1:47" s="401" customFormat="1">
      <c r="A186" s="402"/>
      <c r="AU186" s="180"/>
    </row>
    <row r="187" spans="1:47" s="401" customFormat="1">
      <c r="A187" s="402"/>
      <c r="AU187" s="180"/>
    </row>
    <row r="188" spans="1:47" s="401" customFormat="1">
      <c r="A188" s="402"/>
      <c r="AU188" s="180"/>
    </row>
    <row r="189" spans="1:47" s="401" customFormat="1">
      <c r="A189" s="402"/>
      <c r="AU189" s="180"/>
    </row>
    <row r="190" spans="1:47" s="401" customFormat="1">
      <c r="A190" s="402"/>
      <c r="AU190" s="180"/>
    </row>
    <row r="191" spans="1:47" s="401" customFormat="1">
      <c r="A191" s="402"/>
      <c r="AU191" s="180"/>
    </row>
    <row r="192" spans="1:47" s="401" customFormat="1">
      <c r="A192" s="402"/>
      <c r="AU192" s="180"/>
    </row>
  </sheetData>
  <sheetProtection sheet="1" objects="1"/>
  <mergeCells count="316">
    <mergeCell ref="BD38:BU43"/>
    <mergeCell ref="Y54:AF57"/>
    <mergeCell ref="AR40:AW43"/>
    <mergeCell ref="AF44:AK46"/>
    <mergeCell ref="AL44:AQ46"/>
    <mergeCell ref="AR44:AW46"/>
    <mergeCell ref="Z98:AG99"/>
    <mergeCell ref="AN66:AW69"/>
    <mergeCell ref="H58:M61"/>
    <mergeCell ref="U79:V81"/>
    <mergeCell ref="K49:P51"/>
    <mergeCell ref="W73:AJ75"/>
    <mergeCell ref="U76:V78"/>
    <mergeCell ref="Z92:AU92"/>
    <mergeCell ref="O73:Q73"/>
    <mergeCell ref="H68:J68"/>
    <mergeCell ref="B27:G31"/>
    <mergeCell ref="AL36:AQ39"/>
    <mergeCell ref="AR36:AW39"/>
    <mergeCell ref="M94:W95"/>
    <mergeCell ref="M96:W97"/>
    <mergeCell ref="Z93:AJ96"/>
    <mergeCell ref="AK93:AU96"/>
    <mergeCell ref="B92:L101"/>
    <mergeCell ref="N54:P57"/>
    <mergeCell ref="U25:Y26"/>
    <mergeCell ref="AG21:AK22"/>
    <mergeCell ref="I9:M10"/>
    <mergeCell ref="U9:Y10"/>
    <mergeCell ref="W76:AJ78"/>
    <mergeCell ref="N58:P61"/>
    <mergeCell ref="AL54:AQ56"/>
    <mergeCell ref="U70:V72"/>
    <mergeCell ref="C13:G14"/>
    <mergeCell ref="AG13:AK14"/>
    <mergeCell ref="B40:G43"/>
    <mergeCell ref="H40:M43"/>
    <mergeCell ref="N40:S43"/>
    <mergeCell ref="T40:Y43"/>
    <mergeCell ref="Z40:AE43"/>
    <mergeCell ref="AF40:AK43"/>
    <mergeCell ref="AL40:AQ43"/>
    <mergeCell ref="AA25:AE26"/>
    <mergeCell ref="O21:S22"/>
    <mergeCell ref="C17:G18"/>
    <mergeCell ref="W67:AJ69"/>
    <mergeCell ref="C21:G22"/>
    <mergeCell ref="AM9:AQ10"/>
    <mergeCell ref="O11:S12"/>
    <mergeCell ref="AS15:AW16"/>
    <mergeCell ref="I15:M16"/>
    <mergeCell ref="AM15:AQ16"/>
    <mergeCell ref="AA17:AE18"/>
    <mergeCell ref="AA15:AE16"/>
    <mergeCell ref="AA19:AE20"/>
    <mergeCell ref="AA13:AE14"/>
    <mergeCell ref="U13:Y14"/>
    <mergeCell ref="U23:Y24"/>
    <mergeCell ref="AG23:AK24"/>
    <mergeCell ref="I13:M14"/>
    <mergeCell ref="AM13:AQ14"/>
    <mergeCell ref="B7:AW7"/>
    <mergeCell ref="B8:G8"/>
    <mergeCell ref="H27:M31"/>
    <mergeCell ref="N27:S31"/>
    <mergeCell ref="T27:Y31"/>
    <mergeCell ref="Z27:AE31"/>
    <mergeCell ref="AF27:AK31"/>
    <mergeCell ref="AL27:AQ31"/>
    <mergeCell ref="B36:G39"/>
    <mergeCell ref="H36:M39"/>
    <mergeCell ref="N36:S39"/>
    <mergeCell ref="T36:Y39"/>
    <mergeCell ref="Z36:AE39"/>
    <mergeCell ref="AF36:AK39"/>
    <mergeCell ref="AS21:AW22"/>
    <mergeCell ref="I11:M12"/>
    <mergeCell ref="AM11:AQ12"/>
    <mergeCell ref="O9:S10"/>
    <mergeCell ref="AS9:AW10"/>
    <mergeCell ref="AR27:AW31"/>
    <mergeCell ref="O13:S14"/>
    <mergeCell ref="AS13:AW14"/>
    <mergeCell ref="U17:Y18"/>
    <mergeCell ref="AG17:AK18"/>
    <mergeCell ref="AG11:AK12"/>
    <mergeCell ref="C9:G10"/>
    <mergeCell ref="AG9:AK10"/>
    <mergeCell ref="AA9:AE10"/>
    <mergeCell ref="AS11:AW12"/>
    <mergeCell ref="AR9:AR10"/>
    <mergeCell ref="AR11:AR12"/>
    <mergeCell ref="AF9:AF10"/>
    <mergeCell ref="AF11:AF12"/>
    <mergeCell ref="T9:T10"/>
    <mergeCell ref="T11:T12"/>
    <mergeCell ref="U64:V66"/>
    <mergeCell ref="B103:AU105"/>
    <mergeCell ref="C19:G20"/>
    <mergeCell ref="AG19:AK20"/>
    <mergeCell ref="U15:Y16"/>
    <mergeCell ref="U11:Y12"/>
    <mergeCell ref="O17:S18"/>
    <mergeCell ref="AS17:AW18"/>
    <mergeCell ref="C15:G16"/>
    <mergeCell ref="AG15:AK16"/>
    <mergeCell ref="O25:S26"/>
    <mergeCell ref="AS25:AW26"/>
    <mergeCell ref="I17:M18"/>
    <mergeCell ref="AM17:AQ18"/>
    <mergeCell ref="AA11:AE12"/>
    <mergeCell ref="AL59:AQ61"/>
    <mergeCell ref="O19:S20"/>
    <mergeCell ref="AS19:AW20"/>
    <mergeCell ref="Z90:AU91"/>
    <mergeCell ref="AI98:AU99"/>
    <mergeCell ref="B32:G35"/>
    <mergeCell ref="H32:M35"/>
    <mergeCell ref="N32:S35"/>
    <mergeCell ref="C11:G12"/>
    <mergeCell ref="U19:Y20"/>
    <mergeCell ref="F74:N75"/>
    <mergeCell ref="F65:G73"/>
    <mergeCell ref="W64:AJ66"/>
    <mergeCell ref="B90:W91"/>
    <mergeCell ref="B86:AU88"/>
    <mergeCell ref="U82:AJ84"/>
    <mergeCell ref="I19:M20"/>
    <mergeCell ref="AM19:AQ20"/>
    <mergeCell ref="AA23:AE24"/>
    <mergeCell ref="I23:M24"/>
    <mergeCell ref="AM23:AQ24"/>
    <mergeCell ref="AN64:AW65"/>
    <mergeCell ref="U73:V75"/>
    <mergeCell ref="I21:M22"/>
    <mergeCell ref="AM21:AQ22"/>
    <mergeCell ref="C25:G26"/>
    <mergeCell ref="AG25:AK26"/>
    <mergeCell ref="O23:S24"/>
    <mergeCell ref="AS23:AW24"/>
    <mergeCell ref="H54:M57"/>
    <mergeCell ref="AN70:AW73"/>
    <mergeCell ref="W79:AJ81"/>
    <mergeCell ref="U21:Y22"/>
    <mergeCell ref="R115:AA121"/>
    <mergeCell ref="AC109:AI114"/>
    <mergeCell ref="AC115:AM121"/>
    <mergeCell ref="R107:AA108"/>
    <mergeCell ref="B107:P108"/>
    <mergeCell ref="AO112:AU121"/>
    <mergeCell ref="W70:AJ72"/>
    <mergeCell ref="U67:V69"/>
    <mergeCell ref="I25:M26"/>
    <mergeCell ref="AM25:AQ26"/>
    <mergeCell ref="B109:M115"/>
    <mergeCell ref="B116:M121"/>
    <mergeCell ref="X113:AA114"/>
    <mergeCell ref="AJ113:AM114"/>
    <mergeCell ref="N109:P121"/>
    <mergeCell ref="R109:W114"/>
    <mergeCell ref="AO109:AU111"/>
    <mergeCell ref="X110:AA111"/>
    <mergeCell ref="AJ110:AM111"/>
    <mergeCell ref="AC107:AM108"/>
    <mergeCell ref="M98:W99"/>
    <mergeCell ref="M100:W101"/>
    <mergeCell ref="M92:W93"/>
    <mergeCell ref="AO107:AU108"/>
    <mergeCell ref="AR13:AR14"/>
    <mergeCell ref="AR15:AR16"/>
    <mergeCell ref="AR17:AR18"/>
    <mergeCell ref="AR19:AR20"/>
    <mergeCell ref="AR21:AR22"/>
    <mergeCell ref="AR23:AR24"/>
    <mergeCell ref="AR25:AR26"/>
    <mergeCell ref="AL9:AL10"/>
    <mergeCell ref="AL11:AL12"/>
    <mergeCell ref="AL13:AL14"/>
    <mergeCell ref="AL15:AL16"/>
    <mergeCell ref="AL17:AL18"/>
    <mergeCell ref="AL19:AL20"/>
    <mergeCell ref="AL21:AL22"/>
    <mergeCell ref="AL23:AL24"/>
    <mergeCell ref="AL25:AL26"/>
    <mergeCell ref="AF13:AF14"/>
    <mergeCell ref="AF15:AF16"/>
    <mergeCell ref="AF17:AF18"/>
    <mergeCell ref="AF19:AF20"/>
    <mergeCell ref="AF21:AF22"/>
    <mergeCell ref="AF23:AF24"/>
    <mergeCell ref="AF25:AF26"/>
    <mergeCell ref="Z9:Z10"/>
    <mergeCell ref="Z11:Z12"/>
    <mergeCell ref="Z13:Z14"/>
    <mergeCell ref="Z15:Z16"/>
    <mergeCell ref="Z17:Z18"/>
    <mergeCell ref="Z19:Z20"/>
    <mergeCell ref="Z21:Z22"/>
    <mergeCell ref="Z23:Z24"/>
    <mergeCell ref="Z25:Z26"/>
    <mergeCell ref="AA21:AE22"/>
    <mergeCell ref="T13:T14"/>
    <mergeCell ref="T15:T16"/>
    <mergeCell ref="T17:T18"/>
    <mergeCell ref="T19:T20"/>
    <mergeCell ref="T21:T22"/>
    <mergeCell ref="T23:T24"/>
    <mergeCell ref="T25:T26"/>
    <mergeCell ref="N9:N10"/>
    <mergeCell ref="N11:N12"/>
    <mergeCell ref="N13:N14"/>
    <mergeCell ref="N15:N16"/>
    <mergeCell ref="N17:N18"/>
    <mergeCell ref="N19:N20"/>
    <mergeCell ref="N21:N22"/>
    <mergeCell ref="N23:N24"/>
    <mergeCell ref="N25:N26"/>
    <mergeCell ref="O15:S16"/>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B9:B10"/>
    <mergeCell ref="B11:B12"/>
    <mergeCell ref="X109:AA109"/>
    <mergeCell ref="AJ109:AM109"/>
    <mergeCell ref="X112:AA112"/>
    <mergeCell ref="AJ112:AM112"/>
    <mergeCell ref="A27:A31"/>
    <mergeCell ref="A32:A35"/>
    <mergeCell ref="A36:A39"/>
    <mergeCell ref="A40:A43"/>
    <mergeCell ref="A44:A84"/>
    <mergeCell ref="T32:Y35"/>
    <mergeCell ref="Z32:AE35"/>
    <mergeCell ref="AF32:AK35"/>
    <mergeCell ref="AL32:AQ35"/>
    <mergeCell ref="H71:J71"/>
    <mergeCell ref="K71:L71"/>
    <mergeCell ref="M71:N71"/>
    <mergeCell ref="O71:Q71"/>
    <mergeCell ref="H72:J72"/>
    <mergeCell ref="K72:L72"/>
    <mergeCell ref="M72:N72"/>
    <mergeCell ref="O72:Q72"/>
    <mergeCell ref="H73:J73"/>
    <mergeCell ref="K73:L73"/>
    <mergeCell ref="M73:N73"/>
    <mergeCell ref="AR32:AW35"/>
    <mergeCell ref="T49:Y51"/>
    <mergeCell ref="AF49:AK51"/>
    <mergeCell ref="AL49:AQ51"/>
    <mergeCell ref="AR49:AW51"/>
    <mergeCell ref="B44:G46"/>
    <mergeCell ref="H44:M46"/>
    <mergeCell ref="N44:S46"/>
    <mergeCell ref="T44:Y46"/>
    <mergeCell ref="Z44:AE46"/>
    <mergeCell ref="K68:L68"/>
    <mergeCell ref="M68:N68"/>
    <mergeCell ref="O68:Q68"/>
    <mergeCell ref="H69:J69"/>
    <mergeCell ref="K69:L69"/>
    <mergeCell ref="M69:N69"/>
    <mergeCell ref="O69:Q69"/>
    <mergeCell ref="H70:J70"/>
    <mergeCell ref="K70:L70"/>
    <mergeCell ref="M70:N70"/>
    <mergeCell ref="O70:Q70"/>
    <mergeCell ref="H65:J65"/>
    <mergeCell ref="K65:L65"/>
    <mergeCell ref="M65:N65"/>
    <mergeCell ref="O65:R65"/>
    <mergeCell ref="H66:J66"/>
    <mergeCell ref="K66:L66"/>
    <mergeCell ref="M66:N66"/>
    <mergeCell ref="O66:Q66"/>
    <mergeCell ref="H67:J67"/>
    <mergeCell ref="K67:L67"/>
    <mergeCell ref="M67:N67"/>
    <mergeCell ref="O67:Q67"/>
    <mergeCell ref="H8:M8"/>
    <mergeCell ref="N8:S8"/>
    <mergeCell ref="T8:Y8"/>
    <mergeCell ref="Z8:AE8"/>
    <mergeCell ref="AF8:AK8"/>
    <mergeCell ref="AL8:AQ8"/>
    <mergeCell ref="AR8:AW8"/>
    <mergeCell ref="B2:AW2"/>
    <mergeCell ref="B3:G3"/>
    <mergeCell ref="H3:M3"/>
    <mergeCell ref="N3:S3"/>
    <mergeCell ref="T3:Y3"/>
    <mergeCell ref="Z3:AE3"/>
    <mergeCell ref="AF3:AK3"/>
    <mergeCell ref="AL3:AQ3"/>
    <mergeCell ref="AR3:AW3"/>
    <mergeCell ref="B4:G5"/>
    <mergeCell ref="H4:M5"/>
    <mergeCell ref="N4:S5"/>
    <mergeCell ref="T4:Y5"/>
    <mergeCell ref="Z4:AE5"/>
    <mergeCell ref="AF4:AK5"/>
    <mergeCell ref="AL4:AQ5"/>
    <mergeCell ref="AR4:AW5"/>
  </mergeCell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216"/>
  <sheetViews>
    <sheetView showGridLines="0" showRowColHeaders="0" topLeftCell="A51" workbookViewId="0">
      <selection activeCell="G59" sqref="G59:J59"/>
    </sheetView>
  </sheetViews>
  <sheetFormatPr baseColWidth="10" defaultColWidth="9" defaultRowHeight="14"/>
  <cols>
    <col min="1" max="1" width="5.83203125" style="328" customWidth="1"/>
    <col min="2" max="4" width="9" style="328" customWidth="1"/>
    <col min="5" max="5" width="8.1640625" style="328" customWidth="1"/>
    <col min="6" max="6" width="8" style="328" customWidth="1"/>
    <col min="7" max="8" width="6.6640625" style="328" customWidth="1"/>
    <col min="9" max="10" width="7.6640625" style="328" customWidth="1"/>
    <col min="11" max="13" width="9" style="328" customWidth="1"/>
    <col min="14" max="14" width="8" style="328" customWidth="1"/>
    <col min="15" max="16" width="6.6640625" style="328" customWidth="1"/>
    <col min="17" max="18" width="7.6640625" style="328" customWidth="1"/>
    <col min="19" max="21" width="9" style="328" customWidth="1"/>
    <col min="22" max="22" width="8" style="328" customWidth="1"/>
    <col min="23" max="23" width="8.1640625" style="328" customWidth="1"/>
    <col min="24" max="24" width="6.6640625" style="328" customWidth="1"/>
    <col min="25" max="25" width="8" style="328" customWidth="1"/>
    <col min="26" max="26" width="7.6640625" style="328" customWidth="1"/>
    <col min="27" max="28" width="9" style="328" customWidth="1"/>
  </cols>
  <sheetData>
    <row r="1" spans="1:28" ht="21" customHeight="1"/>
    <row r="2" spans="1:28" s="15" customFormat="1" ht="12" customHeight="1">
      <c r="B2" s="2196" t="s">
        <v>3758</v>
      </c>
      <c r="C2" s="2197"/>
      <c r="D2" s="2197"/>
      <c r="E2" s="2197"/>
      <c r="F2" s="2197"/>
      <c r="G2" s="2197"/>
      <c r="H2" s="2197"/>
      <c r="I2" s="2197"/>
      <c r="J2" s="2197"/>
      <c r="K2" s="2197"/>
      <c r="L2" s="2197"/>
      <c r="M2" s="2197"/>
      <c r="N2" s="2197"/>
      <c r="O2" s="2197"/>
      <c r="P2" s="2197"/>
      <c r="Q2" s="2197"/>
      <c r="R2" s="2197"/>
      <c r="S2" s="2197"/>
      <c r="T2" s="2197"/>
      <c r="U2" s="2197"/>
      <c r="V2" s="2197"/>
      <c r="W2" s="2197"/>
      <c r="X2" s="2197"/>
      <c r="Y2" s="2197"/>
      <c r="Z2" s="2197"/>
      <c r="AA2" s="2198"/>
      <c r="AB2" s="366"/>
    </row>
    <row r="3" spans="1:28" s="15" customFormat="1" ht="13" customHeight="1">
      <c r="B3" s="2199"/>
      <c r="C3" s="2200"/>
      <c r="D3" s="2200"/>
      <c r="E3" s="2200"/>
      <c r="F3" s="2200"/>
      <c r="G3" s="2200"/>
      <c r="H3" s="2200"/>
      <c r="I3" s="2200"/>
      <c r="J3" s="2200"/>
      <c r="K3" s="2200"/>
      <c r="L3" s="2200"/>
      <c r="M3" s="2200"/>
      <c r="N3" s="2200"/>
      <c r="O3" s="2200"/>
      <c r="P3" s="2200"/>
      <c r="Q3" s="2200"/>
      <c r="R3" s="2200"/>
      <c r="S3" s="2200"/>
      <c r="T3" s="2200"/>
      <c r="U3" s="2200"/>
      <c r="V3" s="2200"/>
      <c r="W3" s="2200"/>
      <c r="X3" s="2200"/>
      <c r="Y3" s="2200"/>
      <c r="Z3" s="2200"/>
      <c r="AA3" s="2201"/>
      <c r="AB3" s="366"/>
    </row>
    <row r="4" spans="1:28" s="15" customFormat="1" ht="18" customHeight="1">
      <c r="A4" s="329"/>
      <c r="B4" s="2202"/>
      <c r="C4" s="2203"/>
      <c r="D4" s="2203"/>
      <c r="E4" s="2203"/>
      <c r="F4" s="2203"/>
      <c r="G4" s="2203"/>
      <c r="H4" s="2203"/>
      <c r="I4" s="2203"/>
      <c r="J4" s="2203"/>
      <c r="K4" s="2203"/>
      <c r="L4" s="2203"/>
      <c r="M4" s="2203"/>
      <c r="N4" s="2203"/>
      <c r="O4" s="2203"/>
      <c r="P4" s="2203"/>
      <c r="Q4" s="2203"/>
      <c r="R4" s="2203"/>
      <c r="S4" s="2203"/>
      <c r="T4" s="2203"/>
      <c r="U4" s="2203"/>
      <c r="V4" s="2203"/>
      <c r="W4" s="2203"/>
      <c r="X4" s="2203"/>
      <c r="Y4" s="2203"/>
      <c r="Z4" s="2203"/>
      <c r="AA4" s="2204"/>
      <c r="AB4" s="366"/>
    </row>
    <row r="5" spans="1:28" s="15" customFormat="1" ht="17">
      <c r="B5" s="330"/>
      <c r="C5" s="330"/>
      <c r="D5" s="330"/>
      <c r="E5" s="330"/>
      <c r="F5" s="330"/>
      <c r="G5" s="330"/>
      <c r="H5" s="330"/>
      <c r="I5" s="330"/>
      <c r="J5" s="330"/>
      <c r="K5" s="330"/>
      <c r="L5" s="330"/>
      <c r="M5" s="330"/>
      <c r="N5" s="330"/>
      <c r="O5" s="330"/>
      <c r="P5" s="330"/>
      <c r="Q5" s="330"/>
      <c r="R5" s="330"/>
      <c r="S5" s="330"/>
      <c r="T5" s="330"/>
      <c r="V5" s="2427"/>
      <c r="W5" s="2427"/>
      <c r="X5" s="2427"/>
      <c r="Y5" s="2427"/>
      <c r="Z5" s="2427"/>
      <c r="AA5" s="2427"/>
      <c r="AB5" s="2428"/>
    </row>
    <row r="6" spans="1:28" s="15" customFormat="1" ht="17">
      <c r="A6" s="2555" t="s">
        <v>3759</v>
      </c>
      <c r="B6" s="2555"/>
      <c r="C6" s="2555"/>
      <c r="D6" s="2555"/>
      <c r="E6" s="1354" t="s">
        <v>3760</v>
      </c>
      <c r="F6" s="2021"/>
      <c r="G6" s="2021"/>
      <c r="H6" s="2021"/>
      <c r="I6" s="2021"/>
      <c r="J6" s="2021"/>
      <c r="K6" s="2022"/>
      <c r="L6" s="340"/>
      <c r="M6" s="1354" t="s">
        <v>3761</v>
      </c>
      <c r="N6" s="2021"/>
      <c r="O6" s="2021"/>
      <c r="P6" s="2021"/>
      <c r="Q6" s="2021"/>
      <c r="R6" s="2021"/>
      <c r="S6" s="2022"/>
      <c r="T6" s="340"/>
      <c r="U6" s="1354" t="s">
        <v>3762</v>
      </c>
      <c r="V6" s="2021"/>
      <c r="W6" s="2021"/>
      <c r="X6" s="2021"/>
      <c r="Y6" s="2021"/>
      <c r="Z6" s="2021"/>
      <c r="AA6" s="2022"/>
    </row>
    <row r="7" spans="1:28" s="15" customFormat="1" ht="17">
      <c r="A7" s="2555"/>
      <c r="B7" s="2555"/>
      <c r="C7" s="2555"/>
      <c r="D7" s="2555"/>
      <c r="E7" s="337" t="s">
        <v>175</v>
      </c>
      <c r="F7" s="338" t="s">
        <v>94</v>
      </c>
      <c r="G7" s="1790" t="s">
        <v>3763</v>
      </c>
      <c r="H7" s="2033"/>
      <c r="I7" s="1790" t="s">
        <v>177</v>
      </c>
      <c r="J7" s="2033"/>
      <c r="K7" s="350" t="s">
        <v>176</v>
      </c>
      <c r="L7" s="340"/>
      <c r="M7" s="337" t="s">
        <v>175</v>
      </c>
      <c r="N7" s="338" t="s">
        <v>94</v>
      </c>
      <c r="O7" s="1790" t="s">
        <v>3763</v>
      </c>
      <c r="P7" s="2033"/>
      <c r="Q7" s="1790" t="s">
        <v>177</v>
      </c>
      <c r="R7" s="2033"/>
      <c r="S7" s="350" t="s">
        <v>176</v>
      </c>
      <c r="T7" s="340"/>
      <c r="U7" s="337" t="s">
        <v>175</v>
      </c>
      <c r="V7" s="338" t="s">
        <v>94</v>
      </c>
      <c r="W7" s="1790" t="s">
        <v>3763</v>
      </c>
      <c r="X7" s="2033"/>
      <c r="Y7" s="1790" t="s">
        <v>177</v>
      </c>
      <c r="Z7" s="2033"/>
      <c r="AA7" s="350" t="s">
        <v>176</v>
      </c>
    </row>
    <row r="8" spans="1:28" s="15" customFormat="1" ht="40" customHeight="1">
      <c r="A8" s="2555"/>
      <c r="B8" s="2555"/>
      <c r="C8" s="2555"/>
      <c r="D8" s="2555"/>
      <c r="E8" s="339" t="s">
        <v>3764</v>
      </c>
      <c r="F8" s="340">
        <v>0</v>
      </c>
      <c r="G8" s="1315">
        <v>0.5</v>
      </c>
      <c r="H8" s="1315"/>
      <c r="I8" s="1315" t="s">
        <v>3765</v>
      </c>
      <c r="J8" s="1315"/>
      <c r="K8" s="351">
        <v>0.5</v>
      </c>
      <c r="L8" s="340"/>
      <c r="M8" s="339" t="s">
        <v>3764</v>
      </c>
      <c r="N8" s="340">
        <v>0</v>
      </c>
      <c r="O8" s="1315">
        <v>100</v>
      </c>
      <c r="P8" s="1315"/>
      <c r="Q8" s="1315" t="s">
        <v>3765</v>
      </c>
      <c r="R8" s="1315"/>
      <c r="S8" s="351">
        <v>50</v>
      </c>
      <c r="T8" s="340"/>
      <c r="U8" s="339" t="s">
        <v>3764</v>
      </c>
      <c r="V8" s="340">
        <v>0</v>
      </c>
      <c r="W8" s="1315">
        <v>1000</v>
      </c>
      <c r="X8" s="1315"/>
      <c r="Y8" s="1315" t="s">
        <v>3765</v>
      </c>
      <c r="Z8" s="1315"/>
      <c r="AA8" s="351">
        <v>500</v>
      </c>
    </row>
    <row r="9" spans="1:28" s="15" customFormat="1" ht="40" customHeight="1">
      <c r="A9" s="2436" t="s">
        <v>3766</v>
      </c>
      <c r="B9" s="2436"/>
      <c r="C9" s="2436"/>
      <c r="D9" s="2436"/>
      <c r="E9" s="341" t="s">
        <v>3767</v>
      </c>
      <c r="F9" s="342" t="s">
        <v>3768</v>
      </c>
      <c r="G9" s="1648" t="s">
        <v>3769</v>
      </c>
      <c r="H9" s="1623"/>
      <c r="I9" s="1648" t="s">
        <v>3770</v>
      </c>
      <c r="J9" s="1623"/>
      <c r="K9" s="352">
        <v>2</v>
      </c>
      <c r="L9" s="340"/>
      <c r="M9" s="341" t="s">
        <v>3767</v>
      </c>
      <c r="N9" s="342" t="s">
        <v>3768</v>
      </c>
      <c r="O9" s="1648" t="s">
        <v>3771</v>
      </c>
      <c r="P9" s="1623"/>
      <c r="Q9" s="1648" t="s">
        <v>3772</v>
      </c>
      <c r="R9" s="1623"/>
      <c r="S9" s="352">
        <v>100</v>
      </c>
      <c r="T9" s="340"/>
      <c r="U9" s="341" t="s">
        <v>3767</v>
      </c>
      <c r="V9" s="342" t="s">
        <v>3768</v>
      </c>
      <c r="W9" s="1648" t="s">
        <v>3773</v>
      </c>
      <c r="X9" s="1623"/>
      <c r="Y9" s="1648" t="s">
        <v>3774</v>
      </c>
      <c r="Z9" s="1623"/>
      <c r="AA9" s="352">
        <v>2000</v>
      </c>
    </row>
    <row r="10" spans="1:28" s="15" customFormat="1" ht="40" customHeight="1">
      <c r="A10" s="2436"/>
      <c r="B10" s="2436"/>
      <c r="C10" s="2436"/>
      <c r="D10" s="2436"/>
      <c r="E10" s="339" t="s">
        <v>3775</v>
      </c>
      <c r="F10" s="340" t="s">
        <v>3776</v>
      </c>
      <c r="G10" s="1999" t="s">
        <v>3777</v>
      </c>
      <c r="H10" s="1999"/>
      <c r="I10" s="1999" t="s">
        <v>3778</v>
      </c>
      <c r="J10" s="1999"/>
      <c r="K10" s="351">
        <v>10</v>
      </c>
      <c r="L10" s="340"/>
      <c r="M10" s="339" t="s">
        <v>3775</v>
      </c>
      <c r="N10" s="340" t="s">
        <v>3776</v>
      </c>
      <c r="O10" s="1999" t="s">
        <v>3779</v>
      </c>
      <c r="P10" s="1999"/>
      <c r="Q10" s="1999" t="s">
        <v>3780</v>
      </c>
      <c r="R10" s="1999"/>
      <c r="S10" s="351">
        <v>1000</v>
      </c>
      <c r="T10" s="340"/>
      <c r="U10" s="339" t="s">
        <v>3775</v>
      </c>
      <c r="V10" s="340" t="s">
        <v>3781</v>
      </c>
      <c r="W10" s="1999" t="s">
        <v>3782</v>
      </c>
      <c r="X10" s="1999"/>
      <c r="Y10" s="1999" t="s">
        <v>3783</v>
      </c>
      <c r="Z10" s="1999"/>
      <c r="AA10" s="351">
        <v>25000</v>
      </c>
    </row>
    <row r="11" spans="1:28" s="15" customFormat="1" ht="40" customHeight="1">
      <c r="A11" s="332"/>
      <c r="B11" s="332"/>
      <c r="C11" s="332"/>
      <c r="D11" s="332"/>
      <c r="E11" s="341" t="s">
        <v>3784</v>
      </c>
      <c r="F11" s="342" t="s">
        <v>3785</v>
      </c>
      <c r="G11" s="1648" t="s">
        <v>3786</v>
      </c>
      <c r="H11" s="1623"/>
      <c r="I11" s="1648" t="s">
        <v>3787</v>
      </c>
      <c r="J11" s="1623"/>
      <c r="K11" s="352">
        <v>50</v>
      </c>
      <c r="L11" s="340"/>
      <c r="M11" s="341" t="s">
        <v>3784</v>
      </c>
      <c r="N11" s="342" t="s">
        <v>3785</v>
      </c>
      <c r="O11" s="1648" t="s">
        <v>3787</v>
      </c>
      <c r="P11" s="1623"/>
      <c r="Q11" s="1648" t="s">
        <v>3788</v>
      </c>
      <c r="R11" s="1623"/>
      <c r="S11" s="352">
        <v>5000</v>
      </c>
      <c r="T11" s="340"/>
      <c r="U11" s="341" t="s">
        <v>3784</v>
      </c>
      <c r="V11" s="342" t="s">
        <v>3785</v>
      </c>
      <c r="W11" s="1648" t="s">
        <v>3789</v>
      </c>
      <c r="X11" s="1623"/>
      <c r="Y11" s="1648" t="s">
        <v>3790</v>
      </c>
      <c r="Z11" s="1623"/>
      <c r="AA11" s="352" t="s">
        <v>3791</v>
      </c>
    </row>
    <row r="12" spans="1:28" s="15" customFormat="1" ht="40" customHeight="1">
      <c r="A12" s="2111" t="s">
        <v>3792</v>
      </c>
      <c r="B12" s="2111"/>
      <c r="C12" s="2111"/>
      <c r="D12" s="2111"/>
      <c r="E12" s="339" t="s">
        <v>3793</v>
      </c>
      <c r="F12" s="340" t="s">
        <v>3794</v>
      </c>
      <c r="G12" s="1999" t="s">
        <v>3795</v>
      </c>
      <c r="H12" s="1999"/>
      <c r="I12" s="1999" t="s">
        <v>3773</v>
      </c>
      <c r="J12" s="1999"/>
      <c r="K12" s="351">
        <v>250</v>
      </c>
      <c r="L12" s="340"/>
      <c r="M12" s="339" t="s">
        <v>3793</v>
      </c>
      <c r="N12" s="340" t="s">
        <v>3794</v>
      </c>
      <c r="O12" s="1999" t="s">
        <v>3796</v>
      </c>
      <c r="P12" s="1999"/>
      <c r="Q12" s="1999" t="s">
        <v>3797</v>
      </c>
      <c r="R12" s="1999"/>
      <c r="S12" s="351" t="s">
        <v>3798</v>
      </c>
      <c r="T12" s="340"/>
      <c r="U12" s="339" t="s">
        <v>3793</v>
      </c>
      <c r="V12" s="340" t="s">
        <v>3794</v>
      </c>
      <c r="W12" s="1999" t="s">
        <v>3799</v>
      </c>
      <c r="X12" s="1999"/>
      <c r="Y12" s="1999" t="s">
        <v>3800</v>
      </c>
      <c r="Z12" s="1999"/>
      <c r="AA12" s="351" t="s">
        <v>3801</v>
      </c>
    </row>
    <row r="13" spans="1:28" s="15" customFormat="1" ht="40" customHeight="1">
      <c r="A13" s="2111"/>
      <c r="B13" s="2111"/>
      <c r="C13" s="2111"/>
      <c r="D13" s="2111"/>
      <c r="E13" s="344" t="s">
        <v>3802</v>
      </c>
      <c r="F13" s="345">
        <v>99</v>
      </c>
      <c r="G13" s="2429" t="s">
        <v>3803</v>
      </c>
      <c r="H13" s="1633"/>
      <c r="I13" s="2429" t="s">
        <v>3804</v>
      </c>
      <c r="J13" s="1633"/>
      <c r="K13" s="353">
        <v>5000</v>
      </c>
      <c r="L13" s="340"/>
      <c r="M13" s="344" t="s">
        <v>3802</v>
      </c>
      <c r="N13" s="345">
        <v>99</v>
      </c>
      <c r="O13" s="2429" t="s">
        <v>3805</v>
      </c>
      <c r="P13" s="1633"/>
      <c r="Q13" s="2429" t="s">
        <v>3806</v>
      </c>
      <c r="R13" s="1633"/>
      <c r="S13" s="353" t="s">
        <v>3791</v>
      </c>
      <c r="T13" s="340"/>
      <c r="U13" s="344" t="s">
        <v>3802</v>
      </c>
      <c r="V13" s="345">
        <v>99</v>
      </c>
      <c r="W13" s="2429" t="s">
        <v>3807</v>
      </c>
      <c r="X13" s="1633"/>
      <c r="Y13" s="2429" t="s">
        <v>3808</v>
      </c>
      <c r="Z13" s="1633"/>
      <c r="AA13" s="353" t="s">
        <v>3809</v>
      </c>
    </row>
    <row r="14" spans="1:28" s="15" customFormat="1" ht="14" customHeight="1">
      <c r="B14" s="1"/>
      <c r="C14" s="2"/>
      <c r="D14" s="333"/>
      <c r="E14" s="340"/>
      <c r="F14" s="340"/>
      <c r="G14" s="340"/>
      <c r="H14" s="340"/>
      <c r="I14" s="340"/>
      <c r="J14" s="340"/>
      <c r="K14" s="340"/>
      <c r="L14" s="340"/>
      <c r="M14" s="357"/>
      <c r="N14" s="340"/>
      <c r="O14" s="340"/>
      <c r="P14" s="340"/>
      <c r="Q14" s="340"/>
      <c r="R14" s="340"/>
      <c r="S14" s="340"/>
      <c r="T14" s="340"/>
      <c r="U14" s="357"/>
      <c r="V14" s="340"/>
      <c r="W14" s="340"/>
      <c r="X14" s="340"/>
      <c r="Y14" s="340"/>
      <c r="Z14" s="340"/>
      <c r="AA14" s="340"/>
    </row>
    <row r="15" spans="1:28" s="15" customFormat="1" ht="14" customHeight="1">
      <c r="B15" s="1"/>
      <c r="C15" s="2"/>
      <c r="D15" s="333"/>
      <c r="E15" s="1354" t="s">
        <v>3810</v>
      </c>
      <c r="F15" s="2021"/>
      <c r="G15" s="2021"/>
      <c r="H15" s="2021"/>
      <c r="I15" s="2021"/>
      <c r="J15" s="2021"/>
      <c r="K15" s="2022"/>
      <c r="L15" s="340"/>
      <c r="M15" s="1354" t="s">
        <v>3811</v>
      </c>
      <c r="N15" s="2021"/>
      <c r="O15" s="2021"/>
      <c r="P15" s="2021"/>
      <c r="Q15" s="2021"/>
      <c r="R15" s="2021"/>
      <c r="S15" s="2022"/>
      <c r="T15" s="340"/>
      <c r="U15" s="1354" t="s">
        <v>3812</v>
      </c>
      <c r="V15" s="2021"/>
      <c r="W15" s="2021"/>
      <c r="X15" s="2021"/>
      <c r="Y15" s="2021"/>
      <c r="Z15" s="2021"/>
      <c r="AA15" s="2022"/>
    </row>
    <row r="16" spans="1:28" s="15" customFormat="1" ht="21">
      <c r="B16" s="1"/>
      <c r="C16" s="2"/>
      <c r="D16" s="333"/>
      <c r="E16" s="337" t="s">
        <v>175</v>
      </c>
      <c r="F16" s="338" t="s">
        <v>94</v>
      </c>
      <c r="G16" s="1790" t="s">
        <v>3763</v>
      </c>
      <c r="H16" s="2033"/>
      <c r="I16" s="1790" t="s">
        <v>177</v>
      </c>
      <c r="J16" s="2033"/>
      <c r="K16" s="350" t="s">
        <v>176</v>
      </c>
      <c r="L16" s="340"/>
      <c r="M16" s="337" t="s">
        <v>175</v>
      </c>
      <c r="N16" s="338" t="s">
        <v>94</v>
      </c>
      <c r="O16" s="1790" t="s">
        <v>3763</v>
      </c>
      <c r="P16" s="2033"/>
      <c r="Q16" s="1790" t="s">
        <v>177</v>
      </c>
      <c r="R16" s="2033"/>
      <c r="S16" s="350" t="s">
        <v>176</v>
      </c>
      <c r="T16" s="340"/>
      <c r="U16" s="337" t="s">
        <v>175</v>
      </c>
      <c r="V16" s="338" t="s">
        <v>94</v>
      </c>
      <c r="W16" s="1790" t="s">
        <v>3763</v>
      </c>
      <c r="X16" s="2033"/>
      <c r="Y16" s="1790" t="s">
        <v>177</v>
      </c>
      <c r="Z16" s="2033"/>
      <c r="AA16" s="350" t="s">
        <v>176</v>
      </c>
    </row>
    <row r="17" spans="2:28" s="15" customFormat="1" ht="40" customHeight="1">
      <c r="B17" s="1"/>
      <c r="C17" s="2"/>
      <c r="D17" s="333"/>
      <c r="E17" s="339" t="s">
        <v>3764</v>
      </c>
      <c r="F17" s="340">
        <v>0</v>
      </c>
      <c r="G17" s="1315">
        <v>10</v>
      </c>
      <c r="H17" s="1315"/>
      <c r="I17" s="1315" t="s">
        <v>3765</v>
      </c>
      <c r="J17" s="1315"/>
      <c r="K17" s="351">
        <v>10</v>
      </c>
      <c r="L17" s="340"/>
      <c r="M17" s="339" t="s">
        <v>3764</v>
      </c>
      <c r="N17" s="340">
        <v>0</v>
      </c>
      <c r="O17" s="1315" t="s">
        <v>3813</v>
      </c>
      <c r="P17" s="1315"/>
      <c r="Q17" s="1315" t="s">
        <v>3765</v>
      </c>
      <c r="R17" s="1315"/>
      <c r="S17" s="351" t="s">
        <v>3814</v>
      </c>
      <c r="T17" s="340"/>
      <c r="U17" s="339" t="s">
        <v>3764</v>
      </c>
      <c r="V17" s="340">
        <v>0</v>
      </c>
      <c r="W17" s="1315">
        <v>10</v>
      </c>
      <c r="X17" s="1315"/>
      <c r="Y17" s="1315" t="s">
        <v>3765</v>
      </c>
      <c r="Z17" s="1315"/>
      <c r="AA17" s="351">
        <v>10</v>
      </c>
    </row>
    <row r="18" spans="2:28" s="15" customFormat="1" ht="40" customHeight="1">
      <c r="B18" s="1"/>
      <c r="C18" s="2"/>
      <c r="D18" s="333"/>
      <c r="E18" s="341" t="s">
        <v>3767</v>
      </c>
      <c r="F18" s="342" t="s">
        <v>3768</v>
      </c>
      <c r="G18" s="1648" t="s">
        <v>3815</v>
      </c>
      <c r="H18" s="1623"/>
      <c r="I18" s="1648" t="s">
        <v>3816</v>
      </c>
      <c r="J18" s="1623"/>
      <c r="K18" s="352">
        <v>40</v>
      </c>
      <c r="L18" s="340"/>
      <c r="M18" s="341" t="s">
        <v>3767</v>
      </c>
      <c r="N18" s="342" t="s">
        <v>3768</v>
      </c>
      <c r="O18" s="1648" t="s">
        <v>3817</v>
      </c>
      <c r="P18" s="1623"/>
      <c r="Q18" s="1648" t="s">
        <v>3818</v>
      </c>
      <c r="R18" s="1623"/>
      <c r="S18" s="352" t="s">
        <v>3819</v>
      </c>
      <c r="T18" s="340"/>
      <c r="U18" s="341" t="s">
        <v>3767</v>
      </c>
      <c r="V18" s="342" t="s">
        <v>3768</v>
      </c>
      <c r="W18" s="1648" t="s">
        <v>3820</v>
      </c>
      <c r="X18" s="1623"/>
      <c r="Y18" s="1648" t="s">
        <v>3821</v>
      </c>
      <c r="Z18" s="1623"/>
      <c r="AA18" s="352">
        <v>35</v>
      </c>
    </row>
    <row r="19" spans="2:28" s="15" customFormat="1" ht="40" customHeight="1">
      <c r="B19" s="1"/>
      <c r="C19" s="2"/>
      <c r="D19" s="333"/>
      <c r="E19" s="339" t="s">
        <v>3775</v>
      </c>
      <c r="F19" s="340" t="s">
        <v>3776</v>
      </c>
      <c r="G19" s="1999" t="s">
        <v>3822</v>
      </c>
      <c r="H19" s="1999"/>
      <c r="I19" s="1999" t="s">
        <v>3772</v>
      </c>
      <c r="J19" s="1999"/>
      <c r="K19" s="351">
        <v>200</v>
      </c>
      <c r="L19" s="340"/>
      <c r="M19" s="339" t="s">
        <v>3775</v>
      </c>
      <c r="N19" s="340" t="s">
        <v>3776</v>
      </c>
      <c r="O19" s="1999" t="s">
        <v>3818</v>
      </c>
      <c r="P19" s="1999"/>
      <c r="Q19" s="1999" t="s">
        <v>3795</v>
      </c>
      <c r="R19" s="1999"/>
      <c r="S19" s="359" t="s">
        <v>3823</v>
      </c>
      <c r="T19" s="340"/>
      <c r="U19" s="339" t="s">
        <v>3775</v>
      </c>
      <c r="V19" s="340" t="s">
        <v>3776</v>
      </c>
      <c r="W19" s="1999" t="s">
        <v>3824</v>
      </c>
      <c r="X19" s="1999"/>
      <c r="Y19" s="1999" t="s">
        <v>3787</v>
      </c>
      <c r="Z19" s="1999"/>
      <c r="AA19" s="351">
        <v>140</v>
      </c>
    </row>
    <row r="20" spans="2:28" s="15" customFormat="1" ht="40" customHeight="1">
      <c r="B20" s="1"/>
      <c r="C20" s="2"/>
      <c r="D20" s="333"/>
      <c r="E20" s="341" t="s">
        <v>3784</v>
      </c>
      <c r="F20" s="342" t="s">
        <v>3785</v>
      </c>
      <c r="G20" s="1648" t="s">
        <v>3771</v>
      </c>
      <c r="H20" s="1623"/>
      <c r="I20" s="1648" t="s">
        <v>3825</v>
      </c>
      <c r="J20" s="1623"/>
      <c r="K20" s="352">
        <v>1000</v>
      </c>
      <c r="L20" s="340"/>
      <c r="M20" s="341" t="s">
        <v>3784</v>
      </c>
      <c r="N20" s="342" t="s">
        <v>3785</v>
      </c>
      <c r="O20" s="1648" t="s">
        <v>3826</v>
      </c>
      <c r="P20" s="1623"/>
      <c r="Q20" s="1648" t="s">
        <v>3779</v>
      </c>
      <c r="R20" s="1623"/>
      <c r="S20" s="352">
        <v>15</v>
      </c>
      <c r="T20" s="340"/>
      <c r="U20" s="341" t="s">
        <v>3784</v>
      </c>
      <c r="V20" s="342" t="s">
        <v>3785</v>
      </c>
      <c r="W20" s="1648" t="s">
        <v>3827</v>
      </c>
      <c r="X20" s="1623"/>
      <c r="Y20" s="1648" t="s">
        <v>3828</v>
      </c>
      <c r="Z20" s="1623"/>
      <c r="AA20" s="352">
        <v>700</v>
      </c>
    </row>
    <row r="21" spans="2:28" s="15" customFormat="1" ht="40" customHeight="1">
      <c r="B21" s="1"/>
      <c r="C21" s="2"/>
      <c r="D21" s="333"/>
      <c r="E21" s="339" t="s">
        <v>3793</v>
      </c>
      <c r="F21" s="340" t="s">
        <v>3794</v>
      </c>
      <c r="G21" s="1999" t="s">
        <v>3829</v>
      </c>
      <c r="H21" s="1999"/>
      <c r="I21" s="1999" t="s">
        <v>3830</v>
      </c>
      <c r="J21" s="1999"/>
      <c r="K21" s="351">
        <v>5000</v>
      </c>
      <c r="L21" s="340"/>
      <c r="M21" s="339" t="s">
        <v>3793</v>
      </c>
      <c r="N21" s="340" t="s">
        <v>3794</v>
      </c>
      <c r="O21" s="1999" t="s">
        <v>3778</v>
      </c>
      <c r="P21" s="1999"/>
      <c r="Q21" s="1999" t="s">
        <v>3787</v>
      </c>
      <c r="R21" s="1999"/>
      <c r="S21" s="351">
        <v>50</v>
      </c>
      <c r="T21" s="340"/>
      <c r="U21" s="339" t="s">
        <v>3793</v>
      </c>
      <c r="V21" s="340" t="s">
        <v>3794</v>
      </c>
      <c r="W21" s="1999" t="s">
        <v>3831</v>
      </c>
      <c r="X21" s="1999"/>
      <c r="Y21" s="1999" t="s">
        <v>3832</v>
      </c>
      <c r="Z21" s="1999"/>
      <c r="AA21" s="351">
        <v>4000</v>
      </c>
    </row>
    <row r="22" spans="2:28" s="15" customFormat="1" ht="40" customHeight="1">
      <c r="B22" s="1"/>
      <c r="C22" s="2"/>
      <c r="D22" s="333"/>
      <c r="E22" s="344" t="s">
        <v>3802</v>
      </c>
      <c r="F22" s="345">
        <v>99</v>
      </c>
      <c r="G22" s="2429" t="s">
        <v>3805</v>
      </c>
      <c r="H22" s="1633"/>
      <c r="I22" s="2429" t="s">
        <v>3833</v>
      </c>
      <c r="J22" s="1633"/>
      <c r="K22" s="353" t="s">
        <v>3791</v>
      </c>
      <c r="L22" s="340"/>
      <c r="M22" s="344" t="s">
        <v>3802</v>
      </c>
      <c r="N22" s="345">
        <v>99</v>
      </c>
      <c r="O22" s="2429" t="s">
        <v>3834</v>
      </c>
      <c r="P22" s="1633"/>
      <c r="Q22" s="2429" t="s">
        <v>3835</v>
      </c>
      <c r="R22" s="1633"/>
      <c r="S22" s="353">
        <v>250</v>
      </c>
      <c r="T22" s="340"/>
      <c r="U22" s="344" t="s">
        <v>3802</v>
      </c>
      <c r="V22" s="345">
        <v>99</v>
      </c>
      <c r="W22" s="2429" t="s">
        <v>3805</v>
      </c>
      <c r="X22" s="1633"/>
      <c r="Y22" s="2429" t="s">
        <v>3836</v>
      </c>
      <c r="Z22" s="1633"/>
      <c r="AA22" s="353" t="s">
        <v>3837</v>
      </c>
    </row>
    <row r="23" spans="2:28" s="15" customFormat="1" ht="17">
      <c r="E23" s="340"/>
      <c r="F23" s="340"/>
      <c r="G23" s="340"/>
      <c r="H23" s="340"/>
      <c r="I23" s="340"/>
      <c r="J23" s="340"/>
      <c r="K23" s="340"/>
      <c r="L23" s="340"/>
      <c r="M23" s="1315" t="s">
        <v>3838</v>
      </c>
      <c r="N23" s="1315"/>
      <c r="O23" s="1315"/>
      <c r="P23" s="1315"/>
      <c r="Q23" s="1315"/>
      <c r="R23" s="1315"/>
      <c r="S23" s="1315"/>
      <c r="U23" s="340"/>
      <c r="V23" s="340"/>
      <c r="W23" s="340"/>
      <c r="X23" s="340"/>
      <c r="Y23" s="340"/>
      <c r="Z23" s="340"/>
      <c r="AA23" s="340"/>
      <c r="AB23" s="340"/>
    </row>
    <row r="24" spans="2:28" s="15" customFormat="1" ht="17">
      <c r="E24" s="340"/>
      <c r="F24" s="340"/>
      <c r="G24" s="340"/>
      <c r="H24" s="340"/>
      <c r="I24" s="340"/>
      <c r="J24" s="340"/>
      <c r="K24" s="340"/>
      <c r="L24" s="340"/>
      <c r="M24" s="340"/>
      <c r="U24" s="340"/>
      <c r="V24" s="340"/>
      <c r="W24" s="340"/>
      <c r="X24" s="340"/>
      <c r="Y24" s="340"/>
      <c r="Z24" s="340"/>
      <c r="AA24" s="340"/>
      <c r="AB24" s="340"/>
    </row>
    <row r="25" spans="2:28" s="15" customFormat="1" ht="17">
      <c r="E25" s="340"/>
      <c r="F25" s="2018" t="s">
        <v>3764</v>
      </c>
      <c r="G25" s="2430"/>
      <c r="H25" s="2430"/>
      <c r="I25" s="2430"/>
      <c r="J25" s="2431"/>
      <c r="K25" s="340"/>
      <c r="L25" s="340"/>
      <c r="M25" s="340"/>
      <c r="N25" s="2432" t="s">
        <v>3839</v>
      </c>
      <c r="O25" s="2433"/>
      <c r="P25" s="2433"/>
      <c r="Q25" s="2433"/>
      <c r="R25" s="2434"/>
      <c r="S25" s="360"/>
      <c r="T25" s="340"/>
      <c r="U25" s="340"/>
      <c r="V25" s="340"/>
      <c r="W25" s="360"/>
      <c r="X25" s="360"/>
      <c r="Y25" s="360"/>
      <c r="Z25" s="360"/>
      <c r="AA25" s="360"/>
      <c r="AB25" s="340"/>
    </row>
    <row r="26" spans="2:28" s="15" customFormat="1" ht="63" customHeight="1">
      <c r="E26" s="340"/>
      <c r="F26" s="2435" t="s">
        <v>3840</v>
      </c>
      <c r="G26" s="2436"/>
      <c r="H26" s="2436"/>
      <c r="I26" s="2436"/>
      <c r="J26" s="2437"/>
      <c r="K26" s="340"/>
      <c r="L26" s="340"/>
      <c r="M26" s="340"/>
      <c r="N26" s="2435" t="s">
        <v>3841</v>
      </c>
      <c r="O26" s="2436"/>
      <c r="P26" s="2436"/>
      <c r="Q26" s="2436"/>
      <c r="R26" s="2437"/>
      <c r="S26" s="361"/>
      <c r="T26" s="340"/>
      <c r="U26" s="340"/>
      <c r="V26" s="340"/>
      <c r="W26" s="361"/>
      <c r="X26" s="361"/>
      <c r="Y26" s="361"/>
      <c r="Z26" s="361"/>
      <c r="AA26" s="361"/>
      <c r="AB26" s="340"/>
    </row>
    <row r="27" spans="2:28" s="15" customFormat="1" ht="17">
      <c r="B27" s="334"/>
      <c r="E27" s="340"/>
      <c r="F27" s="2438" t="s">
        <v>3842</v>
      </c>
      <c r="G27" s="2033"/>
      <c r="H27" s="2033"/>
      <c r="I27" s="2033"/>
      <c r="J27" s="2439"/>
      <c r="K27" s="340"/>
      <c r="L27" s="340"/>
      <c r="M27" s="340"/>
      <c r="N27" s="2438" t="s">
        <v>3843</v>
      </c>
      <c r="O27" s="2033"/>
      <c r="P27" s="2033"/>
      <c r="Q27" s="2033"/>
      <c r="R27" s="2439"/>
      <c r="S27" s="360"/>
      <c r="T27" s="340"/>
      <c r="U27" s="340"/>
      <c r="V27" s="340"/>
      <c r="W27" s="360"/>
      <c r="X27" s="360"/>
      <c r="Y27" s="360"/>
      <c r="Z27" s="360"/>
      <c r="AA27" s="360"/>
      <c r="AB27" s="340"/>
    </row>
    <row r="28" spans="2:28" s="15" customFormat="1" ht="87" customHeight="1">
      <c r="E28" s="340"/>
      <c r="F28" s="2435" t="s">
        <v>3844</v>
      </c>
      <c r="G28" s="2436"/>
      <c r="H28" s="2436"/>
      <c r="I28" s="2436"/>
      <c r="J28" s="2437"/>
      <c r="K28" s="340"/>
      <c r="L28" s="340"/>
      <c r="M28" s="340"/>
      <c r="N28" s="2435" t="s">
        <v>3845</v>
      </c>
      <c r="O28" s="2436"/>
      <c r="P28" s="2436"/>
      <c r="Q28" s="2436"/>
      <c r="R28" s="2437"/>
      <c r="S28" s="361"/>
      <c r="T28" s="340"/>
      <c r="U28" s="340"/>
      <c r="V28" s="340"/>
      <c r="W28" s="361"/>
      <c r="X28" s="361"/>
      <c r="Y28" s="361"/>
      <c r="Z28" s="361"/>
      <c r="AA28" s="361"/>
      <c r="AB28" s="340"/>
    </row>
    <row r="29" spans="2:28" s="15" customFormat="1" ht="17">
      <c r="E29" s="340"/>
      <c r="F29" s="2438" t="s">
        <v>3775</v>
      </c>
      <c r="G29" s="2033"/>
      <c r="H29" s="2033"/>
      <c r="I29" s="2033"/>
      <c r="J29" s="2439"/>
      <c r="K29" s="340"/>
      <c r="L29" s="340"/>
      <c r="M29" s="340"/>
      <c r="N29" s="2438" t="s">
        <v>3846</v>
      </c>
      <c r="O29" s="2033"/>
      <c r="P29" s="2033"/>
      <c r="Q29" s="2033"/>
      <c r="R29" s="2439"/>
      <c r="S29" s="360"/>
      <c r="T29" s="340"/>
      <c r="U29" s="340"/>
      <c r="V29" s="340"/>
      <c r="W29" s="360"/>
      <c r="X29" s="360"/>
      <c r="Y29" s="360"/>
      <c r="Z29" s="360"/>
      <c r="AA29" s="360"/>
      <c r="AB29" s="340"/>
    </row>
    <row r="30" spans="2:28" s="15" customFormat="1" ht="50" customHeight="1">
      <c r="E30" s="340"/>
      <c r="F30" s="2435" t="s">
        <v>3847</v>
      </c>
      <c r="G30" s="2436"/>
      <c r="H30" s="2436"/>
      <c r="I30" s="2436"/>
      <c r="J30" s="2437"/>
      <c r="K30" s="340"/>
      <c r="L30" s="340"/>
      <c r="M30" s="340"/>
      <c r="N30" s="2435" t="s">
        <v>3848</v>
      </c>
      <c r="O30" s="2436"/>
      <c r="P30" s="2436"/>
      <c r="Q30" s="2436"/>
      <c r="R30" s="2437"/>
      <c r="S30" s="361"/>
      <c r="T30" s="340"/>
      <c r="U30" s="340"/>
      <c r="V30" s="340"/>
      <c r="W30" s="361"/>
      <c r="X30" s="361"/>
      <c r="Y30" s="361"/>
      <c r="Z30" s="361"/>
      <c r="AA30" s="361"/>
      <c r="AB30" s="340"/>
    </row>
    <row r="31" spans="2:28" s="15" customFormat="1" ht="17">
      <c r="E31" s="340"/>
      <c r="F31" s="2438" t="s">
        <v>3784</v>
      </c>
      <c r="G31" s="2033"/>
      <c r="H31" s="2033"/>
      <c r="I31" s="2033"/>
      <c r="J31" s="2439"/>
      <c r="K31" s="340"/>
      <c r="L31" s="340"/>
      <c r="M31" s="340"/>
      <c r="N31" s="2438" t="s">
        <v>3849</v>
      </c>
      <c r="O31" s="2033"/>
      <c r="P31" s="2033"/>
      <c r="Q31" s="2033"/>
      <c r="R31" s="2439"/>
      <c r="S31" s="360"/>
      <c r="T31" s="340"/>
      <c r="U31" s="340"/>
      <c r="V31" s="340"/>
      <c r="W31" s="360"/>
      <c r="X31" s="360"/>
      <c r="Y31" s="360"/>
      <c r="Z31" s="360"/>
      <c r="AA31" s="360"/>
      <c r="AB31" s="340"/>
    </row>
    <row r="32" spans="2:28" s="15" customFormat="1" ht="50" customHeight="1">
      <c r="E32" s="340"/>
      <c r="F32" s="2435" t="s">
        <v>3850</v>
      </c>
      <c r="G32" s="2436"/>
      <c r="H32" s="2436"/>
      <c r="I32" s="2436"/>
      <c r="J32" s="2437"/>
      <c r="K32" s="340"/>
      <c r="L32" s="340"/>
      <c r="M32" s="340"/>
      <c r="N32" s="2435" t="s">
        <v>3851</v>
      </c>
      <c r="O32" s="2436"/>
      <c r="P32" s="2436"/>
      <c r="Q32" s="2436"/>
      <c r="R32" s="2437"/>
      <c r="S32" s="361"/>
      <c r="T32" s="340"/>
      <c r="U32" s="340"/>
      <c r="V32" s="340"/>
      <c r="W32" s="361"/>
      <c r="X32" s="361"/>
      <c r="Y32" s="361"/>
      <c r="Z32" s="361"/>
      <c r="AA32" s="361"/>
      <c r="AB32" s="340"/>
    </row>
    <row r="33" spans="2:28" s="15" customFormat="1" ht="17">
      <c r="E33" s="340"/>
      <c r="F33" s="2438" t="s">
        <v>3793</v>
      </c>
      <c r="G33" s="2033"/>
      <c r="H33" s="2033"/>
      <c r="I33" s="2033"/>
      <c r="J33" s="2439"/>
      <c r="K33" s="340"/>
      <c r="L33" s="340"/>
      <c r="M33" s="340"/>
      <c r="N33" s="2435"/>
      <c r="O33" s="2436"/>
      <c r="P33" s="2436"/>
      <c r="Q33" s="2436"/>
      <c r="R33" s="2437"/>
      <c r="S33" s="360"/>
      <c r="T33" s="340"/>
      <c r="U33" s="340"/>
      <c r="V33" s="340"/>
      <c r="W33" s="360"/>
      <c r="X33" s="360"/>
      <c r="Y33" s="360"/>
      <c r="Z33" s="360"/>
      <c r="AA33" s="360"/>
      <c r="AB33" s="340"/>
    </row>
    <row r="34" spans="2:28" s="15" customFormat="1" ht="50" customHeight="1">
      <c r="E34" s="340"/>
      <c r="F34" s="2435" t="s">
        <v>3852</v>
      </c>
      <c r="G34" s="2436"/>
      <c r="H34" s="2436"/>
      <c r="I34" s="2436"/>
      <c r="J34" s="2437"/>
      <c r="K34" s="340"/>
      <c r="L34" s="340"/>
      <c r="M34" s="340"/>
      <c r="N34" s="2435"/>
      <c r="O34" s="2436"/>
      <c r="P34" s="2436"/>
      <c r="Q34" s="2436"/>
      <c r="R34" s="2437"/>
      <c r="S34" s="361"/>
      <c r="T34" s="340"/>
      <c r="U34" s="340"/>
      <c r="V34" s="340"/>
      <c r="W34" s="361"/>
      <c r="X34" s="361"/>
      <c r="Y34" s="361"/>
      <c r="Z34" s="361"/>
      <c r="AA34" s="361"/>
      <c r="AB34" s="340"/>
    </row>
    <row r="35" spans="2:28" s="15" customFormat="1" ht="17">
      <c r="B35" s="334"/>
      <c r="E35" s="340"/>
      <c r="F35" s="2438" t="s">
        <v>3853</v>
      </c>
      <c r="G35" s="2033"/>
      <c r="H35" s="2033"/>
      <c r="I35" s="2033"/>
      <c r="J35" s="2439"/>
      <c r="K35" s="340"/>
      <c r="L35" s="340"/>
      <c r="M35" s="340"/>
      <c r="N35" s="2438" t="s">
        <v>3854</v>
      </c>
      <c r="O35" s="2033"/>
      <c r="P35" s="2033"/>
      <c r="Q35" s="2033"/>
      <c r="R35" s="2439"/>
      <c r="S35" s="360"/>
      <c r="T35" s="340"/>
      <c r="U35" s="340"/>
      <c r="V35" s="340"/>
      <c r="W35" s="360"/>
      <c r="X35" s="360"/>
      <c r="Y35" s="360"/>
      <c r="Z35" s="360"/>
      <c r="AA35" s="360"/>
      <c r="AB35" s="340"/>
    </row>
    <row r="36" spans="2:28" s="15" customFormat="1" ht="50" customHeight="1">
      <c r="E36" s="340"/>
      <c r="F36" s="2440" t="s">
        <v>3855</v>
      </c>
      <c r="G36" s="2441"/>
      <c r="H36" s="2441"/>
      <c r="I36" s="2441"/>
      <c r="J36" s="2442"/>
      <c r="K36" s="340"/>
      <c r="L36" s="340"/>
      <c r="M36" s="340"/>
      <c r="N36" s="2440" t="s">
        <v>3856</v>
      </c>
      <c r="O36" s="2441"/>
      <c r="P36" s="2441"/>
      <c r="Q36" s="2441"/>
      <c r="R36" s="2442"/>
      <c r="S36" s="361"/>
      <c r="T36" s="340"/>
      <c r="U36" s="340"/>
      <c r="V36" s="340"/>
      <c r="W36" s="361"/>
      <c r="X36" s="361"/>
      <c r="Y36" s="361"/>
      <c r="Z36" s="361"/>
      <c r="AA36" s="361"/>
      <c r="AB36" s="340"/>
    </row>
    <row r="39" spans="2:28" ht="15" customHeight="1">
      <c r="B39" s="2196" t="s">
        <v>3857</v>
      </c>
      <c r="C39" s="2197"/>
      <c r="D39" s="2197"/>
      <c r="E39" s="2197"/>
      <c r="F39" s="2197"/>
      <c r="G39" s="2197"/>
      <c r="H39" s="2197"/>
      <c r="I39" s="2197"/>
      <c r="J39" s="2197"/>
      <c r="K39" s="2197"/>
      <c r="L39" s="2197"/>
      <c r="M39" s="2197"/>
      <c r="N39" s="2197"/>
      <c r="O39" s="2197"/>
      <c r="P39" s="2197"/>
      <c r="Q39" s="2197"/>
      <c r="R39" s="2197"/>
      <c r="S39" s="2197"/>
      <c r="T39" s="2197"/>
      <c r="U39" s="2197"/>
      <c r="V39" s="2197"/>
      <c r="W39" s="2197"/>
      <c r="X39" s="2197"/>
      <c r="Y39" s="2197"/>
      <c r="Z39" s="2197"/>
      <c r="AA39" s="2198"/>
      <c r="AB39" s="207"/>
    </row>
    <row r="40" spans="2:28" ht="15" customHeight="1">
      <c r="B40" s="2199"/>
      <c r="C40" s="2200"/>
      <c r="D40" s="2200"/>
      <c r="E40" s="2200"/>
      <c r="F40" s="2200"/>
      <c r="G40" s="2200"/>
      <c r="H40" s="2200"/>
      <c r="I40" s="2200"/>
      <c r="J40" s="2200"/>
      <c r="K40" s="2200"/>
      <c r="L40" s="2200"/>
      <c r="M40" s="2200"/>
      <c r="N40" s="2200"/>
      <c r="O40" s="2200"/>
      <c r="P40" s="2200"/>
      <c r="Q40" s="2200"/>
      <c r="R40" s="2200"/>
      <c r="S40" s="2200"/>
      <c r="T40" s="2200"/>
      <c r="U40" s="2200"/>
      <c r="V40" s="2200"/>
      <c r="W40" s="2200"/>
      <c r="X40" s="2200"/>
      <c r="Y40" s="2200"/>
      <c r="Z40" s="2200"/>
      <c r="AA40" s="2201"/>
      <c r="AB40" s="207"/>
    </row>
    <row r="41" spans="2:28" ht="15" customHeight="1">
      <c r="B41" s="2202"/>
      <c r="C41" s="2203"/>
      <c r="D41" s="2203"/>
      <c r="E41" s="2203"/>
      <c r="F41" s="2203"/>
      <c r="G41" s="2203"/>
      <c r="H41" s="2203"/>
      <c r="I41" s="2203"/>
      <c r="J41" s="2203"/>
      <c r="K41" s="2203"/>
      <c r="L41" s="2203"/>
      <c r="M41" s="2203"/>
      <c r="N41" s="2203"/>
      <c r="O41" s="2203"/>
      <c r="P41" s="2203"/>
      <c r="Q41" s="2203"/>
      <c r="R41" s="2203"/>
      <c r="S41" s="2203"/>
      <c r="T41" s="2203"/>
      <c r="U41" s="2203"/>
      <c r="V41" s="2203"/>
      <c r="W41" s="2203"/>
      <c r="X41" s="2203"/>
      <c r="Y41" s="2203"/>
      <c r="Z41" s="2203"/>
      <c r="AA41" s="2204"/>
      <c r="AB41" s="207"/>
    </row>
    <row r="42" spans="2:28" ht="15">
      <c r="B42" s="2443" t="s">
        <v>3858</v>
      </c>
      <c r="C42" s="2444"/>
      <c r="D42" s="2444"/>
      <c r="E42" s="2444"/>
      <c r="F42" s="2444"/>
      <c r="G42" s="2444"/>
      <c r="H42" s="2444"/>
      <c r="I42" s="2444"/>
      <c r="J42" s="2444"/>
      <c r="K42" s="2444"/>
      <c r="L42" s="2444"/>
      <c r="M42" s="2444"/>
      <c r="N42" s="2444"/>
      <c r="O42" s="2444"/>
      <c r="P42" s="2444"/>
      <c r="Q42" s="2444"/>
      <c r="R42" s="2444"/>
      <c r="S42" s="2444"/>
      <c r="T42" s="2444"/>
      <c r="U42" s="2444"/>
      <c r="V42" s="2444"/>
      <c r="W42" s="2444"/>
      <c r="X42" s="2444"/>
      <c r="Y42" s="2444"/>
      <c r="Z42" s="2444"/>
      <c r="AA42" s="2444"/>
    </row>
    <row r="43" spans="2:28" ht="16" customHeight="1">
      <c r="B43" s="2445" t="s">
        <v>3859</v>
      </c>
      <c r="C43" s="2446"/>
      <c r="D43" s="2446"/>
      <c r="E43" s="2447"/>
      <c r="G43" s="2445" t="s">
        <v>3860</v>
      </c>
      <c r="H43" s="2446"/>
      <c r="I43" s="2446"/>
      <c r="J43" s="2446"/>
      <c r="K43" s="2447"/>
      <c r="M43" s="2445" t="s">
        <v>3861</v>
      </c>
      <c r="N43" s="2446"/>
      <c r="O43" s="2446"/>
      <c r="P43" s="2447"/>
      <c r="R43" s="2445" t="s">
        <v>3862</v>
      </c>
      <c r="S43" s="2446"/>
      <c r="T43" s="2447"/>
      <c r="U43" s="335"/>
      <c r="V43" s="2445" t="s">
        <v>3863</v>
      </c>
      <c r="W43" s="2446"/>
      <c r="X43" s="2446"/>
      <c r="Y43" s="2446"/>
      <c r="Z43" s="2446"/>
      <c r="AA43" s="2447"/>
    </row>
    <row r="44" spans="2:28" ht="16" customHeight="1">
      <c r="B44" s="2448" t="s">
        <v>1486</v>
      </c>
      <c r="C44" s="2449"/>
      <c r="D44" s="2449"/>
      <c r="E44" s="346" t="s">
        <v>3864</v>
      </c>
      <c r="G44" s="2448" t="s">
        <v>1486</v>
      </c>
      <c r="H44" s="2449"/>
      <c r="I44" s="2449"/>
      <c r="J44" s="2449"/>
      <c r="K44" s="346" t="s">
        <v>3864</v>
      </c>
      <c r="M44" s="2448" t="s">
        <v>1486</v>
      </c>
      <c r="N44" s="2449"/>
      <c r="O44" s="2449"/>
      <c r="P44" s="346" t="s">
        <v>3864</v>
      </c>
      <c r="R44" s="2448" t="s">
        <v>1486</v>
      </c>
      <c r="S44" s="2449"/>
      <c r="T44" s="346" t="s">
        <v>3864</v>
      </c>
      <c r="V44" s="2448" t="s">
        <v>1486</v>
      </c>
      <c r="W44" s="2449"/>
      <c r="X44" s="2449"/>
      <c r="Y44" s="2449"/>
      <c r="Z44" s="367" t="s">
        <v>3865</v>
      </c>
      <c r="AA44" s="346" t="s">
        <v>3864</v>
      </c>
    </row>
    <row r="45" spans="2:28" ht="16" customHeight="1">
      <c r="B45" s="2450" t="s">
        <v>3866</v>
      </c>
      <c r="C45" s="2451"/>
      <c r="D45" s="2451"/>
      <c r="E45" s="347" t="s">
        <v>3867</v>
      </c>
      <c r="G45" s="2452" t="s">
        <v>3868</v>
      </c>
      <c r="H45" s="2453"/>
      <c r="I45" s="2453"/>
      <c r="J45" s="2453"/>
      <c r="K45" s="347" t="s">
        <v>3869</v>
      </c>
      <c r="M45" s="2450" t="s">
        <v>3870</v>
      </c>
      <c r="N45" s="2451"/>
      <c r="O45" s="2451"/>
      <c r="P45" s="347">
        <v>25</v>
      </c>
      <c r="R45" s="2450" t="s">
        <v>3871</v>
      </c>
      <c r="S45" s="2451"/>
      <c r="T45" s="362">
        <v>20</v>
      </c>
      <c r="V45" s="2454" t="s">
        <v>3872</v>
      </c>
      <c r="W45" s="2455"/>
      <c r="X45" s="2455"/>
      <c r="Y45" s="2455"/>
      <c r="Z45" s="336">
        <v>500</v>
      </c>
      <c r="AA45" s="362">
        <v>21</v>
      </c>
    </row>
    <row r="46" spans="2:28" ht="16" customHeight="1">
      <c r="B46" s="2456" t="s">
        <v>3873</v>
      </c>
      <c r="C46" s="2457"/>
      <c r="D46" s="2457"/>
      <c r="E46" s="348">
        <v>350</v>
      </c>
      <c r="G46" s="2458" t="s">
        <v>3874</v>
      </c>
      <c r="H46" s="2459"/>
      <c r="I46" s="2459"/>
      <c r="J46" s="2459"/>
      <c r="K46" s="348" t="s">
        <v>3875</v>
      </c>
      <c r="M46" s="2456" t="s">
        <v>3876</v>
      </c>
      <c r="N46" s="2457"/>
      <c r="O46" s="2457"/>
      <c r="P46" s="348">
        <v>60</v>
      </c>
      <c r="R46" s="2456" t="s">
        <v>3877</v>
      </c>
      <c r="S46" s="2457"/>
      <c r="T46" s="363">
        <v>50</v>
      </c>
      <c r="V46" s="2460" t="s">
        <v>3878</v>
      </c>
      <c r="W46" s="2461"/>
      <c r="X46" s="2461"/>
      <c r="Y46" s="2461"/>
      <c r="Z46" s="368">
        <v>50</v>
      </c>
      <c r="AA46" s="363">
        <v>24</v>
      </c>
    </row>
    <row r="47" spans="2:28" ht="16" customHeight="1">
      <c r="B47" s="2450" t="s">
        <v>3879</v>
      </c>
      <c r="C47" s="2451"/>
      <c r="D47" s="2451"/>
      <c r="E47" s="347">
        <v>200</v>
      </c>
      <c r="G47" s="2448" t="s">
        <v>3880</v>
      </c>
      <c r="H47" s="2449"/>
      <c r="I47" s="2449"/>
      <c r="J47" s="2449"/>
      <c r="K47" s="346" t="s">
        <v>3864</v>
      </c>
      <c r="M47" s="2450" t="s">
        <v>3881</v>
      </c>
      <c r="N47" s="2451"/>
      <c r="O47" s="2451"/>
      <c r="P47" s="347">
        <v>110</v>
      </c>
      <c r="R47" s="2462" t="s">
        <v>3882</v>
      </c>
      <c r="S47" s="2463"/>
      <c r="T47" s="364">
        <v>50</v>
      </c>
      <c r="V47" s="2464" t="s">
        <v>3883</v>
      </c>
      <c r="W47" s="2465"/>
      <c r="X47" s="2465"/>
      <c r="Y47" s="2465"/>
      <c r="Z47" s="369">
        <v>50</v>
      </c>
      <c r="AA47" s="362">
        <v>15</v>
      </c>
    </row>
    <row r="48" spans="2:28" ht="16" customHeight="1">
      <c r="B48" s="2456" t="s">
        <v>3884</v>
      </c>
      <c r="C48" s="2457"/>
      <c r="D48" s="2457"/>
      <c r="E48" s="348">
        <v>50</v>
      </c>
      <c r="G48" s="2452" t="s">
        <v>3885</v>
      </c>
      <c r="H48" s="2453"/>
      <c r="I48" s="2453"/>
      <c r="J48" s="2453"/>
      <c r="K48" s="347" t="s">
        <v>3886</v>
      </c>
      <c r="M48" s="2456" t="s">
        <v>3887</v>
      </c>
      <c r="N48" s="2457"/>
      <c r="O48" s="2457"/>
      <c r="P48" s="348">
        <v>30</v>
      </c>
      <c r="R48" s="2466"/>
      <c r="S48" s="2466"/>
      <c r="T48" s="336"/>
      <c r="V48" s="2467" t="s">
        <v>3888</v>
      </c>
      <c r="W48" s="2468"/>
      <c r="X48" s="2468"/>
      <c r="Y48" s="2468"/>
      <c r="Z48" s="370">
        <v>50</v>
      </c>
      <c r="AA48" s="363">
        <v>15</v>
      </c>
    </row>
    <row r="49" spans="2:27" ht="16" customHeight="1">
      <c r="B49" s="2450" t="s">
        <v>3889</v>
      </c>
      <c r="C49" s="2451"/>
      <c r="D49" s="2451"/>
      <c r="E49" s="347">
        <v>200</v>
      </c>
      <c r="G49" s="2458" t="s">
        <v>3890</v>
      </c>
      <c r="H49" s="2459"/>
      <c r="I49" s="2459"/>
      <c r="J49" s="2459"/>
      <c r="K49" s="348" t="s">
        <v>3891</v>
      </c>
      <c r="M49" s="2450" t="s">
        <v>3892</v>
      </c>
      <c r="N49" s="2451"/>
      <c r="O49" s="2451"/>
      <c r="P49" s="347">
        <v>200</v>
      </c>
      <c r="R49" s="2445" t="s">
        <v>385</v>
      </c>
      <c r="S49" s="2446"/>
      <c r="T49" s="2447"/>
      <c r="V49" s="2454" t="s">
        <v>3893</v>
      </c>
      <c r="W49" s="2455"/>
      <c r="X49" s="2455"/>
      <c r="Y49" s="2455"/>
      <c r="Z49" s="371">
        <v>50</v>
      </c>
      <c r="AA49" s="362">
        <v>15</v>
      </c>
    </row>
    <row r="50" spans="2:27" ht="16" customHeight="1">
      <c r="B50" s="2456" t="s">
        <v>3894</v>
      </c>
      <c r="C50" s="2457"/>
      <c r="D50" s="2457"/>
      <c r="E50" s="348">
        <v>250</v>
      </c>
      <c r="G50" s="2452" t="s">
        <v>3895</v>
      </c>
      <c r="H50" s="2453"/>
      <c r="I50" s="2453"/>
      <c r="J50" s="2453"/>
      <c r="K50" s="347">
        <v>62.5</v>
      </c>
      <c r="M50" s="2456" t="s">
        <v>3896</v>
      </c>
      <c r="N50" s="2457"/>
      <c r="O50" s="2457"/>
      <c r="P50" s="348">
        <v>30</v>
      </c>
      <c r="R50" s="2448" t="s">
        <v>1486</v>
      </c>
      <c r="S50" s="2449"/>
      <c r="T50" s="346" t="s">
        <v>3864</v>
      </c>
      <c r="V50" s="2469" t="s">
        <v>3897</v>
      </c>
      <c r="W50" s="2470"/>
      <c r="X50" s="2470"/>
      <c r="Y50" s="2470"/>
      <c r="Z50" s="372">
        <v>50</v>
      </c>
      <c r="AA50" s="363">
        <v>22</v>
      </c>
    </row>
    <row r="51" spans="2:27" ht="16" customHeight="1">
      <c r="B51" s="2450" t="s">
        <v>3898</v>
      </c>
      <c r="C51" s="2451"/>
      <c r="D51" s="2451"/>
      <c r="E51" s="347">
        <v>35</v>
      </c>
      <c r="G51" s="2471" t="s">
        <v>3899</v>
      </c>
      <c r="H51" s="2472"/>
      <c r="I51" s="2472"/>
      <c r="J51" s="2472"/>
      <c r="K51" s="346" t="s">
        <v>3864</v>
      </c>
      <c r="M51" s="2450" t="s">
        <v>3900</v>
      </c>
      <c r="N51" s="2451"/>
      <c r="O51" s="2451"/>
      <c r="P51" s="347">
        <v>1300</v>
      </c>
      <c r="R51" s="2450" t="s">
        <v>3901</v>
      </c>
      <c r="S51" s="2451"/>
      <c r="T51" s="362" t="s">
        <v>3867</v>
      </c>
      <c r="V51" s="2454" t="s">
        <v>3902</v>
      </c>
      <c r="W51" s="2455"/>
      <c r="X51" s="2455"/>
      <c r="Y51" s="2455"/>
      <c r="Z51" s="371">
        <v>50</v>
      </c>
      <c r="AA51" s="362">
        <v>17</v>
      </c>
    </row>
    <row r="52" spans="2:27" ht="16" customHeight="1">
      <c r="B52" s="2456" t="s">
        <v>3903</v>
      </c>
      <c r="C52" s="2457"/>
      <c r="D52" s="2457"/>
      <c r="E52" s="348">
        <v>36</v>
      </c>
      <c r="G52" s="2452" t="s">
        <v>3904</v>
      </c>
      <c r="H52" s="2453"/>
      <c r="I52" s="2453"/>
      <c r="J52" s="2453"/>
      <c r="K52" s="347" t="s">
        <v>3905</v>
      </c>
      <c r="M52" s="2456" t="s">
        <v>3906</v>
      </c>
      <c r="N52" s="2457"/>
      <c r="O52" s="2457"/>
      <c r="P52" s="348">
        <v>65</v>
      </c>
      <c r="R52" s="2456" t="s">
        <v>3907</v>
      </c>
      <c r="S52" s="2457"/>
      <c r="T52" s="363" t="s">
        <v>3908</v>
      </c>
      <c r="V52" s="2469" t="s">
        <v>3909</v>
      </c>
      <c r="W52" s="2470"/>
      <c r="X52" s="2470"/>
      <c r="Y52" s="2470"/>
      <c r="Z52" s="372">
        <v>50</v>
      </c>
      <c r="AA52" s="363">
        <v>24</v>
      </c>
    </row>
    <row r="53" spans="2:27" ht="16" customHeight="1">
      <c r="B53" s="2450" t="s">
        <v>3910</v>
      </c>
      <c r="C53" s="2451"/>
      <c r="D53" s="2451"/>
      <c r="E53" s="347">
        <v>35</v>
      </c>
      <c r="G53" s="2458" t="s">
        <v>3911</v>
      </c>
      <c r="H53" s="2459"/>
      <c r="I53" s="2459"/>
      <c r="J53" s="2459"/>
      <c r="K53" s="348" t="s">
        <v>3912</v>
      </c>
      <c r="M53" s="2450" t="s">
        <v>3913</v>
      </c>
      <c r="N53" s="2451"/>
      <c r="O53" s="2451"/>
      <c r="P53" s="347">
        <v>30</v>
      </c>
      <c r="R53" s="2450" t="s">
        <v>3914</v>
      </c>
      <c r="S53" s="2451"/>
      <c r="T53" s="362" t="s">
        <v>3915</v>
      </c>
      <c r="V53" s="2454" t="s">
        <v>3916</v>
      </c>
      <c r="W53" s="2455"/>
      <c r="X53" s="2455"/>
      <c r="Y53" s="2455"/>
      <c r="Z53" s="371">
        <v>50</v>
      </c>
      <c r="AA53" s="362">
        <v>12</v>
      </c>
    </row>
    <row r="54" spans="2:27" ht="16" customHeight="1">
      <c r="B54" s="2456" t="s">
        <v>3917</v>
      </c>
      <c r="C54" s="2457"/>
      <c r="D54" s="2457"/>
      <c r="E54" s="348">
        <v>40</v>
      </c>
      <c r="G54" s="2473" t="s">
        <v>3918</v>
      </c>
      <c r="H54" s="2474"/>
      <c r="I54" s="2474"/>
      <c r="J54" s="2474"/>
      <c r="K54" s="356" t="s">
        <v>3919</v>
      </c>
      <c r="M54" s="2456" t="s">
        <v>3920</v>
      </c>
      <c r="N54" s="2457"/>
      <c r="O54" s="2457"/>
      <c r="P54" s="348">
        <v>20</v>
      </c>
      <c r="R54" s="2456" t="s">
        <v>3921</v>
      </c>
      <c r="S54" s="2457"/>
      <c r="T54" s="363" t="s">
        <v>3922</v>
      </c>
      <c r="V54" s="2469" t="s">
        <v>3923</v>
      </c>
      <c r="W54" s="2470"/>
      <c r="X54" s="2470"/>
      <c r="Y54" s="2470"/>
      <c r="Z54" s="372">
        <v>50</v>
      </c>
      <c r="AA54" s="363">
        <v>39</v>
      </c>
    </row>
    <row r="55" spans="2:27" ht="16" customHeight="1">
      <c r="B55" s="2450" t="s">
        <v>3924</v>
      </c>
      <c r="C55" s="2451"/>
      <c r="D55" s="2451"/>
      <c r="E55" s="347">
        <v>50</v>
      </c>
      <c r="G55" s="335"/>
      <c r="H55" s="335"/>
      <c r="I55" s="335"/>
      <c r="M55" s="2450" t="s">
        <v>3925</v>
      </c>
      <c r="N55" s="2451"/>
      <c r="O55" s="2451"/>
      <c r="P55" s="347">
        <v>250</v>
      </c>
      <c r="R55" s="2450" t="s">
        <v>3926</v>
      </c>
      <c r="S55" s="2451"/>
      <c r="T55" s="362">
        <v>400</v>
      </c>
      <c r="V55" s="2454" t="s">
        <v>3927</v>
      </c>
      <c r="W55" s="2455"/>
      <c r="X55" s="2455"/>
      <c r="Y55" s="2455"/>
      <c r="Z55" s="371">
        <v>100</v>
      </c>
      <c r="AA55" s="362">
        <v>23</v>
      </c>
    </row>
    <row r="56" spans="2:27" ht="16" customHeight="1">
      <c r="B56" s="2456" t="s">
        <v>3928</v>
      </c>
      <c r="C56" s="2457"/>
      <c r="D56" s="2457"/>
      <c r="E56" s="348">
        <v>100</v>
      </c>
      <c r="G56" s="2445" t="s">
        <v>3929</v>
      </c>
      <c r="H56" s="2446"/>
      <c r="I56" s="2446"/>
      <c r="J56" s="2446"/>
      <c r="K56" s="2447"/>
      <c r="M56" s="2456" t="s">
        <v>3930</v>
      </c>
      <c r="N56" s="2457"/>
      <c r="O56" s="2457"/>
      <c r="P56" s="348">
        <v>260</v>
      </c>
      <c r="R56" s="2475" t="s">
        <v>3931</v>
      </c>
      <c r="S56" s="2476"/>
      <c r="T56" s="365">
        <v>200</v>
      </c>
      <c r="V56" s="2469" t="s">
        <v>3932</v>
      </c>
      <c r="W56" s="2470"/>
      <c r="X56" s="2470"/>
      <c r="Y56" s="2470"/>
      <c r="Z56" s="372">
        <v>25</v>
      </c>
      <c r="AA56" s="363">
        <v>40</v>
      </c>
    </row>
    <row r="57" spans="2:27" ht="16" customHeight="1">
      <c r="B57" s="2450" t="s">
        <v>3933</v>
      </c>
      <c r="C57" s="2451"/>
      <c r="D57" s="2451"/>
      <c r="E57" s="347">
        <v>35</v>
      </c>
      <c r="G57" s="2448" t="s">
        <v>1486</v>
      </c>
      <c r="H57" s="2449"/>
      <c r="I57" s="2449"/>
      <c r="J57" s="2449"/>
      <c r="K57" s="346" t="s">
        <v>3864</v>
      </c>
      <c r="M57" s="2450" t="s">
        <v>3934</v>
      </c>
      <c r="N57" s="2451"/>
      <c r="O57" s="2451"/>
      <c r="P57" s="347">
        <v>2000</v>
      </c>
      <c r="V57" s="2454" t="s">
        <v>3935</v>
      </c>
      <c r="W57" s="2455"/>
      <c r="X57" s="2455"/>
      <c r="Y57" s="2455"/>
      <c r="Z57" s="336">
        <v>25</v>
      </c>
      <c r="AA57" s="362">
        <v>30</v>
      </c>
    </row>
    <row r="58" spans="2:27" ht="16" customHeight="1">
      <c r="B58" s="2456" t="s">
        <v>3936</v>
      </c>
      <c r="C58" s="2457"/>
      <c r="D58" s="2457"/>
      <c r="E58" s="348">
        <v>15</v>
      </c>
      <c r="G58" s="2450" t="s">
        <v>3937</v>
      </c>
      <c r="H58" s="2451"/>
      <c r="I58" s="2451"/>
      <c r="J58" s="2451"/>
      <c r="K58" s="347">
        <v>23000</v>
      </c>
      <c r="M58" s="2456" t="s">
        <v>3938</v>
      </c>
      <c r="N58" s="2457"/>
      <c r="O58" s="2457"/>
      <c r="P58" s="348">
        <v>1000</v>
      </c>
      <c r="R58" s="2445" t="s">
        <v>3939</v>
      </c>
      <c r="S58" s="2446"/>
      <c r="T58" s="2447"/>
      <c r="V58" s="2469" t="s">
        <v>3940</v>
      </c>
      <c r="W58" s="2470"/>
      <c r="X58" s="2470"/>
      <c r="Y58" s="2470"/>
      <c r="Z58" s="373">
        <v>25</v>
      </c>
      <c r="AA58" s="363">
        <v>26</v>
      </c>
    </row>
    <row r="59" spans="2:27" ht="16" customHeight="1">
      <c r="B59" s="2450" t="s">
        <v>3941</v>
      </c>
      <c r="C59" s="2451"/>
      <c r="D59" s="2451"/>
      <c r="E59" s="347">
        <v>15</v>
      </c>
      <c r="G59" s="2456" t="s">
        <v>3942</v>
      </c>
      <c r="H59" s="2457"/>
      <c r="I59" s="2457"/>
      <c r="J59" s="2457"/>
      <c r="K59" s="348">
        <v>13000</v>
      </c>
      <c r="M59" s="2450" t="s">
        <v>3943</v>
      </c>
      <c r="N59" s="2451"/>
      <c r="O59" s="2451"/>
      <c r="P59" s="347" t="s">
        <v>3944</v>
      </c>
      <c r="R59" s="2448" t="s">
        <v>1486</v>
      </c>
      <c r="S59" s="2449"/>
      <c r="T59" s="346" t="s">
        <v>3864</v>
      </c>
      <c r="V59" s="2477" t="s">
        <v>3945</v>
      </c>
      <c r="W59" s="2478"/>
      <c r="X59" s="2478"/>
      <c r="Y59" s="2478"/>
      <c r="Z59" s="374">
        <v>25</v>
      </c>
      <c r="AA59" s="364">
        <v>28</v>
      </c>
    </row>
    <row r="60" spans="2:27" ht="16" customHeight="1">
      <c r="B60" s="2456" t="s">
        <v>3946</v>
      </c>
      <c r="C60" s="2457"/>
      <c r="D60" s="2457"/>
      <c r="E60" s="348">
        <v>60</v>
      </c>
      <c r="G60" s="2450" t="s">
        <v>3947</v>
      </c>
      <c r="H60" s="2451"/>
      <c r="I60" s="2451"/>
      <c r="J60" s="2451"/>
      <c r="K60" s="347">
        <v>260000</v>
      </c>
      <c r="M60" s="2475" t="s">
        <v>3948</v>
      </c>
      <c r="N60" s="2476"/>
      <c r="O60" s="2476"/>
      <c r="P60" s="358">
        <v>100</v>
      </c>
      <c r="R60" s="2479" t="s">
        <v>3949</v>
      </c>
      <c r="S60" s="2480"/>
      <c r="T60" s="362">
        <v>600</v>
      </c>
    </row>
    <row r="61" spans="2:27" ht="16" customHeight="1">
      <c r="B61" s="2450" t="s">
        <v>3950</v>
      </c>
      <c r="C61" s="2451"/>
      <c r="D61" s="2451"/>
      <c r="E61" s="347">
        <v>200</v>
      </c>
      <c r="G61" s="2456" t="s">
        <v>3951</v>
      </c>
      <c r="H61" s="2457"/>
      <c r="I61" s="2457"/>
      <c r="J61" s="2457"/>
      <c r="K61" s="348">
        <v>200500</v>
      </c>
      <c r="N61" s="335"/>
      <c r="O61" s="335"/>
      <c r="P61" s="335"/>
      <c r="R61" s="2481" t="s">
        <v>3952</v>
      </c>
      <c r="S61" s="2482"/>
      <c r="T61" s="363">
        <v>500</v>
      </c>
      <c r="V61" s="2445" t="s">
        <v>3953</v>
      </c>
      <c r="W61" s="2446"/>
      <c r="X61" s="2446"/>
      <c r="Y61" s="2446"/>
      <c r="Z61" s="2446"/>
      <c r="AA61" s="2447"/>
    </row>
    <row r="62" spans="2:27" ht="16" customHeight="1">
      <c r="B62" s="2475" t="s">
        <v>3954</v>
      </c>
      <c r="C62" s="2476"/>
      <c r="D62" s="2476"/>
      <c r="E62" s="349">
        <v>600</v>
      </c>
      <c r="G62" s="2450" t="s">
        <v>3955</v>
      </c>
      <c r="H62" s="2451"/>
      <c r="I62" s="2451"/>
      <c r="J62" s="2451"/>
      <c r="K62" s="347">
        <v>62000</v>
      </c>
      <c r="M62" s="2483" t="s">
        <v>3956</v>
      </c>
      <c r="N62" s="2484"/>
      <c r="O62" s="2484"/>
      <c r="P62" s="2485"/>
      <c r="R62" s="2479" t="s">
        <v>3957</v>
      </c>
      <c r="S62" s="2480"/>
      <c r="T62" s="362">
        <v>1400</v>
      </c>
      <c r="V62" s="2448" t="s">
        <v>1486</v>
      </c>
      <c r="W62" s="2449"/>
      <c r="X62" s="2449"/>
      <c r="Y62" s="2449"/>
      <c r="Z62" s="2486" t="s">
        <v>3864</v>
      </c>
      <c r="AA62" s="2487"/>
    </row>
    <row r="63" spans="2:27" ht="16" customHeight="1">
      <c r="B63" s="2488"/>
      <c r="C63" s="2488"/>
      <c r="D63" s="336"/>
      <c r="E63" s="335"/>
      <c r="G63" s="2456" t="s">
        <v>3958</v>
      </c>
      <c r="H63" s="2457"/>
      <c r="I63" s="2457"/>
      <c r="J63" s="2457"/>
      <c r="K63" s="348">
        <v>38000</v>
      </c>
      <c r="M63" s="2448" t="s">
        <v>1486</v>
      </c>
      <c r="N63" s="2449"/>
      <c r="O63" s="2449"/>
      <c r="P63" s="346" t="s">
        <v>3864</v>
      </c>
      <c r="R63" s="2489" t="s">
        <v>3959</v>
      </c>
      <c r="S63" s="2490"/>
      <c r="T63" s="365">
        <v>90</v>
      </c>
      <c r="V63" s="2456" t="s">
        <v>3960</v>
      </c>
      <c r="W63" s="2457"/>
      <c r="X63" s="2457"/>
      <c r="Y63" s="2457"/>
      <c r="Z63" s="2491" t="s">
        <v>3867</v>
      </c>
      <c r="AA63" s="2492"/>
    </row>
    <row r="64" spans="2:27" ht="16" customHeight="1">
      <c r="B64" s="2445" t="s">
        <v>3961</v>
      </c>
      <c r="C64" s="2446"/>
      <c r="D64" s="2446"/>
      <c r="E64" s="2447"/>
      <c r="G64" s="2450" t="s">
        <v>3962</v>
      </c>
      <c r="H64" s="2451"/>
      <c r="I64" s="2451"/>
      <c r="J64" s="2451"/>
      <c r="K64" s="347">
        <v>54000</v>
      </c>
      <c r="M64" s="2450" t="s">
        <v>3963</v>
      </c>
      <c r="N64" s="2451"/>
      <c r="O64" s="2451"/>
      <c r="P64" s="347">
        <v>60</v>
      </c>
      <c r="V64" s="2450" t="s">
        <v>3964</v>
      </c>
      <c r="W64" s="2451"/>
      <c r="X64" s="2451"/>
      <c r="Y64" s="2451"/>
      <c r="Z64" s="2451" t="s">
        <v>3965</v>
      </c>
      <c r="AA64" s="2493"/>
    </row>
    <row r="65" spans="2:28" ht="16" customHeight="1">
      <c r="B65" s="2448" t="s">
        <v>1486</v>
      </c>
      <c r="C65" s="2449"/>
      <c r="D65" s="2449"/>
      <c r="E65" s="346" t="s">
        <v>3864</v>
      </c>
      <c r="G65" s="2456" t="s">
        <v>3966</v>
      </c>
      <c r="H65" s="2457"/>
      <c r="I65" s="2457"/>
      <c r="J65" s="2457"/>
      <c r="K65" s="348">
        <v>33000</v>
      </c>
      <c r="M65" s="2456" t="s">
        <v>3967</v>
      </c>
      <c r="N65" s="2457"/>
      <c r="O65" s="2457"/>
      <c r="P65" s="348">
        <v>90</v>
      </c>
      <c r="R65" s="2445" t="s">
        <v>3968</v>
      </c>
      <c r="S65" s="2446"/>
      <c r="T65" s="2447"/>
      <c r="V65" s="2456" t="s">
        <v>3969</v>
      </c>
      <c r="W65" s="2457"/>
      <c r="X65" s="2457"/>
      <c r="Y65" s="2457"/>
      <c r="Z65" s="2491" t="s">
        <v>3630</v>
      </c>
      <c r="AA65" s="2492"/>
    </row>
    <row r="66" spans="2:28" ht="16" customHeight="1">
      <c r="B66" s="2450" t="s">
        <v>3970</v>
      </c>
      <c r="C66" s="2451"/>
      <c r="D66" s="2451"/>
      <c r="E66" s="347" t="s">
        <v>3971</v>
      </c>
      <c r="G66" s="2450" t="s">
        <v>3972</v>
      </c>
      <c r="H66" s="2451"/>
      <c r="I66" s="2451"/>
      <c r="J66" s="2451"/>
      <c r="K66" s="347">
        <v>27000</v>
      </c>
      <c r="M66" s="2462" t="s">
        <v>3973</v>
      </c>
      <c r="N66" s="2463"/>
      <c r="O66" s="2463"/>
      <c r="P66" s="356">
        <v>30</v>
      </c>
      <c r="R66" s="2448" t="s">
        <v>1486</v>
      </c>
      <c r="S66" s="2449"/>
      <c r="T66" s="346" t="s">
        <v>3864</v>
      </c>
      <c r="V66" s="2450" t="s">
        <v>3974</v>
      </c>
      <c r="W66" s="2451"/>
      <c r="X66" s="2451"/>
      <c r="Y66" s="2451"/>
      <c r="Z66" s="2494" t="s">
        <v>3718</v>
      </c>
      <c r="AA66" s="2495"/>
    </row>
    <row r="67" spans="2:28" ht="16" customHeight="1">
      <c r="B67" s="2456" t="s">
        <v>3975</v>
      </c>
      <c r="C67" s="2457"/>
      <c r="D67" s="2457"/>
      <c r="E67" s="348">
        <v>400</v>
      </c>
      <c r="G67" s="2475" t="s">
        <v>3976</v>
      </c>
      <c r="H67" s="2476"/>
      <c r="I67" s="2476"/>
      <c r="J67" s="2476"/>
      <c r="K67" s="349">
        <v>16500</v>
      </c>
      <c r="R67" s="2496" t="s">
        <v>3977</v>
      </c>
      <c r="S67" s="2497"/>
      <c r="T67" s="362">
        <v>90</v>
      </c>
      <c r="V67" s="2456" t="s">
        <v>3978</v>
      </c>
      <c r="W67" s="2457"/>
      <c r="X67" s="2457"/>
      <c r="Y67" s="2457"/>
      <c r="Z67" s="2491">
        <v>65</v>
      </c>
      <c r="AA67" s="2492"/>
      <c r="AB67" s="335"/>
    </row>
    <row r="68" spans="2:28" ht="16" customHeight="1">
      <c r="B68" s="2450" t="s">
        <v>3979</v>
      </c>
      <c r="C68" s="2451"/>
      <c r="D68" s="2451"/>
      <c r="E68" s="347">
        <v>150</v>
      </c>
      <c r="M68" s="2483" t="s">
        <v>3980</v>
      </c>
      <c r="N68" s="2484"/>
      <c r="O68" s="2484"/>
      <c r="P68" s="2485"/>
      <c r="R68" s="2498" t="s">
        <v>3981</v>
      </c>
      <c r="S68" s="2499"/>
      <c r="T68" s="363">
        <v>35</v>
      </c>
      <c r="V68" s="2450" t="s">
        <v>3982</v>
      </c>
      <c r="W68" s="2451"/>
      <c r="X68" s="2451"/>
      <c r="Y68" s="2451"/>
      <c r="Z68" s="2451">
        <v>16</v>
      </c>
      <c r="AA68" s="2493"/>
    </row>
    <row r="69" spans="2:28" ht="16" customHeight="1">
      <c r="B69" s="2456" t="s">
        <v>3983</v>
      </c>
      <c r="C69" s="2457"/>
      <c r="D69" s="2457"/>
      <c r="E69" s="348">
        <v>90</v>
      </c>
      <c r="G69" s="2445" t="s">
        <v>3984</v>
      </c>
      <c r="H69" s="2446"/>
      <c r="I69" s="2446"/>
      <c r="J69" s="2446"/>
      <c r="K69" s="2447"/>
      <c r="M69" s="2448" t="s">
        <v>1486</v>
      </c>
      <c r="N69" s="2449"/>
      <c r="O69" s="2449"/>
      <c r="P69" s="346" t="s">
        <v>3864</v>
      </c>
      <c r="R69" s="2479" t="s">
        <v>3985</v>
      </c>
      <c r="S69" s="2480"/>
      <c r="T69" s="362">
        <v>40</v>
      </c>
      <c r="V69" s="2456" t="s">
        <v>3986</v>
      </c>
      <c r="W69" s="2457"/>
      <c r="X69" s="2457"/>
      <c r="Y69" s="2457"/>
      <c r="Z69" s="2491">
        <v>20</v>
      </c>
      <c r="AA69" s="2492"/>
    </row>
    <row r="70" spans="2:28" ht="16" customHeight="1">
      <c r="B70" s="2450" t="s">
        <v>3987</v>
      </c>
      <c r="C70" s="2451"/>
      <c r="D70" s="2451"/>
      <c r="E70" s="347">
        <v>25</v>
      </c>
      <c r="G70" s="2448" t="s">
        <v>1486</v>
      </c>
      <c r="H70" s="2449"/>
      <c r="I70" s="2449"/>
      <c r="J70" s="2449"/>
      <c r="K70" s="346" t="s">
        <v>3864</v>
      </c>
      <c r="M70" s="2450" t="s">
        <v>3988</v>
      </c>
      <c r="N70" s="2451"/>
      <c r="O70" s="2451"/>
      <c r="P70" s="347">
        <v>40</v>
      </c>
      <c r="R70" s="2498" t="s">
        <v>3989</v>
      </c>
      <c r="S70" s="2499"/>
      <c r="T70" s="363">
        <v>450</v>
      </c>
      <c r="V70" s="2450" t="s">
        <v>3990</v>
      </c>
      <c r="W70" s="2451"/>
      <c r="X70" s="2451"/>
      <c r="Y70" s="2451"/>
      <c r="Z70" s="2451" t="s">
        <v>3991</v>
      </c>
      <c r="AA70" s="2493"/>
    </row>
    <row r="71" spans="2:28" ht="16" customHeight="1">
      <c r="B71" s="2456" t="s">
        <v>3992</v>
      </c>
      <c r="C71" s="2457"/>
      <c r="D71" s="2457"/>
      <c r="E71" s="348">
        <v>35</v>
      </c>
      <c r="G71" s="2450" t="s">
        <v>3993</v>
      </c>
      <c r="H71" s="2451"/>
      <c r="I71" s="2451"/>
      <c r="J71" s="2451"/>
      <c r="K71" s="378">
        <v>70</v>
      </c>
      <c r="M71" s="2456" t="s">
        <v>3994</v>
      </c>
      <c r="N71" s="2457"/>
      <c r="O71" s="2457"/>
      <c r="P71" s="348" t="s">
        <v>3995</v>
      </c>
      <c r="R71" s="2479" t="s">
        <v>3996</v>
      </c>
      <c r="S71" s="2480"/>
      <c r="T71" s="362">
        <v>10</v>
      </c>
      <c r="V71" s="2456" t="s">
        <v>3997</v>
      </c>
      <c r="W71" s="2457"/>
      <c r="X71" s="2457"/>
      <c r="Y71" s="2457"/>
      <c r="Z71" s="2491">
        <v>38</v>
      </c>
      <c r="AA71" s="2492"/>
    </row>
    <row r="72" spans="2:28" ht="16" customHeight="1">
      <c r="B72" s="2450" t="s">
        <v>3998</v>
      </c>
      <c r="C72" s="2451"/>
      <c r="D72" s="2451"/>
      <c r="E72" s="347">
        <v>260</v>
      </c>
      <c r="G72" s="2456" t="s">
        <v>3999</v>
      </c>
      <c r="H72" s="2457"/>
      <c r="I72" s="2457"/>
      <c r="J72" s="2457"/>
      <c r="K72" s="379">
        <v>300</v>
      </c>
      <c r="M72" s="2450" t="s">
        <v>4000</v>
      </c>
      <c r="N72" s="2451"/>
      <c r="O72" s="2451"/>
      <c r="P72" s="347">
        <v>500</v>
      </c>
      <c r="R72" s="2498" t="s">
        <v>4001</v>
      </c>
      <c r="S72" s="2499"/>
      <c r="T72" s="363">
        <v>240</v>
      </c>
      <c r="V72" s="2452" t="s">
        <v>4002</v>
      </c>
      <c r="W72" s="2451"/>
      <c r="X72" s="2451"/>
      <c r="Y72" s="2451"/>
      <c r="Z72" s="2451">
        <v>35</v>
      </c>
      <c r="AA72" s="2493"/>
    </row>
    <row r="73" spans="2:28" ht="16" customHeight="1">
      <c r="B73" s="2456" t="s">
        <v>4003</v>
      </c>
      <c r="C73" s="2457"/>
      <c r="D73" s="2457"/>
      <c r="E73" s="348">
        <v>190</v>
      </c>
      <c r="G73" s="2450" t="s">
        <v>4004</v>
      </c>
      <c r="H73" s="2451"/>
      <c r="I73" s="2451"/>
      <c r="J73" s="2451"/>
      <c r="K73" s="378" t="s">
        <v>4005</v>
      </c>
      <c r="M73" s="2456" t="s">
        <v>4006</v>
      </c>
      <c r="N73" s="2457"/>
      <c r="O73" s="2457"/>
      <c r="P73" s="348" t="s">
        <v>3630</v>
      </c>
      <c r="R73" s="2479" t="s">
        <v>4007</v>
      </c>
      <c r="S73" s="2480"/>
      <c r="T73" s="362">
        <v>400</v>
      </c>
      <c r="V73" s="2456" t="s">
        <v>4008</v>
      </c>
      <c r="W73" s="2457"/>
      <c r="X73" s="2457"/>
      <c r="Y73" s="2457"/>
      <c r="Z73" s="2491">
        <v>60</v>
      </c>
      <c r="AA73" s="2492"/>
    </row>
    <row r="74" spans="2:28" ht="16" customHeight="1">
      <c r="B74" s="2450" t="s">
        <v>4009</v>
      </c>
      <c r="C74" s="2451"/>
      <c r="D74" s="2451"/>
      <c r="E74" s="347">
        <v>35</v>
      </c>
      <c r="G74" s="2475" t="s">
        <v>4010</v>
      </c>
      <c r="H74" s="2476"/>
      <c r="I74" s="2476"/>
      <c r="J74" s="2476"/>
      <c r="K74" s="380">
        <v>200</v>
      </c>
      <c r="M74" s="2450" t="s">
        <v>4011</v>
      </c>
      <c r="N74" s="2451"/>
      <c r="O74" s="2451"/>
      <c r="P74" s="347" t="s">
        <v>3991</v>
      </c>
      <c r="R74" s="2498" t="s">
        <v>4012</v>
      </c>
      <c r="S74" s="2499"/>
      <c r="T74" s="363">
        <v>200</v>
      </c>
      <c r="V74" s="2462" t="s">
        <v>4013</v>
      </c>
      <c r="W74" s="2463"/>
      <c r="X74" s="2463"/>
      <c r="Y74" s="2463"/>
      <c r="Z74" s="2463">
        <v>25</v>
      </c>
      <c r="AA74" s="2500"/>
    </row>
    <row r="75" spans="2:28" ht="16" customHeight="1">
      <c r="B75" s="2456" t="s">
        <v>4014</v>
      </c>
      <c r="C75" s="2457"/>
      <c r="D75" s="2457"/>
      <c r="E75" s="348">
        <v>50</v>
      </c>
      <c r="M75" s="2456" t="s">
        <v>4015</v>
      </c>
      <c r="N75" s="2457"/>
      <c r="O75" s="2457"/>
      <c r="P75" s="348" t="s">
        <v>4016</v>
      </c>
      <c r="R75" s="2479" t="s">
        <v>4017</v>
      </c>
      <c r="S75" s="2480"/>
      <c r="T75" s="362">
        <v>260</v>
      </c>
      <c r="V75" s="375"/>
      <c r="W75" s="375"/>
      <c r="X75" s="375"/>
      <c r="Y75" s="375"/>
      <c r="Z75" s="375"/>
      <c r="AA75" s="375"/>
    </row>
    <row r="76" spans="2:28" ht="16" customHeight="1">
      <c r="B76" s="2450" t="s">
        <v>4018</v>
      </c>
      <c r="C76" s="2451"/>
      <c r="D76" s="2451"/>
      <c r="E76" s="347">
        <v>100</v>
      </c>
      <c r="G76" s="2445" t="s">
        <v>4019</v>
      </c>
      <c r="H76" s="2446"/>
      <c r="I76" s="2446"/>
      <c r="J76" s="2446"/>
      <c r="K76" s="2447"/>
      <c r="M76" s="2462" t="s">
        <v>4020</v>
      </c>
      <c r="N76" s="2463"/>
      <c r="O76" s="2463"/>
      <c r="P76" s="356" t="s">
        <v>4021</v>
      </c>
      <c r="R76" s="2498" t="s">
        <v>4022</v>
      </c>
      <c r="S76" s="2499"/>
      <c r="T76" s="363">
        <v>60</v>
      </c>
      <c r="V76" s="375"/>
      <c r="W76" s="375"/>
      <c r="X76" s="375"/>
      <c r="Y76" s="375"/>
      <c r="Z76" s="375"/>
      <c r="AA76" s="375"/>
    </row>
    <row r="77" spans="2:28" ht="16" customHeight="1">
      <c r="B77" s="2456" t="s">
        <v>4023</v>
      </c>
      <c r="C77" s="2457"/>
      <c r="D77" s="2457"/>
      <c r="E77" s="348">
        <v>160</v>
      </c>
      <c r="G77" s="2448" t="s">
        <v>1486</v>
      </c>
      <c r="H77" s="2449"/>
      <c r="I77" s="2449"/>
      <c r="J77" s="2449"/>
      <c r="K77" s="346" t="s">
        <v>3864</v>
      </c>
      <c r="R77" s="2479" t="s">
        <v>4024</v>
      </c>
      <c r="S77" s="2480"/>
      <c r="T77" s="362">
        <v>250</v>
      </c>
      <c r="V77" s="375"/>
      <c r="W77" s="375"/>
      <c r="X77" s="375"/>
      <c r="Y77" s="375"/>
      <c r="Z77" s="375"/>
      <c r="AA77" s="375"/>
    </row>
    <row r="78" spans="2:28" ht="16" customHeight="1">
      <c r="B78" s="2450" t="s">
        <v>3950</v>
      </c>
      <c r="C78" s="2451"/>
      <c r="D78" s="2451"/>
      <c r="E78" s="347">
        <v>200</v>
      </c>
      <c r="G78" s="2456" t="s">
        <v>4025</v>
      </c>
      <c r="H78" s="2457"/>
      <c r="I78" s="2457"/>
      <c r="J78" s="2457"/>
      <c r="K78" s="379">
        <v>100</v>
      </c>
      <c r="M78" s="2445" t="s">
        <v>4026</v>
      </c>
      <c r="N78" s="2446"/>
      <c r="O78" s="2446"/>
      <c r="P78" s="2447"/>
      <c r="R78" s="2498" t="s">
        <v>4027</v>
      </c>
      <c r="S78" s="2499"/>
      <c r="T78" s="363">
        <v>400</v>
      </c>
      <c r="V78" s="375"/>
      <c r="W78" s="375"/>
      <c r="X78" s="375"/>
      <c r="Y78" s="375"/>
      <c r="Z78" s="375"/>
      <c r="AA78" s="375"/>
    </row>
    <row r="79" spans="2:28" ht="16" customHeight="1">
      <c r="B79" s="2456" t="s">
        <v>4028</v>
      </c>
      <c r="C79" s="2457"/>
      <c r="D79" s="2457"/>
      <c r="E79" s="348">
        <v>350</v>
      </c>
      <c r="G79" s="2450" t="s">
        <v>4029</v>
      </c>
      <c r="H79" s="2451"/>
      <c r="I79" s="2451"/>
      <c r="J79" s="2451"/>
      <c r="K79" s="378">
        <v>30</v>
      </c>
      <c r="M79" s="2448" t="s">
        <v>1486</v>
      </c>
      <c r="N79" s="2449"/>
      <c r="O79" s="2449"/>
      <c r="P79" s="346" t="s">
        <v>3864</v>
      </c>
      <c r="Q79" s="335"/>
      <c r="R79" s="2479" t="s">
        <v>4030</v>
      </c>
      <c r="S79" s="2480"/>
      <c r="T79" s="362">
        <v>900</v>
      </c>
      <c r="V79" s="375"/>
      <c r="W79" s="375"/>
      <c r="X79" s="375"/>
      <c r="Y79" s="375"/>
      <c r="Z79" s="375"/>
      <c r="AA79" s="375"/>
    </row>
    <row r="80" spans="2:28" ht="16" customHeight="1">
      <c r="B80" s="2450" t="s">
        <v>4031</v>
      </c>
      <c r="C80" s="2451"/>
      <c r="D80" s="2451"/>
      <c r="E80" s="347">
        <v>20</v>
      </c>
      <c r="G80" s="2456" t="s">
        <v>4032</v>
      </c>
      <c r="H80" s="2457"/>
      <c r="I80" s="2457"/>
      <c r="J80" s="2457"/>
      <c r="K80" s="379">
        <v>60</v>
      </c>
      <c r="M80" s="2450" t="s">
        <v>4033</v>
      </c>
      <c r="N80" s="2451"/>
      <c r="O80" s="2451"/>
      <c r="P80" s="347" t="s">
        <v>3867</v>
      </c>
      <c r="Q80" s="335"/>
      <c r="R80" s="2498" t="s">
        <v>4034</v>
      </c>
      <c r="S80" s="2499"/>
      <c r="T80" s="363">
        <v>200</v>
      </c>
      <c r="U80" s="335"/>
      <c r="V80" s="375"/>
      <c r="W80" s="375"/>
      <c r="X80" s="375"/>
      <c r="Y80" s="375"/>
      <c r="Z80" s="375"/>
      <c r="AA80" s="375"/>
    </row>
    <row r="81" spans="2:27" ht="16" customHeight="1">
      <c r="B81" s="2456" t="s">
        <v>3946</v>
      </c>
      <c r="C81" s="2457"/>
      <c r="D81" s="2457"/>
      <c r="E81" s="348">
        <v>60</v>
      </c>
      <c r="G81" s="2450" t="s">
        <v>4035</v>
      </c>
      <c r="H81" s="2451"/>
      <c r="I81" s="2451"/>
      <c r="J81" s="2451"/>
      <c r="K81" s="378">
        <v>160</v>
      </c>
      <c r="L81" s="335"/>
      <c r="M81" s="2456" t="s">
        <v>4036</v>
      </c>
      <c r="N81" s="2457"/>
      <c r="O81" s="2457"/>
      <c r="P81" s="348" t="s">
        <v>4037</v>
      </c>
      <c r="Q81" s="335"/>
      <c r="R81" s="2479" t="s">
        <v>4038</v>
      </c>
      <c r="S81" s="2480"/>
      <c r="T81" s="362" t="s">
        <v>3965</v>
      </c>
      <c r="V81" s="375"/>
      <c r="W81" s="375"/>
      <c r="X81" s="375"/>
      <c r="Y81" s="375"/>
      <c r="Z81" s="375"/>
      <c r="AA81" s="375"/>
    </row>
    <row r="82" spans="2:27" ht="16" customHeight="1">
      <c r="B82" s="2462" t="s">
        <v>3954</v>
      </c>
      <c r="C82" s="2463"/>
      <c r="D82" s="2463"/>
      <c r="E82" s="356" t="s">
        <v>3991</v>
      </c>
      <c r="G82" s="2475" t="s">
        <v>4039</v>
      </c>
      <c r="H82" s="2476"/>
      <c r="I82" s="2476"/>
      <c r="J82" s="2476"/>
      <c r="K82" s="380">
        <v>70</v>
      </c>
      <c r="M82" s="2450" t="s">
        <v>4040</v>
      </c>
      <c r="N82" s="2451"/>
      <c r="O82" s="2451"/>
      <c r="P82" s="347">
        <v>10</v>
      </c>
      <c r="Q82" s="335"/>
      <c r="R82" s="2498" t="s">
        <v>4041</v>
      </c>
      <c r="S82" s="2499"/>
      <c r="T82" s="363" t="s">
        <v>3630</v>
      </c>
      <c r="V82" s="375"/>
      <c r="W82" s="375"/>
      <c r="X82" s="375"/>
      <c r="Y82" s="375"/>
      <c r="Z82" s="375"/>
      <c r="AA82" s="375"/>
    </row>
    <row r="83" spans="2:27" ht="16" customHeight="1">
      <c r="B83" s="375"/>
      <c r="C83" s="375"/>
      <c r="D83" s="375"/>
      <c r="E83" s="335"/>
      <c r="M83" s="2456" t="s">
        <v>4042</v>
      </c>
      <c r="N83" s="2457"/>
      <c r="O83" s="2457"/>
      <c r="P83" s="348" t="s">
        <v>3718</v>
      </c>
      <c r="Q83" s="335"/>
      <c r="R83" s="2501" t="s">
        <v>4043</v>
      </c>
      <c r="S83" s="2502"/>
      <c r="T83" s="364" t="s">
        <v>3991</v>
      </c>
      <c r="V83"/>
      <c r="W83"/>
      <c r="X83"/>
    </row>
    <row r="84" spans="2:27" ht="16" customHeight="1">
      <c r="B84" s="335"/>
      <c r="C84" s="335"/>
      <c r="D84" s="335"/>
      <c r="E84" s="335"/>
      <c r="I84" s="335"/>
      <c r="M84" s="2450" t="s">
        <v>4044</v>
      </c>
      <c r="N84" s="2451"/>
      <c r="O84" s="2451"/>
      <c r="P84" s="347">
        <v>55</v>
      </c>
      <c r="Q84" s="335"/>
    </row>
    <row r="85" spans="2:27" ht="16" customHeight="1">
      <c r="B85" s="335"/>
      <c r="C85" s="335"/>
      <c r="D85" s="335"/>
      <c r="E85" s="335"/>
      <c r="I85" s="335"/>
      <c r="M85" s="2475" t="s">
        <v>4045</v>
      </c>
      <c r="N85" s="2476"/>
      <c r="O85" s="2476"/>
      <c r="P85" s="349">
        <v>65</v>
      </c>
      <c r="Q85" s="335"/>
    </row>
    <row r="86" spans="2:27" ht="16" customHeight="1">
      <c r="B86" s="335"/>
      <c r="C86" s="335"/>
      <c r="D86" s="335"/>
      <c r="E86" s="335"/>
      <c r="I86" s="335"/>
      <c r="Q86" s="335"/>
    </row>
    <row r="87" spans="2:27" ht="16" customHeight="1">
      <c r="B87" s="2196" t="s">
        <v>4046</v>
      </c>
      <c r="C87" s="2197"/>
      <c r="D87" s="2197"/>
      <c r="E87" s="2197"/>
      <c r="F87" s="2197"/>
      <c r="G87" s="2197"/>
      <c r="H87" s="2197"/>
      <c r="I87" s="2197"/>
      <c r="J87" s="2197"/>
      <c r="K87" s="2197"/>
      <c r="L87" s="2197"/>
      <c r="M87" s="2197"/>
      <c r="N87" s="2197"/>
      <c r="O87" s="2197"/>
      <c r="P87" s="2197"/>
      <c r="Q87" s="2197"/>
      <c r="R87" s="2197"/>
      <c r="S87" s="2197"/>
      <c r="T87" s="2197"/>
      <c r="U87" s="2197"/>
      <c r="V87" s="2197"/>
      <c r="W87" s="2197"/>
      <c r="X87" s="2197"/>
      <c r="Y87" s="2197"/>
      <c r="Z87" s="2197"/>
      <c r="AA87" s="2198"/>
    </row>
    <row r="88" spans="2:27" ht="16" customHeight="1">
      <c r="B88" s="2199"/>
      <c r="C88" s="2200"/>
      <c r="D88" s="2200"/>
      <c r="E88" s="2200"/>
      <c r="F88" s="2200"/>
      <c r="G88" s="2200"/>
      <c r="H88" s="2200"/>
      <c r="I88" s="2200"/>
      <c r="J88" s="2200"/>
      <c r="K88" s="2200"/>
      <c r="L88" s="2200"/>
      <c r="M88" s="2200"/>
      <c r="N88" s="2200"/>
      <c r="O88" s="2200"/>
      <c r="P88" s="2200"/>
      <c r="Q88" s="2200"/>
      <c r="R88" s="2200"/>
      <c r="S88" s="2200"/>
      <c r="T88" s="2200"/>
      <c r="U88" s="2200"/>
      <c r="V88" s="2200"/>
      <c r="W88" s="2200"/>
      <c r="X88" s="2200"/>
      <c r="Y88" s="2200"/>
      <c r="Z88" s="2200"/>
      <c r="AA88" s="2201"/>
    </row>
    <row r="89" spans="2:27" ht="16" customHeight="1">
      <c r="B89" s="2202"/>
      <c r="C89" s="2203"/>
      <c r="D89" s="2203"/>
      <c r="E89" s="2203"/>
      <c r="F89" s="2203"/>
      <c r="G89" s="2203"/>
      <c r="H89" s="2203"/>
      <c r="I89" s="2203"/>
      <c r="J89" s="2203"/>
      <c r="K89" s="2203"/>
      <c r="L89" s="2203"/>
      <c r="M89" s="2203"/>
      <c r="N89" s="2203"/>
      <c r="O89" s="2203"/>
      <c r="P89" s="2203"/>
      <c r="Q89" s="2203"/>
      <c r="R89" s="2203"/>
      <c r="S89" s="2203"/>
      <c r="T89" s="2203"/>
      <c r="U89" s="2203"/>
      <c r="V89" s="2203"/>
      <c r="W89" s="2203"/>
      <c r="X89" s="2203"/>
      <c r="Y89" s="2203"/>
      <c r="Z89" s="2203"/>
      <c r="AA89" s="2204"/>
    </row>
    <row r="90" spans="2:27" ht="16" customHeight="1">
      <c r="B90" s="2466" t="s">
        <v>4047</v>
      </c>
      <c r="C90" s="2466"/>
      <c r="D90" s="2466"/>
      <c r="E90" s="2466"/>
      <c r="F90" s="2466"/>
      <c r="G90" s="2466"/>
      <c r="H90" s="2466"/>
      <c r="I90" s="2466"/>
      <c r="J90" s="2466"/>
      <c r="K90" s="2466"/>
      <c r="L90" s="2466"/>
      <c r="M90" s="2466"/>
      <c r="N90" s="2466"/>
      <c r="O90" s="2466"/>
      <c r="P90" s="2466"/>
      <c r="Q90" s="2466"/>
      <c r="R90" s="2466"/>
      <c r="S90" s="2466"/>
      <c r="T90" s="2466"/>
      <c r="U90" s="2466"/>
      <c r="V90" s="2466"/>
      <c r="W90" s="2466"/>
      <c r="X90" s="2466"/>
      <c r="Y90" s="2466"/>
      <c r="Z90" s="2466"/>
      <c r="AA90" s="2466"/>
    </row>
    <row r="91" spans="2:27" ht="16" customHeight="1">
      <c r="B91" s="2445" t="s">
        <v>3859</v>
      </c>
      <c r="C91" s="2446"/>
      <c r="D91" s="2446"/>
      <c r="E91" s="2447"/>
      <c r="G91" s="2445" t="s">
        <v>3861</v>
      </c>
      <c r="H91" s="2446"/>
      <c r="I91" s="2446"/>
      <c r="J91" s="2446"/>
      <c r="K91" s="2447"/>
      <c r="L91"/>
      <c r="M91" s="2445" t="s">
        <v>4048</v>
      </c>
      <c r="N91" s="2446"/>
      <c r="O91" s="2446"/>
      <c r="P91" s="2446"/>
      <c r="Q91" s="2447"/>
      <c r="R91" s="383"/>
      <c r="S91" s="2445" t="s">
        <v>4049</v>
      </c>
      <c r="T91" s="2446"/>
      <c r="U91" s="2446"/>
      <c r="V91" s="2447"/>
      <c r="W91" s="387"/>
      <c r="X91" s="2445" t="s">
        <v>4050</v>
      </c>
      <c r="Y91" s="2446"/>
      <c r="Z91" s="2446"/>
      <c r="AA91" s="2447"/>
    </row>
    <row r="92" spans="2:27" ht="16" customHeight="1">
      <c r="B92" s="2448" t="s">
        <v>1486</v>
      </c>
      <c r="C92" s="2449"/>
      <c r="D92" s="367" t="s">
        <v>3864</v>
      </c>
      <c r="E92" s="346" t="s">
        <v>4051</v>
      </c>
      <c r="G92" s="2448" t="s">
        <v>1486</v>
      </c>
      <c r="H92" s="2449"/>
      <c r="I92" s="2449"/>
      <c r="J92" s="367" t="s">
        <v>3864</v>
      </c>
      <c r="K92" s="346" t="s">
        <v>4051</v>
      </c>
      <c r="L92"/>
      <c r="M92" s="2448" t="s">
        <v>1486</v>
      </c>
      <c r="N92" s="2449"/>
      <c r="O92" s="2449"/>
      <c r="P92" s="367" t="s">
        <v>3864</v>
      </c>
      <c r="Q92" s="384" t="s">
        <v>4051</v>
      </c>
      <c r="R92" s="375"/>
      <c r="S92" s="2448" t="s">
        <v>1486</v>
      </c>
      <c r="T92" s="2449"/>
      <c r="U92" s="367" t="s">
        <v>3864</v>
      </c>
      <c r="V92" s="384" t="s">
        <v>4051</v>
      </c>
      <c r="X92" s="2448" t="s">
        <v>1486</v>
      </c>
      <c r="Y92" s="2449"/>
      <c r="Z92" s="367" t="s">
        <v>3865</v>
      </c>
      <c r="AA92" s="384" t="s">
        <v>3864</v>
      </c>
    </row>
    <row r="93" spans="2:27" ht="16" customHeight="1">
      <c r="B93" s="2450" t="s">
        <v>4052</v>
      </c>
      <c r="C93" s="2451"/>
      <c r="D93" s="336">
        <v>17.95</v>
      </c>
      <c r="E93" s="347">
        <f t="shared" ref="E93:E97" si="0">D93*20</f>
        <v>359</v>
      </c>
      <c r="G93" s="2450" t="s">
        <v>4053</v>
      </c>
      <c r="H93" s="2451"/>
      <c r="I93" s="2451"/>
      <c r="J93" s="336">
        <v>8.98</v>
      </c>
      <c r="K93" s="347">
        <f t="shared" ref="K93:K104" si="1">J93*20</f>
        <v>179.60000000000002</v>
      </c>
      <c r="L93"/>
      <c r="M93" s="2450" t="s">
        <v>4054</v>
      </c>
      <c r="N93" s="2451"/>
      <c r="O93" s="2451"/>
      <c r="P93" s="336">
        <v>1.79</v>
      </c>
      <c r="Q93" s="347">
        <f t="shared" ref="Q93:Q99" si="2">P93*20</f>
        <v>35.799999999999997</v>
      </c>
      <c r="R93" s="375"/>
      <c r="S93" s="2503" t="s">
        <v>4055</v>
      </c>
      <c r="T93" s="2504"/>
      <c r="U93" s="336">
        <v>2.5</v>
      </c>
      <c r="V93" s="347">
        <f t="shared" ref="V93:V98" si="3">U93*20</f>
        <v>50</v>
      </c>
      <c r="X93" s="2505" t="s">
        <v>3872</v>
      </c>
      <c r="Y93" s="2506"/>
      <c r="Z93" s="336">
        <v>100</v>
      </c>
      <c r="AA93" s="347">
        <v>0.54</v>
      </c>
    </row>
    <row r="94" spans="2:27" ht="16" customHeight="1">
      <c r="B94" s="2456" t="s">
        <v>4056</v>
      </c>
      <c r="C94" s="2457"/>
      <c r="D94" s="373">
        <v>18.5</v>
      </c>
      <c r="E94" s="348">
        <f t="shared" si="0"/>
        <v>370</v>
      </c>
      <c r="G94" s="2456" t="s">
        <v>4057</v>
      </c>
      <c r="H94" s="2457"/>
      <c r="I94" s="2457"/>
      <c r="J94" s="373">
        <v>6.1</v>
      </c>
      <c r="K94" s="348">
        <f t="shared" si="1"/>
        <v>122</v>
      </c>
      <c r="L94"/>
      <c r="M94" s="2456" t="s">
        <v>4058</v>
      </c>
      <c r="N94" s="2457"/>
      <c r="O94" s="2457"/>
      <c r="P94" s="373">
        <v>2.98</v>
      </c>
      <c r="Q94" s="348">
        <f t="shared" si="2"/>
        <v>59.6</v>
      </c>
      <c r="R94" s="375"/>
      <c r="S94" s="2456" t="s">
        <v>4059</v>
      </c>
      <c r="T94" s="2457"/>
      <c r="U94" s="373">
        <v>0.45</v>
      </c>
      <c r="V94" s="348">
        <f t="shared" si="3"/>
        <v>9</v>
      </c>
      <c r="X94" s="2507" t="s">
        <v>4060</v>
      </c>
      <c r="Y94" s="2508"/>
      <c r="Z94" s="373">
        <v>100</v>
      </c>
      <c r="AA94" s="348">
        <v>0.53</v>
      </c>
    </row>
    <row r="95" spans="2:27" ht="16" customHeight="1">
      <c r="B95" s="2450" t="s">
        <v>4061</v>
      </c>
      <c r="C95" s="2451"/>
      <c r="D95" s="336">
        <v>13.85</v>
      </c>
      <c r="E95" s="347">
        <f t="shared" si="0"/>
        <v>277</v>
      </c>
      <c r="G95" s="2450" t="s">
        <v>4062</v>
      </c>
      <c r="H95" s="2451"/>
      <c r="I95" s="2451"/>
      <c r="J95" s="336">
        <v>0.89</v>
      </c>
      <c r="K95" s="347">
        <f t="shared" si="1"/>
        <v>17.8</v>
      </c>
      <c r="L95"/>
      <c r="M95" s="2450" t="s">
        <v>4063</v>
      </c>
      <c r="N95" s="2451"/>
      <c r="O95" s="2451"/>
      <c r="P95" s="336">
        <v>2.98</v>
      </c>
      <c r="Q95" s="347">
        <f t="shared" si="2"/>
        <v>59.6</v>
      </c>
      <c r="R95" s="375"/>
      <c r="S95" s="2450" t="s">
        <v>4064</v>
      </c>
      <c r="T95" s="2451"/>
      <c r="U95" s="336">
        <v>0.65</v>
      </c>
      <c r="V95" s="347">
        <f t="shared" si="3"/>
        <v>13</v>
      </c>
      <c r="X95" s="2509" t="s">
        <v>4065</v>
      </c>
      <c r="Y95" s="2510"/>
      <c r="Z95" s="336">
        <v>100</v>
      </c>
      <c r="AA95" s="347">
        <v>1.34</v>
      </c>
    </row>
    <row r="96" spans="2:27" ht="16" customHeight="1">
      <c r="B96" s="2456" t="s">
        <v>4066</v>
      </c>
      <c r="C96" s="2457"/>
      <c r="D96" s="373">
        <v>9.9499999999999993</v>
      </c>
      <c r="E96" s="348">
        <f t="shared" si="0"/>
        <v>199</v>
      </c>
      <c r="G96" s="2456" t="s">
        <v>4067</v>
      </c>
      <c r="H96" s="2457"/>
      <c r="I96" s="2457"/>
      <c r="J96" s="373">
        <v>6.79</v>
      </c>
      <c r="K96" s="348">
        <f t="shared" si="1"/>
        <v>135.80000000000001</v>
      </c>
      <c r="L96"/>
      <c r="M96" s="2456" t="s">
        <v>4068</v>
      </c>
      <c r="N96" s="2457"/>
      <c r="O96" s="2457"/>
      <c r="P96" s="373">
        <v>0.98</v>
      </c>
      <c r="Q96" s="348">
        <f t="shared" si="2"/>
        <v>19.600000000000001</v>
      </c>
      <c r="R96"/>
      <c r="S96" s="2456" t="s">
        <v>4069</v>
      </c>
      <c r="T96" s="2457"/>
      <c r="U96" s="373">
        <v>1.25</v>
      </c>
      <c r="V96" s="348">
        <f t="shared" si="3"/>
        <v>25</v>
      </c>
      <c r="X96" s="2511" t="s">
        <v>4070</v>
      </c>
      <c r="Y96" s="2512"/>
      <c r="Z96" s="373">
        <v>100</v>
      </c>
      <c r="AA96" s="348">
        <v>7.63</v>
      </c>
    </row>
    <row r="97" spans="2:27" ht="16" customHeight="1">
      <c r="B97" s="2450" t="s">
        <v>4071</v>
      </c>
      <c r="C97" s="2451"/>
      <c r="D97" s="336">
        <v>0.69</v>
      </c>
      <c r="E97" s="347">
        <f t="shared" si="0"/>
        <v>13.799999999999999</v>
      </c>
      <c r="G97" s="2513" t="s">
        <v>4072</v>
      </c>
      <c r="H97" s="2514"/>
      <c r="I97" s="2514"/>
      <c r="J97" s="336">
        <v>5.0599999999999996</v>
      </c>
      <c r="K97" s="347">
        <f t="shared" si="1"/>
        <v>101.19999999999999</v>
      </c>
      <c r="L97"/>
      <c r="M97" s="2450" t="s">
        <v>4073</v>
      </c>
      <c r="N97" s="2451"/>
      <c r="O97" s="2451"/>
      <c r="P97" s="336">
        <v>2.59</v>
      </c>
      <c r="Q97" s="347">
        <f t="shared" si="2"/>
        <v>51.8</v>
      </c>
      <c r="R97" s="383"/>
      <c r="S97" s="2450" t="s">
        <v>4074</v>
      </c>
      <c r="T97" s="2451"/>
      <c r="U97" s="336">
        <v>2.5</v>
      </c>
      <c r="V97" s="347">
        <f t="shared" si="3"/>
        <v>50</v>
      </c>
      <c r="X97" s="2509" t="s">
        <v>4075</v>
      </c>
      <c r="Y97" s="2510"/>
      <c r="Z97" s="336">
        <v>100</v>
      </c>
      <c r="AA97" s="347">
        <v>5.95</v>
      </c>
    </row>
    <row r="98" spans="2:27" ht="16" customHeight="1">
      <c r="B98" s="2456" t="s">
        <v>4076</v>
      </c>
      <c r="C98" s="2457"/>
      <c r="D98" s="373" t="s">
        <v>4077</v>
      </c>
      <c r="E98" s="348" t="s">
        <v>4078</v>
      </c>
      <c r="G98" s="2456" t="s">
        <v>4079</v>
      </c>
      <c r="H98" s="2457"/>
      <c r="I98" s="2457"/>
      <c r="J98" s="373">
        <v>3.65</v>
      </c>
      <c r="K98" s="348">
        <f t="shared" si="1"/>
        <v>73</v>
      </c>
      <c r="L98"/>
      <c r="M98" s="2456" t="s">
        <v>4080</v>
      </c>
      <c r="N98" s="2457"/>
      <c r="O98" s="2457"/>
      <c r="P98" s="373">
        <v>4.95</v>
      </c>
      <c r="Q98" s="348">
        <f t="shared" si="2"/>
        <v>99</v>
      </c>
      <c r="R98" s="375"/>
      <c r="S98" s="2475" t="s">
        <v>4081</v>
      </c>
      <c r="T98" s="2476"/>
      <c r="U98" s="382">
        <v>0.45</v>
      </c>
      <c r="V98" s="349">
        <f t="shared" si="3"/>
        <v>9</v>
      </c>
      <c r="X98" s="2507" t="s">
        <v>4082</v>
      </c>
      <c r="Y98" s="2508"/>
      <c r="Z98" s="373">
        <v>100</v>
      </c>
      <c r="AA98" s="348">
        <v>2.97</v>
      </c>
    </row>
    <row r="99" spans="2:27" ht="16" customHeight="1">
      <c r="B99" s="2450" t="s">
        <v>4083</v>
      </c>
      <c r="C99" s="2451"/>
      <c r="D99" s="336">
        <v>37.5</v>
      </c>
      <c r="E99" s="347">
        <f t="shared" ref="E99:E104" si="4">D99*20</f>
        <v>750</v>
      </c>
      <c r="G99" s="2450" t="s">
        <v>4084</v>
      </c>
      <c r="H99" s="2451"/>
      <c r="I99" s="2451"/>
      <c r="J99" s="336">
        <v>2.59</v>
      </c>
      <c r="K99" s="347">
        <f t="shared" si="1"/>
        <v>51.8</v>
      </c>
      <c r="L99"/>
      <c r="M99" s="2450" t="s">
        <v>4085</v>
      </c>
      <c r="N99" s="2451"/>
      <c r="O99" s="2451"/>
      <c r="P99" s="336">
        <v>0.4</v>
      </c>
      <c r="Q99" s="347">
        <f t="shared" si="2"/>
        <v>8</v>
      </c>
      <c r="R99" s="375"/>
      <c r="X99" s="2515" t="s">
        <v>4086</v>
      </c>
      <c r="Y99" s="2488"/>
      <c r="Z99" s="336">
        <v>100</v>
      </c>
      <c r="AA99" s="347">
        <v>1.75</v>
      </c>
    </row>
    <row r="100" spans="2:27" ht="16" customHeight="1">
      <c r="B100" s="2516" t="s">
        <v>4087</v>
      </c>
      <c r="C100" s="2517"/>
      <c r="D100" s="376">
        <v>19.95</v>
      </c>
      <c r="E100" s="348">
        <f t="shared" si="4"/>
        <v>399</v>
      </c>
      <c r="G100" s="2456" t="s">
        <v>4088</v>
      </c>
      <c r="H100" s="2457"/>
      <c r="I100" s="2457"/>
      <c r="J100" s="373">
        <v>0.25</v>
      </c>
      <c r="K100" s="348">
        <f t="shared" si="1"/>
        <v>5</v>
      </c>
      <c r="L100"/>
      <c r="M100" s="2445" t="s">
        <v>4089</v>
      </c>
      <c r="N100" s="2446"/>
      <c r="O100" s="2446"/>
      <c r="P100" s="2446"/>
      <c r="Q100" s="2447"/>
      <c r="R100" s="375"/>
      <c r="S100" s="2445" t="s">
        <v>4090</v>
      </c>
      <c r="T100" s="2446"/>
      <c r="U100" s="2446"/>
      <c r="V100" s="2447"/>
      <c r="W100" s="387"/>
      <c r="X100" s="2507" t="s">
        <v>4091</v>
      </c>
      <c r="Y100" s="2508"/>
      <c r="Z100" s="373">
        <v>100</v>
      </c>
      <c r="AA100" s="348">
        <v>6.6</v>
      </c>
    </row>
    <row r="101" spans="2:27" ht="16" customHeight="1">
      <c r="B101" s="2450" t="s">
        <v>4092</v>
      </c>
      <c r="C101" s="2451"/>
      <c r="D101" s="336">
        <v>6.95</v>
      </c>
      <c r="E101" s="347">
        <f t="shared" si="4"/>
        <v>139</v>
      </c>
      <c r="G101" s="2450" t="s">
        <v>4093</v>
      </c>
      <c r="H101" s="2451"/>
      <c r="I101" s="2451"/>
      <c r="J101" s="336">
        <v>5.95</v>
      </c>
      <c r="K101" s="347">
        <f t="shared" si="1"/>
        <v>119</v>
      </c>
      <c r="L101"/>
      <c r="M101" s="2450" t="s">
        <v>4094</v>
      </c>
      <c r="N101" s="2451"/>
      <c r="O101" s="2451"/>
      <c r="P101" s="336">
        <v>1.69</v>
      </c>
      <c r="Q101" s="347">
        <f t="shared" ref="Q101:Q105" si="5">P101*20</f>
        <v>33.799999999999997</v>
      </c>
      <c r="R101" s="375"/>
      <c r="S101" s="2448" t="s">
        <v>4095</v>
      </c>
      <c r="T101" s="2449"/>
      <c r="U101" s="367" t="s">
        <v>3864</v>
      </c>
      <c r="V101" s="384" t="s">
        <v>4051</v>
      </c>
      <c r="X101" s="2505" t="s">
        <v>4096</v>
      </c>
      <c r="Y101" s="2506"/>
      <c r="Z101" s="336">
        <v>100</v>
      </c>
      <c r="AA101" s="347">
        <v>4.49</v>
      </c>
    </row>
    <row r="102" spans="2:27" ht="16" customHeight="1">
      <c r="B102" s="2456" t="s">
        <v>4097</v>
      </c>
      <c r="C102" s="2457"/>
      <c r="D102" s="373">
        <v>4.95</v>
      </c>
      <c r="E102" s="348">
        <f t="shared" si="4"/>
        <v>99</v>
      </c>
      <c r="G102" s="2456" t="s">
        <v>4098</v>
      </c>
      <c r="H102" s="2457"/>
      <c r="I102" s="2457"/>
      <c r="J102" s="373">
        <v>6.59</v>
      </c>
      <c r="K102" s="348">
        <f t="shared" si="1"/>
        <v>131.80000000000001</v>
      </c>
      <c r="L102"/>
      <c r="M102" s="2456" t="s">
        <v>4099</v>
      </c>
      <c r="N102" s="2457"/>
      <c r="O102" s="2457"/>
      <c r="P102" s="373">
        <v>3.98</v>
      </c>
      <c r="Q102" s="348">
        <f t="shared" si="5"/>
        <v>79.599999999999994</v>
      </c>
      <c r="R102" s="375"/>
      <c r="S102" s="2450" t="s">
        <v>4100</v>
      </c>
      <c r="T102" s="2451"/>
      <c r="U102" s="336">
        <v>0.25</v>
      </c>
      <c r="V102" s="347">
        <f t="shared" ref="V102:V121" si="6">U102*20</f>
        <v>5</v>
      </c>
      <c r="X102" s="2507" t="s">
        <v>4101</v>
      </c>
      <c r="Y102" s="2508"/>
      <c r="Z102" s="373">
        <v>100</v>
      </c>
      <c r="AA102" s="348">
        <v>4.43</v>
      </c>
    </row>
    <row r="103" spans="2:27" ht="16" customHeight="1">
      <c r="B103" s="2479" t="s">
        <v>4102</v>
      </c>
      <c r="C103" s="2480"/>
      <c r="D103" s="336">
        <v>8</v>
      </c>
      <c r="E103" s="347">
        <f t="shared" si="4"/>
        <v>160</v>
      </c>
      <c r="G103" s="2450" t="s">
        <v>4103</v>
      </c>
      <c r="H103" s="2451"/>
      <c r="I103" s="2451"/>
      <c r="J103" s="336">
        <v>1.39</v>
      </c>
      <c r="K103" s="347">
        <f t="shared" si="1"/>
        <v>27.799999999999997</v>
      </c>
      <c r="L103"/>
      <c r="M103" s="2450" t="s">
        <v>4104</v>
      </c>
      <c r="N103" s="2451"/>
      <c r="O103" s="2451"/>
      <c r="P103" s="336">
        <v>0.8</v>
      </c>
      <c r="Q103" s="347">
        <f t="shared" si="5"/>
        <v>16</v>
      </c>
      <c r="R103" s="375"/>
      <c r="S103" s="2456" t="s">
        <v>4105</v>
      </c>
      <c r="T103" s="2457"/>
      <c r="U103" s="373">
        <v>0.1</v>
      </c>
      <c r="V103" s="348">
        <f t="shared" si="6"/>
        <v>2</v>
      </c>
      <c r="X103" s="2515" t="s">
        <v>3932</v>
      </c>
      <c r="Y103" s="2488"/>
      <c r="Z103" s="336">
        <v>25</v>
      </c>
      <c r="AA103" s="347">
        <v>1</v>
      </c>
    </row>
    <row r="104" spans="2:27" ht="16" customHeight="1">
      <c r="B104" s="2456" t="s">
        <v>4106</v>
      </c>
      <c r="C104" s="2457"/>
      <c r="D104" s="373">
        <v>4.95</v>
      </c>
      <c r="E104" s="348">
        <f t="shared" si="4"/>
        <v>99</v>
      </c>
      <c r="G104" s="2456" t="s">
        <v>4107</v>
      </c>
      <c r="H104" s="2457"/>
      <c r="I104" s="2457"/>
      <c r="J104" s="373">
        <v>1.68</v>
      </c>
      <c r="K104" s="348">
        <f t="shared" si="1"/>
        <v>33.6</v>
      </c>
      <c r="L104"/>
      <c r="M104" s="2456" t="s">
        <v>4108</v>
      </c>
      <c r="N104" s="2457"/>
      <c r="O104" s="2457"/>
      <c r="P104" s="373">
        <v>1.04</v>
      </c>
      <c r="Q104" s="348">
        <f t="shared" si="5"/>
        <v>20.8</v>
      </c>
      <c r="R104" s="375"/>
      <c r="S104" s="2496" t="s">
        <v>4109</v>
      </c>
      <c r="T104" s="2497"/>
      <c r="U104" s="336">
        <v>0.19</v>
      </c>
      <c r="V104" s="347">
        <f t="shared" si="6"/>
        <v>3.8</v>
      </c>
      <c r="X104" s="2518" t="s">
        <v>3932</v>
      </c>
      <c r="Y104" s="2512"/>
      <c r="Z104" s="373">
        <v>100</v>
      </c>
      <c r="AA104" s="348">
        <v>3.91</v>
      </c>
    </row>
    <row r="105" spans="2:27" ht="16" customHeight="1">
      <c r="B105" s="2450" t="s">
        <v>4110</v>
      </c>
      <c r="C105" s="2451"/>
      <c r="D105" s="336" t="s">
        <v>4111</v>
      </c>
      <c r="E105" s="347" t="s">
        <v>4112</v>
      </c>
      <c r="G105" s="2450" t="s">
        <v>4113</v>
      </c>
      <c r="H105" s="2451"/>
      <c r="I105" s="2451"/>
      <c r="J105" s="377" t="s">
        <v>4114</v>
      </c>
      <c r="K105" s="347" t="s">
        <v>4115</v>
      </c>
      <c r="L105"/>
      <c r="M105" s="2462" t="s">
        <v>4116</v>
      </c>
      <c r="N105" s="2463"/>
      <c r="O105" s="2463"/>
      <c r="P105" s="374">
        <v>2.06</v>
      </c>
      <c r="Q105" s="356">
        <f t="shared" si="5"/>
        <v>41.2</v>
      </c>
      <c r="R105"/>
      <c r="S105" s="2519" t="s">
        <v>4117</v>
      </c>
      <c r="T105" s="2520"/>
      <c r="U105" s="373">
        <v>0.43</v>
      </c>
      <c r="V105" s="348">
        <f t="shared" si="6"/>
        <v>8.6</v>
      </c>
      <c r="X105" s="2515" t="s">
        <v>3935</v>
      </c>
      <c r="Y105" s="2488"/>
      <c r="Z105" s="336">
        <v>100</v>
      </c>
      <c r="AA105" s="347">
        <v>3.63</v>
      </c>
    </row>
    <row r="106" spans="2:27" ht="16" customHeight="1">
      <c r="B106" s="2456" t="s">
        <v>4118</v>
      </c>
      <c r="C106" s="2457"/>
      <c r="D106" s="373">
        <v>19.5</v>
      </c>
      <c r="E106" s="348">
        <f t="shared" ref="E106:E125" si="7">D106*20</f>
        <v>390</v>
      </c>
      <c r="G106" s="2456" t="s">
        <v>4119</v>
      </c>
      <c r="H106" s="2457"/>
      <c r="I106" s="2457"/>
      <c r="J106" s="373">
        <v>0.6</v>
      </c>
      <c r="K106" s="348">
        <f t="shared" ref="K106:K109" si="8">J106*20</f>
        <v>12</v>
      </c>
      <c r="L106"/>
      <c r="R106" s="383"/>
      <c r="S106" s="2450" t="s">
        <v>4120</v>
      </c>
      <c r="T106" s="2451"/>
      <c r="U106" s="336">
        <v>0.25</v>
      </c>
      <c r="V106" s="347">
        <f t="shared" si="6"/>
        <v>5</v>
      </c>
      <c r="X106" s="2521" t="s">
        <v>3940</v>
      </c>
      <c r="Y106" s="2522"/>
      <c r="Z106" s="373">
        <v>25</v>
      </c>
      <c r="AA106" s="348">
        <v>0.86</v>
      </c>
    </row>
    <row r="107" spans="2:27" ht="16" customHeight="1">
      <c r="B107" s="2450" t="s">
        <v>4121</v>
      </c>
      <c r="C107" s="2451"/>
      <c r="D107" s="336">
        <v>7.69</v>
      </c>
      <c r="E107" s="347">
        <f t="shared" si="7"/>
        <v>153.80000000000001</v>
      </c>
      <c r="G107" s="2450" t="s">
        <v>4122</v>
      </c>
      <c r="H107" s="2451"/>
      <c r="I107" s="2451"/>
      <c r="J107" s="336">
        <v>1</v>
      </c>
      <c r="K107" s="347">
        <f t="shared" si="8"/>
        <v>20</v>
      </c>
      <c r="L107"/>
      <c r="M107" s="2445" t="s">
        <v>4019</v>
      </c>
      <c r="N107" s="2446"/>
      <c r="O107" s="2446"/>
      <c r="P107" s="2446"/>
      <c r="Q107" s="2447"/>
      <c r="R107" s="375"/>
      <c r="S107" s="2456" t="s">
        <v>4123</v>
      </c>
      <c r="T107" s="2457"/>
      <c r="U107" s="373">
        <v>0.13</v>
      </c>
      <c r="V107" s="348">
        <f t="shared" si="6"/>
        <v>2.6</v>
      </c>
      <c r="X107" s="2515" t="s">
        <v>3940</v>
      </c>
      <c r="Y107" s="2488"/>
      <c r="Z107" s="336">
        <v>100</v>
      </c>
      <c r="AA107" s="347">
        <v>3.34</v>
      </c>
    </row>
    <row r="108" spans="2:27" ht="16" customHeight="1">
      <c r="B108" s="2456" t="s">
        <v>4124</v>
      </c>
      <c r="C108" s="2457"/>
      <c r="D108" s="373">
        <v>4.95</v>
      </c>
      <c r="E108" s="348">
        <f t="shared" si="7"/>
        <v>99</v>
      </c>
      <c r="G108" s="2456" t="s">
        <v>4125</v>
      </c>
      <c r="H108" s="2457"/>
      <c r="I108" s="2457"/>
      <c r="J108" s="373">
        <v>0.27</v>
      </c>
      <c r="K108" s="348">
        <f t="shared" si="8"/>
        <v>5.4</v>
      </c>
      <c r="L108"/>
      <c r="M108" s="2448" t="s">
        <v>1486</v>
      </c>
      <c r="N108" s="2449"/>
      <c r="O108" s="2449"/>
      <c r="P108" s="367" t="s">
        <v>3864</v>
      </c>
      <c r="Q108" s="384" t="s">
        <v>4051</v>
      </c>
      <c r="R108" s="375"/>
      <c r="S108" s="2450" t="s">
        <v>4126</v>
      </c>
      <c r="T108" s="2451"/>
      <c r="U108" s="336">
        <v>0.4</v>
      </c>
      <c r="V108" s="347">
        <f t="shared" si="6"/>
        <v>8</v>
      </c>
      <c r="X108" s="2521" t="s">
        <v>3945</v>
      </c>
      <c r="Y108" s="2522"/>
      <c r="Z108" s="373">
        <v>25</v>
      </c>
      <c r="AA108" s="348">
        <v>0.85</v>
      </c>
    </row>
    <row r="109" spans="2:27" ht="16" customHeight="1">
      <c r="B109" s="2450" t="s">
        <v>4127</v>
      </c>
      <c r="C109" s="2451"/>
      <c r="D109" s="336">
        <v>0.79</v>
      </c>
      <c r="E109" s="347">
        <f t="shared" si="7"/>
        <v>15.8</v>
      </c>
      <c r="G109" s="2450" t="s">
        <v>4128</v>
      </c>
      <c r="H109" s="2451"/>
      <c r="I109" s="2451"/>
      <c r="J109" s="336">
        <v>3.45</v>
      </c>
      <c r="K109" s="347">
        <f t="shared" si="8"/>
        <v>69</v>
      </c>
      <c r="L109"/>
      <c r="M109" s="2456" t="s">
        <v>4129</v>
      </c>
      <c r="N109" s="2457"/>
      <c r="O109" s="2457"/>
      <c r="P109" s="373">
        <v>0.1</v>
      </c>
      <c r="Q109" s="348">
        <f t="shared" ref="Q109:Q127" si="9">P109*20</f>
        <v>2</v>
      </c>
      <c r="R109" s="385"/>
      <c r="S109" s="2519" t="s">
        <v>4130</v>
      </c>
      <c r="T109" s="2520"/>
      <c r="U109" s="373">
        <v>0.17</v>
      </c>
      <c r="V109" s="348">
        <f t="shared" si="6"/>
        <v>3.4000000000000004</v>
      </c>
      <c r="X109" s="2523" t="s">
        <v>3945</v>
      </c>
      <c r="Y109" s="2524"/>
      <c r="Z109" s="374">
        <v>100</v>
      </c>
      <c r="AA109" s="356">
        <v>3.3</v>
      </c>
    </row>
    <row r="110" spans="2:27" ht="16" customHeight="1">
      <c r="B110" s="2456" t="s">
        <v>4131</v>
      </c>
      <c r="C110" s="2457"/>
      <c r="D110" s="373">
        <v>1.95</v>
      </c>
      <c r="E110" s="348">
        <f t="shared" si="7"/>
        <v>39</v>
      </c>
      <c r="G110" s="2519" t="s">
        <v>4132</v>
      </c>
      <c r="H110" s="2520"/>
      <c r="I110" s="2520"/>
      <c r="J110" s="381" t="s">
        <v>4133</v>
      </c>
      <c r="K110" s="348" t="s">
        <v>4134</v>
      </c>
      <c r="L110"/>
      <c r="M110" s="2450" t="s">
        <v>4135</v>
      </c>
      <c r="N110" s="2451"/>
      <c r="O110" s="2451"/>
      <c r="P110" s="336">
        <v>0.9</v>
      </c>
      <c r="Q110" s="347">
        <f t="shared" si="9"/>
        <v>18</v>
      </c>
      <c r="R110" s="375"/>
      <c r="S110" s="2450" t="s">
        <v>4136</v>
      </c>
      <c r="T110" s="2451"/>
      <c r="U110" s="336">
        <v>0.5</v>
      </c>
      <c r="V110" s="347">
        <f t="shared" si="6"/>
        <v>10</v>
      </c>
    </row>
    <row r="111" spans="2:27" ht="16" customHeight="1">
      <c r="B111" s="2525" t="s">
        <v>4137</v>
      </c>
      <c r="C111" s="2526"/>
      <c r="D111" s="336">
        <v>3.65</v>
      </c>
      <c r="E111" s="347">
        <f t="shared" si="7"/>
        <v>73</v>
      </c>
      <c r="G111" s="2450" t="s">
        <v>4138</v>
      </c>
      <c r="H111" s="2451"/>
      <c r="I111" s="2451"/>
      <c r="J111" s="336">
        <v>28.5</v>
      </c>
      <c r="K111" s="347">
        <f t="shared" ref="K111:K119" si="10">J111*20</f>
        <v>570</v>
      </c>
      <c r="L111"/>
      <c r="M111" s="2456" t="s">
        <v>4139</v>
      </c>
      <c r="N111" s="2457"/>
      <c r="O111" s="2457"/>
      <c r="P111" s="373">
        <v>0.25</v>
      </c>
      <c r="Q111" s="348">
        <f t="shared" si="9"/>
        <v>5</v>
      </c>
      <c r="R111" s="375"/>
      <c r="S111" s="2456" t="s">
        <v>4140</v>
      </c>
      <c r="T111" s="2457"/>
      <c r="U111" s="373">
        <v>0.12</v>
      </c>
      <c r="V111" s="348">
        <f t="shared" si="6"/>
        <v>2.4</v>
      </c>
      <c r="X111" s="2445" t="s">
        <v>3953</v>
      </c>
      <c r="Y111" s="2446"/>
      <c r="Z111" s="2446"/>
      <c r="AA111" s="2447"/>
    </row>
    <row r="112" spans="2:27" ht="16" customHeight="1">
      <c r="B112" s="2456" t="s">
        <v>4141</v>
      </c>
      <c r="C112" s="2457"/>
      <c r="D112" s="373">
        <v>0.98</v>
      </c>
      <c r="E112" s="348">
        <f t="shared" si="7"/>
        <v>19.600000000000001</v>
      </c>
      <c r="G112" s="2456" t="s">
        <v>4142</v>
      </c>
      <c r="H112" s="2457"/>
      <c r="I112" s="2457"/>
      <c r="J112" s="373">
        <v>3.25</v>
      </c>
      <c r="K112" s="348">
        <f t="shared" si="10"/>
        <v>65</v>
      </c>
      <c r="L112"/>
      <c r="M112" s="2450" t="s">
        <v>4143</v>
      </c>
      <c r="N112" s="2451"/>
      <c r="O112" s="2451"/>
      <c r="P112" s="336">
        <v>0.25</v>
      </c>
      <c r="Q112" s="347">
        <f t="shared" si="9"/>
        <v>5</v>
      </c>
      <c r="R112"/>
      <c r="S112" s="2450" t="s">
        <v>4144</v>
      </c>
      <c r="T112" s="2451"/>
      <c r="U112" s="336">
        <v>7.0000000000000007E-2</v>
      </c>
      <c r="V112" s="347">
        <f t="shared" si="6"/>
        <v>1.4000000000000001</v>
      </c>
      <c r="X112" s="2448" t="s">
        <v>1486</v>
      </c>
      <c r="Y112" s="2449"/>
      <c r="Z112" s="367" t="s">
        <v>3864</v>
      </c>
      <c r="AA112" s="384" t="s">
        <v>4051</v>
      </c>
    </row>
    <row r="113" spans="2:27" ht="16" customHeight="1">
      <c r="B113" s="2450" t="s">
        <v>4145</v>
      </c>
      <c r="C113" s="2451"/>
      <c r="D113" s="336">
        <v>16.95</v>
      </c>
      <c r="E113" s="347">
        <f t="shared" si="7"/>
        <v>339</v>
      </c>
      <c r="G113" s="2450" t="s">
        <v>4146</v>
      </c>
      <c r="H113" s="2451"/>
      <c r="I113" s="2451"/>
      <c r="J113" s="336">
        <v>2.85</v>
      </c>
      <c r="K113" s="347">
        <f t="shared" si="10"/>
        <v>57</v>
      </c>
      <c r="L113"/>
      <c r="M113" s="2456" t="s">
        <v>4147</v>
      </c>
      <c r="N113" s="2457"/>
      <c r="O113" s="2457"/>
      <c r="P113" s="373">
        <v>10.45</v>
      </c>
      <c r="Q113" s="348">
        <f t="shared" si="9"/>
        <v>209</v>
      </c>
      <c r="R113" s="383"/>
      <c r="S113" s="2456" t="s">
        <v>4148</v>
      </c>
      <c r="T113" s="2457"/>
      <c r="U113" s="373">
        <v>0.1</v>
      </c>
      <c r="V113" s="348">
        <f t="shared" si="6"/>
        <v>2</v>
      </c>
      <c r="X113" s="2527" t="s">
        <v>4149</v>
      </c>
      <c r="Y113" s="2528"/>
      <c r="Z113" s="373">
        <v>9.1999999999999993</v>
      </c>
      <c r="AA113" s="348">
        <f t="shared" ref="AA113:AA115" si="11">Z113*20</f>
        <v>184</v>
      </c>
    </row>
    <row r="114" spans="2:27" ht="16" customHeight="1">
      <c r="B114" s="2456" t="s">
        <v>4150</v>
      </c>
      <c r="C114" s="2457"/>
      <c r="D114" s="373">
        <v>0.96</v>
      </c>
      <c r="E114" s="348">
        <f t="shared" si="7"/>
        <v>19.2</v>
      </c>
      <c r="G114" s="2519" t="s">
        <v>4151</v>
      </c>
      <c r="H114" s="2520"/>
      <c r="I114" s="2520"/>
      <c r="J114" s="373">
        <v>9.35</v>
      </c>
      <c r="K114" s="348">
        <f t="shared" si="10"/>
        <v>187</v>
      </c>
      <c r="L114"/>
      <c r="M114" s="2450" t="s">
        <v>4152</v>
      </c>
      <c r="N114" s="2451"/>
      <c r="O114" s="2451"/>
      <c r="P114" s="336">
        <v>3.59</v>
      </c>
      <c r="Q114" s="347">
        <f t="shared" si="9"/>
        <v>71.8</v>
      </c>
      <c r="R114" s="375"/>
      <c r="S114" s="2450" t="s">
        <v>4153</v>
      </c>
      <c r="T114" s="2451"/>
      <c r="U114" s="336">
        <v>0.15</v>
      </c>
      <c r="V114" s="347">
        <f t="shared" si="6"/>
        <v>3</v>
      </c>
      <c r="X114" s="2529" t="s">
        <v>4154</v>
      </c>
      <c r="Y114" s="2530"/>
      <c r="Z114" s="336">
        <v>21.35</v>
      </c>
      <c r="AA114" s="347">
        <f t="shared" si="11"/>
        <v>427</v>
      </c>
    </row>
    <row r="115" spans="2:27" ht="16" customHeight="1">
      <c r="B115" s="2450" t="s">
        <v>3933</v>
      </c>
      <c r="C115" s="2451"/>
      <c r="D115" s="336">
        <v>0.5</v>
      </c>
      <c r="E115" s="347">
        <f t="shared" si="7"/>
        <v>10</v>
      </c>
      <c r="G115" s="2450" t="s">
        <v>4155</v>
      </c>
      <c r="H115" s="2451"/>
      <c r="I115" s="2451"/>
      <c r="J115" s="336">
        <v>0.27</v>
      </c>
      <c r="K115" s="347">
        <f t="shared" si="10"/>
        <v>5.4</v>
      </c>
      <c r="L115"/>
      <c r="M115" s="2456" t="s">
        <v>4156</v>
      </c>
      <c r="N115" s="2457"/>
      <c r="O115" s="2457"/>
      <c r="P115" s="373">
        <v>1.39</v>
      </c>
      <c r="Q115" s="348">
        <f t="shared" si="9"/>
        <v>27.799999999999997</v>
      </c>
      <c r="R115" s="386"/>
      <c r="S115" s="2456" t="s">
        <v>4157</v>
      </c>
      <c r="T115" s="2457"/>
      <c r="U115" s="373">
        <v>0.1</v>
      </c>
      <c r="V115" s="348">
        <f t="shared" si="6"/>
        <v>2</v>
      </c>
      <c r="X115" s="2531" t="s">
        <v>4158</v>
      </c>
      <c r="Y115" s="2532"/>
      <c r="Z115" s="382">
        <v>1.9</v>
      </c>
      <c r="AA115" s="349">
        <f t="shared" si="11"/>
        <v>38</v>
      </c>
    </row>
    <row r="116" spans="2:27" ht="16" customHeight="1">
      <c r="B116" s="2456" t="s">
        <v>4159</v>
      </c>
      <c r="C116" s="2457"/>
      <c r="D116" s="373">
        <v>0.55000000000000004</v>
      </c>
      <c r="E116" s="348">
        <f t="shared" si="7"/>
        <v>11</v>
      </c>
      <c r="G116" s="2456" t="s">
        <v>4160</v>
      </c>
      <c r="H116" s="2457"/>
      <c r="I116" s="2457"/>
      <c r="J116" s="373">
        <v>1.7</v>
      </c>
      <c r="K116" s="348">
        <f t="shared" si="10"/>
        <v>34</v>
      </c>
      <c r="L116"/>
      <c r="M116" s="2450" t="s">
        <v>4161</v>
      </c>
      <c r="N116" s="2451"/>
      <c r="O116" s="2451"/>
      <c r="P116" s="336">
        <v>12.5</v>
      </c>
      <c r="Q116" s="347">
        <f t="shared" si="9"/>
        <v>250</v>
      </c>
      <c r="R116" s="375"/>
      <c r="S116" s="2450" t="s">
        <v>4162</v>
      </c>
      <c r="T116" s="2451"/>
      <c r="U116" s="336">
        <v>0.1</v>
      </c>
      <c r="V116" s="347">
        <f t="shared" si="6"/>
        <v>2</v>
      </c>
    </row>
    <row r="117" spans="2:27" ht="16" customHeight="1">
      <c r="B117" s="2450" t="s">
        <v>4163</v>
      </c>
      <c r="C117" s="2451"/>
      <c r="D117" s="336">
        <v>0.39</v>
      </c>
      <c r="E117" s="347">
        <f t="shared" si="7"/>
        <v>7.8000000000000007</v>
      </c>
      <c r="G117" s="2450" t="s">
        <v>4164</v>
      </c>
      <c r="H117" s="2451"/>
      <c r="I117" s="2451"/>
      <c r="J117" s="336">
        <v>3.45</v>
      </c>
      <c r="K117" s="347">
        <f t="shared" si="10"/>
        <v>69</v>
      </c>
      <c r="L117"/>
      <c r="M117" s="2456" t="s">
        <v>4165</v>
      </c>
      <c r="N117" s="2457"/>
      <c r="O117" s="2457"/>
      <c r="P117" s="373">
        <v>1.39</v>
      </c>
      <c r="Q117" s="348">
        <f t="shared" si="9"/>
        <v>27.799999999999997</v>
      </c>
      <c r="R117" s="375"/>
      <c r="S117" s="2456" t="s">
        <v>4166</v>
      </c>
      <c r="T117" s="2457"/>
      <c r="U117" s="373">
        <v>0.13</v>
      </c>
      <c r="V117" s="348">
        <f t="shared" si="6"/>
        <v>2.6</v>
      </c>
      <c r="X117" s="2445" t="s">
        <v>4167</v>
      </c>
      <c r="Y117" s="2446"/>
      <c r="Z117" s="2446"/>
      <c r="AA117" s="2447"/>
    </row>
    <row r="118" spans="2:27" ht="16" customHeight="1">
      <c r="B118" s="2456" t="s">
        <v>4168</v>
      </c>
      <c r="C118" s="2457"/>
      <c r="D118" s="373">
        <v>1.48</v>
      </c>
      <c r="E118" s="348">
        <f t="shared" si="7"/>
        <v>29.6</v>
      </c>
      <c r="G118" s="2456" t="s">
        <v>4169</v>
      </c>
      <c r="H118" s="2457"/>
      <c r="I118" s="2457"/>
      <c r="J118" s="373">
        <v>0.62</v>
      </c>
      <c r="K118" s="348">
        <f t="shared" si="10"/>
        <v>12.4</v>
      </c>
      <c r="L118"/>
      <c r="M118" s="2450" t="s">
        <v>4170</v>
      </c>
      <c r="N118" s="2451"/>
      <c r="O118" s="2451"/>
      <c r="P118" s="336">
        <v>0.69</v>
      </c>
      <c r="Q118" s="347">
        <f t="shared" si="9"/>
        <v>13.799999999999999</v>
      </c>
      <c r="R118" s="375"/>
      <c r="S118" s="2450" t="s">
        <v>4171</v>
      </c>
      <c r="T118" s="2451"/>
      <c r="U118" s="336">
        <v>0.1</v>
      </c>
      <c r="V118" s="347">
        <f t="shared" si="6"/>
        <v>2</v>
      </c>
      <c r="X118" s="2448" t="s">
        <v>1486</v>
      </c>
      <c r="Y118" s="2449"/>
      <c r="Z118" s="367" t="s">
        <v>3864</v>
      </c>
      <c r="AA118" s="384" t="s">
        <v>4051</v>
      </c>
    </row>
    <row r="119" spans="2:27" ht="16" customHeight="1">
      <c r="B119" s="2450" t="s">
        <v>4172</v>
      </c>
      <c r="C119" s="2451"/>
      <c r="D119" s="336">
        <v>0.4</v>
      </c>
      <c r="E119" s="347">
        <f t="shared" si="7"/>
        <v>8</v>
      </c>
      <c r="G119" s="2450" t="s">
        <v>4173</v>
      </c>
      <c r="H119" s="2451"/>
      <c r="I119" s="2451"/>
      <c r="J119" s="336">
        <v>0.48</v>
      </c>
      <c r="K119" s="347">
        <f t="shared" si="10"/>
        <v>9.6</v>
      </c>
      <c r="L119"/>
      <c r="M119" s="2456" t="s">
        <v>4174</v>
      </c>
      <c r="N119" s="2457"/>
      <c r="O119" s="2457"/>
      <c r="P119" s="373">
        <v>0.69</v>
      </c>
      <c r="Q119" s="348">
        <f t="shared" si="9"/>
        <v>13.799999999999999</v>
      </c>
      <c r="R119" s="375"/>
      <c r="S119" s="2519" t="s">
        <v>4175</v>
      </c>
      <c r="T119" s="2520"/>
      <c r="U119" s="373">
        <v>2.25</v>
      </c>
      <c r="V119" s="348">
        <f t="shared" si="6"/>
        <v>45</v>
      </c>
      <c r="X119" s="2515" t="s">
        <v>4176</v>
      </c>
      <c r="Y119" s="2488"/>
      <c r="Z119" s="336">
        <v>12.5</v>
      </c>
      <c r="AA119" s="347">
        <f t="shared" ref="AA119:AA121" si="12">Z119*20</f>
        <v>250</v>
      </c>
    </row>
    <row r="120" spans="2:27" ht="16" customHeight="1">
      <c r="B120" s="2456" t="s">
        <v>4177</v>
      </c>
      <c r="C120" s="2457"/>
      <c r="D120" s="373">
        <v>1.35</v>
      </c>
      <c r="E120" s="348">
        <f t="shared" si="7"/>
        <v>27</v>
      </c>
      <c r="G120" s="2533" t="s">
        <v>4178</v>
      </c>
      <c r="H120" s="2534"/>
      <c r="I120" s="2534"/>
      <c r="J120" s="2534"/>
      <c r="K120" s="2535"/>
      <c r="L120"/>
      <c r="M120" s="2450" t="s">
        <v>4179</v>
      </c>
      <c r="N120" s="2451"/>
      <c r="O120" s="2451"/>
      <c r="P120" s="336">
        <v>0.2</v>
      </c>
      <c r="Q120" s="347">
        <f t="shared" si="9"/>
        <v>4</v>
      </c>
      <c r="R120" s="375"/>
      <c r="S120" s="2450" t="s">
        <v>4180</v>
      </c>
      <c r="T120" s="2451"/>
      <c r="U120" s="336">
        <v>0.25</v>
      </c>
      <c r="V120" s="347">
        <f t="shared" si="6"/>
        <v>5</v>
      </c>
      <c r="X120" s="2521" t="s">
        <v>4181</v>
      </c>
      <c r="Y120" s="2522"/>
      <c r="Z120" s="373">
        <v>3.75</v>
      </c>
      <c r="AA120" s="348">
        <f t="shared" si="12"/>
        <v>75</v>
      </c>
    </row>
    <row r="121" spans="2:27" ht="16" customHeight="1">
      <c r="B121" s="2450" t="s">
        <v>4182</v>
      </c>
      <c r="C121" s="2451"/>
      <c r="D121" s="336">
        <v>0.79</v>
      </c>
      <c r="E121" s="347">
        <f t="shared" si="7"/>
        <v>15.8</v>
      </c>
      <c r="G121" s="2456" t="s">
        <v>4183</v>
      </c>
      <c r="H121" s="2457"/>
      <c r="I121" s="2457"/>
      <c r="J121" s="373">
        <v>2.35</v>
      </c>
      <c r="K121" s="348">
        <f t="shared" ref="K121:K123" si="13">J121*20</f>
        <v>47</v>
      </c>
      <c r="L121"/>
      <c r="M121" s="2456" t="s">
        <v>4184</v>
      </c>
      <c r="N121" s="2457"/>
      <c r="O121" s="2457"/>
      <c r="P121" s="373">
        <v>0.69</v>
      </c>
      <c r="Q121" s="348">
        <f t="shared" si="9"/>
        <v>13.799999999999999</v>
      </c>
      <c r="R121" s="375"/>
      <c r="S121" s="2475" t="s">
        <v>4185</v>
      </c>
      <c r="T121" s="2476"/>
      <c r="U121" s="382">
        <v>0.45</v>
      </c>
      <c r="V121" s="349">
        <f t="shared" si="6"/>
        <v>9</v>
      </c>
      <c r="X121" s="2515" t="s">
        <v>4186</v>
      </c>
      <c r="Y121" s="2488"/>
      <c r="Z121" s="336">
        <v>2.5</v>
      </c>
      <c r="AA121" s="347">
        <f t="shared" si="12"/>
        <v>50</v>
      </c>
    </row>
    <row r="122" spans="2:27" ht="16" customHeight="1">
      <c r="B122" s="2456" t="s">
        <v>4187</v>
      </c>
      <c r="C122" s="2457"/>
      <c r="D122" s="373">
        <v>7.25</v>
      </c>
      <c r="E122" s="348">
        <f t="shared" si="7"/>
        <v>145</v>
      </c>
      <c r="G122" s="2450" t="s">
        <v>4188</v>
      </c>
      <c r="H122" s="2451"/>
      <c r="I122" s="2451"/>
      <c r="J122" s="336">
        <v>1.2</v>
      </c>
      <c r="K122" s="347">
        <f t="shared" si="13"/>
        <v>24</v>
      </c>
      <c r="L122"/>
      <c r="M122" s="2450" t="s">
        <v>4189</v>
      </c>
      <c r="N122" s="2451"/>
      <c r="O122" s="2451"/>
      <c r="P122" s="336">
        <v>1.79</v>
      </c>
      <c r="Q122" s="347">
        <f t="shared" si="9"/>
        <v>35.799999999999997</v>
      </c>
      <c r="R122" s="375"/>
      <c r="X122" s="2521" t="s">
        <v>4190</v>
      </c>
      <c r="Y122" s="2522"/>
      <c r="Z122" s="388" t="s">
        <v>4191</v>
      </c>
      <c r="AA122" s="389" t="s">
        <v>4192</v>
      </c>
    </row>
    <row r="123" spans="2:27" ht="16" customHeight="1">
      <c r="B123" s="2450" t="s">
        <v>4193</v>
      </c>
      <c r="C123" s="2451"/>
      <c r="D123" s="336">
        <v>5.25</v>
      </c>
      <c r="E123" s="347">
        <f t="shared" si="7"/>
        <v>105</v>
      </c>
      <c r="G123" s="2456" t="s">
        <v>4194</v>
      </c>
      <c r="H123" s="2457"/>
      <c r="I123" s="2457"/>
      <c r="J123" s="373">
        <v>0.98</v>
      </c>
      <c r="K123" s="348">
        <f t="shared" si="13"/>
        <v>19.600000000000001</v>
      </c>
      <c r="L123"/>
      <c r="M123" s="2456" t="s">
        <v>4195</v>
      </c>
      <c r="N123" s="2457"/>
      <c r="O123" s="2457"/>
      <c r="P123" s="373">
        <v>39.950000000000003</v>
      </c>
      <c r="Q123" s="348">
        <f t="shared" si="9"/>
        <v>799</v>
      </c>
      <c r="R123" s="375"/>
      <c r="S123" s="2445" t="s">
        <v>4196</v>
      </c>
      <c r="T123" s="2446"/>
      <c r="U123" s="2446"/>
      <c r="V123" s="2447"/>
      <c r="W123" s="387"/>
      <c r="X123" s="2515" t="s">
        <v>4197</v>
      </c>
      <c r="Y123" s="2488"/>
      <c r="Z123" s="336">
        <v>1</v>
      </c>
      <c r="AA123" s="347">
        <f t="shared" ref="AA123:AA127" si="14">Z123*20</f>
        <v>20</v>
      </c>
    </row>
    <row r="124" spans="2:27" ht="16" customHeight="1">
      <c r="B124" s="2456" t="s">
        <v>4198</v>
      </c>
      <c r="C124" s="2457"/>
      <c r="D124" s="373">
        <v>3.45</v>
      </c>
      <c r="E124" s="348">
        <f t="shared" si="7"/>
        <v>69</v>
      </c>
      <c r="G124" s="2533" t="s">
        <v>4199</v>
      </c>
      <c r="H124" s="2534"/>
      <c r="I124" s="2534"/>
      <c r="J124" s="2534"/>
      <c r="K124" s="2535"/>
      <c r="L124"/>
      <c r="M124" s="2450" t="s">
        <v>4200</v>
      </c>
      <c r="N124" s="2451"/>
      <c r="O124" s="2451"/>
      <c r="P124" s="336">
        <v>1.59</v>
      </c>
      <c r="Q124" s="347">
        <f t="shared" si="9"/>
        <v>31.8</v>
      </c>
      <c r="R124" s="375"/>
      <c r="S124" s="2448" t="s">
        <v>1486</v>
      </c>
      <c r="T124" s="2449"/>
      <c r="U124" s="367" t="s">
        <v>3864</v>
      </c>
      <c r="V124" s="384" t="s">
        <v>4051</v>
      </c>
      <c r="X124" s="2521" t="s">
        <v>4201</v>
      </c>
      <c r="Y124" s="2522"/>
      <c r="Z124" s="373">
        <v>1.98</v>
      </c>
      <c r="AA124" s="348">
        <f t="shared" si="14"/>
        <v>39.6</v>
      </c>
    </row>
    <row r="125" spans="2:27" ht="16" customHeight="1">
      <c r="B125" s="2462" t="s">
        <v>4202</v>
      </c>
      <c r="C125" s="2463"/>
      <c r="D125" s="374">
        <v>0.75</v>
      </c>
      <c r="E125" s="356">
        <f t="shared" si="7"/>
        <v>15</v>
      </c>
      <c r="G125" s="2503" t="s">
        <v>4203</v>
      </c>
      <c r="H125" s="2504"/>
      <c r="I125" s="2504"/>
      <c r="J125" s="336">
        <v>2.48</v>
      </c>
      <c r="K125" s="347">
        <f t="shared" ref="K125:K127" si="15">J125*20</f>
        <v>49.6</v>
      </c>
      <c r="L125"/>
      <c r="M125" s="2456" t="s">
        <v>4204</v>
      </c>
      <c r="N125" s="2457"/>
      <c r="O125" s="2457"/>
      <c r="P125" s="373">
        <v>0.28999999999999998</v>
      </c>
      <c r="Q125" s="348">
        <f t="shared" si="9"/>
        <v>5.8</v>
      </c>
      <c r="R125" s="375"/>
      <c r="S125" s="2450" t="s">
        <v>4205</v>
      </c>
      <c r="T125" s="2451"/>
      <c r="U125" s="336">
        <v>2.5</v>
      </c>
      <c r="V125" s="347">
        <f t="shared" ref="V125:V128" si="16">U125*20</f>
        <v>50</v>
      </c>
      <c r="X125" s="2515" t="s">
        <v>4206</v>
      </c>
      <c r="Y125" s="2488"/>
      <c r="Z125" s="336">
        <v>0.6</v>
      </c>
      <c r="AA125" s="347">
        <f t="shared" si="14"/>
        <v>12</v>
      </c>
    </row>
    <row r="126" spans="2:27" ht="16" customHeight="1">
      <c r="B126" s="375"/>
      <c r="C126" s="375"/>
      <c r="D126" s="375"/>
      <c r="E126" s="375"/>
      <c r="G126" s="2536" t="s">
        <v>4207</v>
      </c>
      <c r="H126" s="2537"/>
      <c r="I126" s="2537"/>
      <c r="J126" s="373">
        <v>5.98</v>
      </c>
      <c r="K126" s="348">
        <f t="shared" si="15"/>
        <v>119.60000000000001</v>
      </c>
      <c r="L126"/>
      <c r="M126" s="2450" t="s">
        <v>4208</v>
      </c>
      <c r="N126" s="2451"/>
      <c r="O126" s="2451"/>
      <c r="P126" s="336">
        <v>1.98</v>
      </c>
      <c r="Q126" s="347">
        <f t="shared" si="9"/>
        <v>39.6</v>
      </c>
      <c r="R126" s="375"/>
      <c r="S126" s="2456" t="s">
        <v>4209</v>
      </c>
      <c r="T126" s="2457"/>
      <c r="U126" s="373">
        <v>0.45</v>
      </c>
      <c r="V126" s="348">
        <f t="shared" si="16"/>
        <v>9</v>
      </c>
      <c r="X126" s="2521" t="s">
        <v>4210</v>
      </c>
      <c r="Y126" s="2522"/>
      <c r="Z126" s="373">
        <v>1.95</v>
      </c>
      <c r="AA126" s="348">
        <f t="shared" si="14"/>
        <v>39</v>
      </c>
    </row>
    <row r="127" spans="2:27" ht="16" customHeight="1">
      <c r="B127" s="2445" t="s">
        <v>3961</v>
      </c>
      <c r="C127" s="2446"/>
      <c r="D127" s="2446"/>
      <c r="E127" s="2447"/>
      <c r="G127" s="2450" t="s">
        <v>4211</v>
      </c>
      <c r="H127" s="2451"/>
      <c r="I127" s="2451"/>
      <c r="J127" s="336">
        <v>11.43</v>
      </c>
      <c r="K127" s="347">
        <f t="shared" si="15"/>
        <v>228.6</v>
      </c>
      <c r="L127"/>
      <c r="M127" s="2475" t="s">
        <v>4212</v>
      </c>
      <c r="N127" s="2476"/>
      <c r="O127" s="2476"/>
      <c r="P127" s="382">
        <v>0.98</v>
      </c>
      <c r="Q127" s="349">
        <f t="shared" si="9"/>
        <v>19.600000000000001</v>
      </c>
      <c r="R127" s="375"/>
      <c r="S127" s="2450" t="s">
        <v>4213</v>
      </c>
      <c r="T127" s="2451"/>
      <c r="U127" s="336">
        <v>0.65</v>
      </c>
      <c r="V127" s="347">
        <f t="shared" si="16"/>
        <v>13</v>
      </c>
      <c r="X127" s="2538" t="s">
        <v>4214</v>
      </c>
      <c r="Y127" s="2539"/>
      <c r="Z127" s="374">
        <v>1.75</v>
      </c>
      <c r="AA127" s="356">
        <f t="shared" si="14"/>
        <v>35</v>
      </c>
    </row>
    <row r="128" spans="2:27" ht="16" customHeight="1">
      <c r="B128" s="2448" t="s">
        <v>1486</v>
      </c>
      <c r="C128" s="2449"/>
      <c r="D128" s="367" t="s">
        <v>3864</v>
      </c>
      <c r="E128" s="346" t="s">
        <v>4051</v>
      </c>
      <c r="G128" s="2533" t="s">
        <v>4215</v>
      </c>
      <c r="H128" s="2534"/>
      <c r="I128" s="2534"/>
      <c r="J128" s="2534"/>
      <c r="K128" s="2535"/>
      <c r="L128"/>
      <c r="R128" s="375"/>
      <c r="S128" s="2475" t="s">
        <v>4216</v>
      </c>
      <c r="T128" s="2476"/>
      <c r="U128" s="382">
        <v>1.25</v>
      </c>
      <c r="V128" s="349">
        <f t="shared" si="16"/>
        <v>25</v>
      </c>
    </row>
    <row r="129" spans="2:27" ht="16" customHeight="1">
      <c r="B129" s="2450" t="s">
        <v>4217</v>
      </c>
      <c r="C129" s="2451"/>
      <c r="D129" s="336" t="s">
        <v>3995</v>
      </c>
      <c r="E129" s="347" t="s">
        <v>4218</v>
      </c>
      <c r="G129" s="2456" t="s">
        <v>4219</v>
      </c>
      <c r="H129" s="2457"/>
      <c r="I129" s="2457"/>
      <c r="J129" s="373">
        <v>35.200000000000003</v>
      </c>
      <c r="K129" s="348">
        <f t="shared" ref="K129:K131" si="17">J129*20</f>
        <v>704</v>
      </c>
      <c r="L129" s="375"/>
      <c r="M129" s="2445" t="s">
        <v>4220</v>
      </c>
      <c r="N129" s="2446"/>
      <c r="O129" s="2446"/>
      <c r="P129" s="2446"/>
      <c r="Q129" s="2447"/>
      <c r="R129" s="375"/>
      <c r="X129" s="2445" t="s">
        <v>4221</v>
      </c>
      <c r="Y129" s="2446"/>
      <c r="Z129" s="2446"/>
      <c r="AA129" s="2447"/>
    </row>
    <row r="130" spans="2:27" ht="16" customHeight="1">
      <c r="B130" s="2456" t="s">
        <v>4222</v>
      </c>
      <c r="C130" s="2457"/>
      <c r="D130" s="373">
        <v>13.95</v>
      </c>
      <c r="E130" s="348">
        <f t="shared" ref="E130:E145" si="18">D130*20</f>
        <v>279</v>
      </c>
      <c r="G130" s="2450" t="s">
        <v>4223</v>
      </c>
      <c r="H130" s="2451"/>
      <c r="I130" s="2451"/>
      <c r="J130" s="336">
        <v>79.95</v>
      </c>
      <c r="K130" s="347">
        <f t="shared" si="17"/>
        <v>1599</v>
      </c>
      <c r="L130"/>
      <c r="M130" s="2448" t="s">
        <v>1486</v>
      </c>
      <c r="N130" s="2449"/>
      <c r="O130" s="2449"/>
      <c r="P130" s="367" t="s">
        <v>3864</v>
      </c>
      <c r="Q130" s="394" t="s">
        <v>4051</v>
      </c>
      <c r="R130" s="375"/>
      <c r="S130" s="2445" t="s">
        <v>3939</v>
      </c>
      <c r="T130" s="2446"/>
      <c r="U130" s="2446"/>
      <c r="V130" s="2447"/>
      <c r="X130" s="2448" t="s">
        <v>1486</v>
      </c>
      <c r="Y130" s="2449"/>
      <c r="Z130" s="2449"/>
      <c r="AA130" s="346" t="s">
        <v>3864</v>
      </c>
    </row>
    <row r="131" spans="2:27" ht="16" customHeight="1">
      <c r="B131" s="2450" t="s">
        <v>4224</v>
      </c>
      <c r="C131" s="2451"/>
      <c r="D131" s="336">
        <v>10.95</v>
      </c>
      <c r="E131" s="347">
        <f t="shared" si="18"/>
        <v>219</v>
      </c>
      <c r="G131" s="2475" t="s">
        <v>4225</v>
      </c>
      <c r="H131" s="2476"/>
      <c r="I131" s="2476"/>
      <c r="J131" s="382">
        <v>75</v>
      </c>
      <c r="K131" s="349">
        <f t="shared" si="17"/>
        <v>1500</v>
      </c>
      <c r="L131"/>
      <c r="M131" s="2450" t="s">
        <v>4226</v>
      </c>
      <c r="N131" s="2451"/>
      <c r="O131" s="2451"/>
      <c r="P131" s="336">
        <v>4.9800000000000004</v>
      </c>
      <c r="Q131" s="347">
        <f t="shared" ref="Q131:Q134" si="19">P131*20</f>
        <v>99.600000000000009</v>
      </c>
      <c r="R131" s="375"/>
      <c r="S131" s="2448" t="s">
        <v>1486</v>
      </c>
      <c r="T131" s="2449"/>
      <c r="U131" s="367" t="s">
        <v>3864</v>
      </c>
      <c r="V131" s="384" t="s">
        <v>4051</v>
      </c>
      <c r="X131" s="2515" t="s">
        <v>4227</v>
      </c>
      <c r="Y131" s="2488"/>
      <c r="Z131" s="2488"/>
      <c r="AA131" s="347" t="s">
        <v>4228</v>
      </c>
    </row>
    <row r="132" spans="2:27" ht="16" customHeight="1">
      <c r="B132" s="2456" t="s">
        <v>4229</v>
      </c>
      <c r="C132" s="2457"/>
      <c r="D132" s="373">
        <v>10.95</v>
      </c>
      <c r="E132" s="348">
        <f t="shared" si="18"/>
        <v>219</v>
      </c>
      <c r="M132" s="2519" t="s">
        <v>4230</v>
      </c>
      <c r="N132" s="2520"/>
      <c r="O132" s="2520"/>
      <c r="P132" s="373">
        <v>9.98</v>
      </c>
      <c r="Q132" s="348">
        <f t="shared" si="19"/>
        <v>199.60000000000002</v>
      </c>
      <c r="S132" s="2503" t="s">
        <v>4231</v>
      </c>
      <c r="T132" s="2504"/>
      <c r="U132" s="336">
        <v>14.9</v>
      </c>
      <c r="V132" s="347">
        <f t="shared" ref="V132:V148" si="20">U132*20</f>
        <v>298</v>
      </c>
      <c r="X132" s="2521" t="s">
        <v>4232</v>
      </c>
      <c r="Y132" s="2522"/>
      <c r="Z132" s="2522"/>
      <c r="AA132" s="348" t="s">
        <v>4233</v>
      </c>
    </row>
    <row r="133" spans="2:27" ht="16" customHeight="1">
      <c r="B133" s="2450" t="s">
        <v>4234</v>
      </c>
      <c r="C133" s="2451"/>
      <c r="D133" s="336">
        <v>2.59</v>
      </c>
      <c r="E133" s="347">
        <f t="shared" si="18"/>
        <v>51.8</v>
      </c>
      <c r="G133" s="2445" t="s">
        <v>4235</v>
      </c>
      <c r="H133" s="2446"/>
      <c r="I133" s="2446"/>
      <c r="J133" s="2446"/>
      <c r="K133" s="2447"/>
      <c r="M133" s="2503" t="s">
        <v>4236</v>
      </c>
      <c r="N133" s="2504"/>
      <c r="O133" s="2504"/>
      <c r="P133" s="336">
        <v>22.95</v>
      </c>
      <c r="Q133" s="347">
        <f t="shared" si="19"/>
        <v>459</v>
      </c>
      <c r="S133" s="2536" t="s">
        <v>4237</v>
      </c>
      <c r="T133" s="2537"/>
      <c r="U133" s="373">
        <v>6.15</v>
      </c>
      <c r="V133" s="348">
        <f t="shared" si="20"/>
        <v>123</v>
      </c>
      <c r="X133" s="2515" t="s">
        <v>4238</v>
      </c>
      <c r="Y133" s="2488"/>
      <c r="Z133" s="2488"/>
      <c r="AA133" s="347">
        <v>25</v>
      </c>
    </row>
    <row r="134" spans="2:27" ht="16" customHeight="1">
      <c r="B134" s="2456" t="s">
        <v>4239</v>
      </c>
      <c r="C134" s="2457"/>
      <c r="D134" s="373">
        <v>10.95</v>
      </c>
      <c r="E134" s="348">
        <f t="shared" si="18"/>
        <v>219</v>
      </c>
      <c r="G134" s="2448" t="s">
        <v>4240</v>
      </c>
      <c r="H134" s="2449"/>
      <c r="I134" s="2449"/>
      <c r="J134" s="2449"/>
      <c r="K134" s="346" t="s">
        <v>3864</v>
      </c>
      <c r="M134" s="2456" t="s">
        <v>4241</v>
      </c>
      <c r="N134" s="2457"/>
      <c r="O134" s="2457"/>
      <c r="P134" s="373">
        <v>0.79</v>
      </c>
      <c r="Q134" s="348">
        <f t="shared" si="19"/>
        <v>15.8</v>
      </c>
      <c r="S134" s="2450" t="s">
        <v>4242</v>
      </c>
      <c r="T134" s="2451"/>
      <c r="U134" s="336">
        <v>1.75</v>
      </c>
      <c r="V134" s="347">
        <f t="shared" si="20"/>
        <v>35</v>
      </c>
      <c r="X134" s="2521" t="s">
        <v>4243</v>
      </c>
      <c r="Y134" s="2522"/>
      <c r="Z134" s="2522"/>
      <c r="AA134" s="397" t="s">
        <v>4244</v>
      </c>
    </row>
    <row r="135" spans="2:27" ht="16" customHeight="1">
      <c r="B135" s="2450" t="s">
        <v>4245</v>
      </c>
      <c r="C135" s="2451"/>
      <c r="D135" s="336">
        <v>7.95</v>
      </c>
      <c r="E135" s="347">
        <f t="shared" si="18"/>
        <v>159</v>
      </c>
      <c r="G135" s="2452" t="s">
        <v>4246</v>
      </c>
      <c r="H135" s="2453"/>
      <c r="I135" s="2453"/>
      <c r="J135" s="2453"/>
      <c r="K135" s="347">
        <v>2</v>
      </c>
      <c r="M135" s="2450" t="s">
        <v>4247</v>
      </c>
      <c r="N135" s="2451"/>
      <c r="O135" s="2451"/>
      <c r="P135" s="336">
        <v>2.19</v>
      </c>
      <c r="Q135" s="347">
        <v>43.8</v>
      </c>
      <c r="S135" s="2456" t="s">
        <v>4248</v>
      </c>
      <c r="T135" s="2457"/>
      <c r="U135" s="373">
        <v>0.95</v>
      </c>
      <c r="V135" s="348">
        <f t="shared" si="20"/>
        <v>19</v>
      </c>
      <c r="X135" s="2515" t="s">
        <v>4249</v>
      </c>
      <c r="Y135" s="2488"/>
      <c r="Z135" s="2488"/>
      <c r="AA135" s="347">
        <v>45</v>
      </c>
    </row>
    <row r="136" spans="2:27" ht="16" customHeight="1">
      <c r="B136" s="2456" t="s">
        <v>4250</v>
      </c>
      <c r="C136" s="2457"/>
      <c r="D136" s="373">
        <v>1.98</v>
      </c>
      <c r="E136" s="348">
        <f t="shared" si="18"/>
        <v>39.6</v>
      </c>
      <c r="G136" s="2458" t="s">
        <v>4251</v>
      </c>
      <c r="H136" s="2459"/>
      <c r="I136" s="2459"/>
      <c r="J136" s="2459"/>
      <c r="K136" s="348">
        <v>18</v>
      </c>
      <c r="M136" s="2456" t="s">
        <v>4252</v>
      </c>
      <c r="N136" s="2457"/>
      <c r="O136" s="2457"/>
      <c r="P136" s="373">
        <v>0.89</v>
      </c>
      <c r="Q136" s="348">
        <v>17.8</v>
      </c>
      <c r="S136" s="2450" t="s">
        <v>4253</v>
      </c>
      <c r="T136" s="2451"/>
      <c r="U136" s="336">
        <v>8.6</v>
      </c>
      <c r="V136" s="347">
        <f t="shared" si="20"/>
        <v>172</v>
      </c>
      <c r="X136" s="2521" t="s">
        <v>4254</v>
      </c>
      <c r="Y136" s="2522"/>
      <c r="Z136" s="2522"/>
      <c r="AA136" s="348" t="s">
        <v>4255</v>
      </c>
    </row>
    <row r="137" spans="2:27" ht="16" customHeight="1">
      <c r="B137" s="2450" t="s">
        <v>4256</v>
      </c>
      <c r="C137" s="2451"/>
      <c r="D137" s="336">
        <v>9.48</v>
      </c>
      <c r="E137" s="347">
        <f t="shared" si="18"/>
        <v>189.60000000000002</v>
      </c>
      <c r="G137" s="2452" t="s">
        <v>4257</v>
      </c>
      <c r="H137" s="2453"/>
      <c r="I137" s="2453"/>
      <c r="J137" s="2453"/>
      <c r="K137" s="347">
        <v>300</v>
      </c>
      <c r="M137" s="2450" t="s">
        <v>4258</v>
      </c>
      <c r="N137" s="2451"/>
      <c r="O137" s="2451"/>
      <c r="P137" s="336">
        <v>0.25</v>
      </c>
      <c r="Q137" s="347">
        <v>5</v>
      </c>
      <c r="S137" s="2456" t="s">
        <v>4259</v>
      </c>
      <c r="T137" s="2457"/>
      <c r="U137" s="373">
        <v>0.1</v>
      </c>
      <c r="V137" s="348">
        <f t="shared" si="20"/>
        <v>2</v>
      </c>
      <c r="X137" s="2540" t="s">
        <v>4260</v>
      </c>
      <c r="Y137" s="2541"/>
      <c r="Z137" s="2541"/>
      <c r="AA137" s="347">
        <v>2</v>
      </c>
    </row>
    <row r="138" spans="2:27" ht="16" customHeight="1">
      <c r="B138" s="2456" t="s">
        <v>4261</v>
      </c>
      <c r="C138" s="2457"/>
      <c r="D138" s="373">
        <v>0.88</v>
      </c>
      <c r="E138" s="348">
        <f t="shared" si="18"/>
        <v>17.600000000000001</v>
      </c>
      <c r="G138" s="2458" t="s">
        <v>4262</v>
      </c>
      <c r="H138" s="2459"/>
      <c r="I138" s="2459"/>
      <c r="J138" s="2459"/>
      <c r="K138" s="348">
        <v>3000</v>
      </c>
      <c r="M138" s="2456" t="s">
        <v>4263</v>
      </c>
      <c r="N138" s="2457"/>
      <c r="O138" s="2457"/>
      <c r="P138" s="373">
        <v>0.79</v>
      </c>
      <c r="Q138" s="348">
        <v>15.8</v>
      </c>
      <c r="S138" s="2450" t="s">
        <v>4264</v>
      </c>
      <c r="T138" s="2451"/>
      <c r="U138" s="336">
        <v>7.74</v>
      </c>
      <c r="V138" s="347">
        <f t="shared" si="20"/>
        <v>154.80000000000001</v>
      </c>
      <c r="X138" s="2542" t="s">
        <v>4265</v>
      </c>
      <c r="Y138" s="2543"/>
      <c r="Z138" s="2543"/>
      <c r="AA138" s="348">
        <v>2</v>
      </c>
    </row>
    <row r="139" spans="2:27" ht="16" customHeight="1">
      <c r="B139" s="2450" t="s">
        <v>4266</v>
      </c>
      <c r="C139" s="2451"/>
      <c r="D139" s="336">
        <v>4.45</v>
      </c>
      <c r="E139" s="347">
        <f t="shared" si="18"/>
        <v>89</v>
      </c>
      <c r="G139" s="2448" t="s">
        <v>4267</v>
      </c>
      <c r="H139" s="2449"/>
      <c r="I139" s="2449"/>
      <c r="J139" s="2449"/>
      <c r="K139" s="346" t="s">
        <v>3864</v>
      </c>
      <c r="M139" s="2450" t="s">
        <v>4268</v>
      </c>
      <c r="N139" s="2451"/>
      <c r="O139" s="2451"/>
      <c r="P139" s="336">
        <v>0.5</v>
      </c>
      <c r="Q139" s="347">
        <v>10</v>
      </c>
      <c r="S139" s="2456" t="s">
        <v>4269</v>
      </c>
      <c r="T139" s="2457"/>
      <c r="U139" s="373">
        <v>2.25</v>
      </c>
      <c r="V139" s="348">
        <f t="shared" si="20"/>
        <v>45</v>
      </c>
      <c r="X139" s="2542" t="s">
        <v>4270</v>
      </c>
      <c r="Y139" s="2543"/>
      <c r="Z139" s="2543"/>
      <c r="AA139" s="398" t="s">
        <v>4271</v>
      </c>
    </row>
    <row r="140" spans="2:27" ht="16" customHeight="1">
      <c r="B140" s="2456" t="s">
        <v>4272</v>
      </c>
      <c r="C140" s="2457"/>
      <c r="D140" s="373">
        <v>0.98</v>
      </c>
      <c r="E140" s="348">
        <f t="shared" si="18"/>
        <v>19.600000000000001</v>
      </c>
      <c r="G140" s="2452" t="s">
        <v>3885</v>
      </c>
      <c r="H140" s="2453"/>
      <c r="I140" s="2453"/>
      <c r="J140" s="2453"/>
      <c r="K140" s="347">
        <v>2</v>
      </c>
      <c r="M140" s="2456" t="s">
        <v>4273</v>
      </c>
      <c r="N140" s="2457"/>
      <c r="O140" s="2457"/>
      <c r="P140" s="373">
        <v>1.39</v>
      </c>
      <c r="Q140" s="348">
        <v>27.8</v>
      </c>
      <c r="S140" s="2450" t="s">
        <v>4274</v>
      </c>
      <c r="T140" s="2451"/>
      <c r="U140" s="336">
        <v>1.65</v>
      </c>
      <c r="V140" s="347">
        <f t="shared" si="20"/>
        <v>33</v>
      </c>
      <c r="X140" s="2544" t="s">
        <v>4275</v>
      </c>
      <c r="Y140" s="2545"/>
      <c r="Z140" s="2545"/>
      <c r="AA140" s="348">
        <v>10</v>
      </c>
    </row>
    <row r="141" spans="2:27" ht="16" customHeight="1">
      <c r="B141" s="2450" t="s">
        <v>4276</v>
      </c>
      <c r="C141" s="2451"/>
      <c r="D141" s="336">
        <v>4.4400000000000004</v>
      </c>
      <c r="E141" s="347">
        <f t="shared" si="18"/>
        <v>88.800000000000011</v>
      </c>
      <c r="G141" s="2458" t="s">
        <v>3890</v>
      </c>
      <c r="H141" s="2459"/>
      <c r="I141" s="2459"/>
      <c r="J141" s="2459"/>
      <c r="K141" s="348">
        <v>3</v>
      </c>
      <c r="M141" s="2450" t="s">
        <v>4277</v>
      </c>
      <c r="N141" s="2451"/>
      <c r="O141" s="2451"/>
      <c r="P141" s="336">
        <v>0.19</v>
      </c>
      <c r="Q141" s="347">
        <v>3.8</v>
      </c>
      <c r="S141" s="2456" t="s">
        <v>4278</v>
      </c>
      <c r="T141" s="2457"/>
      <c r="U141" s="373">
        <v>4.45</v>
      </c>
      <c r="V141" s="348">
        <f t="shared" si="20"/>
        <v>89</v>
      </c>
      <c r="X141" s="2556" t="s">
        <v>4279</v>
      </c>
      <c r="Y141" s="2557"/>
      <c r="Z141" s="2557"/>
      <c r="AA141" s="2558"/>
    </row>
    <row r="142" spans="2:27" ht="16" customHeight="1">
      <c r="B142" s="2456" t="s">
        <v>4280</v>
      </c>
      <c r="C142" s="2457"/>
      <c r="D142" s="373">
        <v>3.69</v>
      </c>
      <c r="E142" s="348">
        <f t="shared" si="18"/>
        <v>73.8</v>
      </c>
      <c r="G142" s="2452" t="s">
        <v>3895</v>
      </c>
      <c r="H142" s="2453"/>
      <c r="I142" s="2453"/>
      <c r="J142" s="2453"/>
      <c r="K142" s="347">
        <v>6</v>
      </c>
      <c r="M142" s="2475" t="s">
        <v>4281</v>
      </c>
      <c r="N142" s="2476"/>
      <c r="O142" s="2476"/>
      <c r="P142" s="382">
        <v>0.39</v>
      </c>
      <c r="Q142" s="349">
        <v>7.8</v>
      </c>
      <c r="S142" s="2450" t="s">
        <v>4282</v>
      </c>
      <c r="T142" s="2451"/>
      <c r="U142" s="336">
        <v>1.98</v>
      </c>
      <c r="V142" s="347">
        <f t="shared" si="20"/>
        <v>39.6</v>
      </c>
      <c r="X142" s="2556"/>
      <c r="Y142" s="2557"/>
      <c r="Z142" s="2557"/>
      <c r="AA142" s="2558"/>
    </row>
    <row r="143" spans="2:27" ht="16" customHeight="1">
      <c r="B143" s="2479" t="s">
        <v>4283</v>
      </c>
      <c r="C143" s="2480"/>
      <c r="D143" s="336">
        <v>2.59</v>
      </c>
      <c r="E143" s="347">
        <f t="shared" si="18"/>
        <v>51.8</v>
      </c>
      <c r="G143" s="2471" t="s">
        <v>4284</v>
      </c>
      <c r="H143" s="2472"/>
      <c r="I143" s="2472"/>
      <c r="J143" s="2472"/>
      <c r="K143" s="346" t="s">
        <v>3864</v>
      </c>
      <c r="S143" s="2516" t="s">
        <v>4285</v>
      </c>
      <c r="T143" s="2517"/>
      <c r="U143" s="373">
        <v>3.33</v>
      </c>
      <c r="V143" s="348">
        <f t="shared" si="20"/>
        <v>66.599999999999994</v>
      </c>
      <c r="X143" s="2556"/>
      <c r="Y143" s="2557"/>
      <c r="Z143" s="2557"/>
      <c r="AA143" s="2558"/>
    </row>
    <row r="144" spans="2:27" ht="16" customHeight="1">
      <c r="B144" s="2456" t="s">
        <v>4286</v>
      </c>
      <c r="C144" s="2457"/>
      <c r="D144" s="373">
        <v>1.59</v>
      </c>
      <c r="E144" s="348">
        <f t="shared" si="18"/>
        <v>31.8</v>
      </c>
      <c r="G144" s="2452" t="s">
        <v>4287</v>
      </c>
      <c r="H144" s="2453"/>
      <c r="I144" s="2453"/>
      <c r="J144" s="2453"/>
      <c r="K144" s="347">
        <v>120</v>
      </c>
      <c r="M144" s="2445" t="s">
        <v>191</v>
      </c>
      <c r="N144" s="2446"/>
      <c r="O144" s="2446"/>
      <c r="P144" s="2446"/>
      <c r="Q144" s="2447"/>
      <c r="S144" s="2450" t="s">
        <v>4288</v>
      </c>
      <c r="T144" s="2451"/>
      <c r="U144" s="336">
        <v>2.52</v>
      </c>
      <c r="V144" s="347">
        <f t="shared" si="20"/>
        <v>50.4</v>
      </c>
      <c r="X144" s="2556"/>
      <c r="Y144" s="2557"/>
      <c r="Z144" s="2557"/>
      <c r="AA144" s="2558"/>
    </row>
    <row r="145" spans="2:27" ht="16" customHeight="1">
      <c r="B145" s="2450" t="s">
        <v>4289</v>
      </c>
      <c r="C145" s="2451"/>
      <c r="D145" s="336">
        <v>2.25</v>
      </c>
      <c r="E145" s="347">
        <f t="shared" si="18"/>
        <v>45</v>
      </c>
      <c r="G145" s="2458" t="s">
        <v>4290</v>
      </c>
      <c r="H145" s="2459"/>
      <c r="I145" s="2459"/>
      <c r="J145" s="2459"/>
      <c r="K145" s="348">
        <v>200</v>
      </c>
      <c r="M145" s="2448" t="s">
        <v>1486</v>
      </c>
      <c r="N145" s="2449"/>
      <c r="O145" s="2449"/>
      <c r="P145" s="367" t="s">
        <v>3864</v>
      </c>
      <c r="Q145" s="384" t="s">
        <v>4051</v>
      </c>
      <c r="S145" s="2536" t="s">
        <v>4291</v>
      </c>
      <c r="T145" s="2537"/>
      <c r="U145" s="373">
        <v>15.98</v>
      </c>
      <c r="V145" s="348">
        <f t="shared" si="20"/>
        <v>319.60000000000002</v>
      </c>
      <c r="X145" s="2556"/>
      <c r="Y145" s="2557"/>
      <c r="Z145" s="2557"/>
      <c r="AA145" s="2558"/>
    </row>
    <row r="146" spans="2:27" ht="16" customHeight="1">
      <c r="B146" s="2456" t="s">
        <v>4292</v>
      </c>
      <c r="C146" s="2457"/>
      <c r="D146" s="373" t="s">
        <v>4293</v>
      </c>
      <c r="E146" s="389" t="s">
        <v>4294</v>
      </c>
      <c r="G146" s="2452" t="s">
        <v>4295</v>
      </c>
      <c r="H146" s="2453"/>
      <c r="I146" s="2453"/>
      <c r="J146" s="2453"/>
      <c r="K146" s="347">
        <v>35</v>
      </c>
      <c r="M146" s="2503" t="s">
        <v>4296</v>
      </c>
      <c r="N146" s="2504"/>
      <c r="O146" s="2504"/>
      <c r="P146" s="336">
        <v>95</v>
      </c>
      <c r="Q146" s="347">
        <f t="shared" ref="Q146:Q177" si="21">P146*20</f>
        <v>1900</v>
      </c>
      <c r="S146" s="2450" t="s">
        <v>4297</v>
      </c>
      <c r="T146" s="2451"/>
      <c r="U146" s="336">
        <v>6.9</v>
      </c>
      <c r="V146" s="347">
        <f t="shared" si="20"/>
        <v>138</v>
      </c>
      <c r="X146" s="2559"/>
      <c r="Y146" s="2560"/>
      <c r="Z146" s="2560"/>
      <c r="AA146" s="2561"/>
    </row>
    <row r="147" spans="2:27" ht="16" customHeight="1">
      <c r="B147" s="2450" t="s">
        <v>4298</v>
      </c>
      <c r="C147" s="2451"/>
      <c r="D147" s="336">
        <v>3.95</v>
      </c>
      <c r="E147" s="347">
        <f t="shared" ref="E147:E153" si="22">D147*20</f>
        <v>79</v>
      </c>
      <c r="G147" s="2471" t="s">
        <v>4299</v>
      </c>
      <c r="H147" s="2472"/>
      <c r="I147" s="2472"/>
      <c r="J147" s="367" t="s">
        <v>3864</v>
      </c>
      <c r="K147" s="384" t="s">
        <v>4051</v>
      </c>
      <c r="M147" s="2519" t="s">
        <v>4300</v>
      </c>
      <c r="N147" s="2520"/>
      <c r="O147" s="2520"/>
      <c r="P147" s="373">
        <v>1020</v>
      </c>
      <c r="Q147" s="348">
        <f t="shared" si="21"/>
        <v>20400</v>
      </c>
      <c r="S147" s="2456" t="s">
        <v>4301</v>
      </c>
      <c r="T147" s="2457"/>
      <c r="U147" s="373">
        <v>0.95</v>
      </c>
      <c r="V147" s="348">
        <f t="shared" si="20"/>
        <v>19</v>
      </c>
      <c r="X147" s="335"/>
      <c r="Y147" s="335"/>
      <c r="Z147" s="335"/>
      <c r="AA147" s="335"/>
    </row>
    <row r="148" spans="2:27" ht="16" customHeight="1">
      <c r="B148" s="2481" t="s">
        <v>4302</v>
      </c>
      <c r="C148" s="2482"/>
      <c r="D148" s="373">
        <v>39.75</v>
      </c>
      <c r="E148" s="348">
        <f t="shared" si="22"/>
        <v>795</v>
      </c>
      <c r="G148" s="2458" t="s">
        <v>4303</v>
      </c>
      <c r="H148" s="2459"/>
      <c r="I148" s="2459"/>
      <c r="J148" s="373" t="s">
        <v>4218</v>
      </c>
      <c r="K148" s="348" t="s">
        <v>4304</v>
      </c>
      <c r="M148" s="2503" t="s">
        <v>4305</v>
      </c>
      <c r="N148" s="2504"/>
      <c r="O148" s="2504"/>
      <c r="P148" s="336">
        <v>2240</v>
      </c>
      <c r="Q148" s="347">
        <f t="shared" si="21"/>
        <v>44800</v>
      </c>
      <c r="S148" s="2462" t="s">
        <v>4306</v>
      </c>
      <c r="T148" s="2463"/>
      <c r="U148" s="374">
        <v>14.9</v>
      </c>
      <c r="V148" s="356">
        <f t="shared" si="20"/>
        <v>298</v>
      </c>
      <c r="X148" s="335"/>
      <c r="Y148" s="335"/>
      <c r="Z148" s="335"/>
      <c r="AA148" s="335"/>
    </row>
    <row r="149" spans="2:27" ht="16" customHeight="1">
      <c r="B149" s="2450" t="s">
        <v>4307</v>
      </c>
      <c r="C149" s="2451"/>
      <c r="D149" s="336">
        <v>198</v>
      </c>
      <c r="E149" s="347">
        <f t="shared" si="22"/>
        <v>3960</v>
      </c>
      <c r="G149" s="2452" t="s">
        <v>4308</v>
      </c>
      <c r="H149" s="2453"/>
      <c r="I149" s="2453"/>
      <c r="J149" s="336">
        <v>0.1</v>
      </c>
      <c r="K149" s="347">
        <f>J149*20</f>
        <v>2</v>
      </c>
      <c r="M149" s="2519" t="s">
        <v>4309</v>
      </c>
      <c r="N149" s="2520"/>
      <c r="O149" s="2520"/>
      <c r="P149" s="373">
        <v>695</v>
      </c>
      <c r="Q149" s="348">
        <f t="shared" si="21"/>
        <v>13900</v>
      </c>
    </row>
    <row r="150" spans="2:27" ht="16" customHeight="1">
      <c r="B150" s="2456" t="s">
        <v>4310</v>
      </c>
      <c r="C150" s="2457"/>
      <c r="D150" s="373">
        <v>3.98</v>
      </c>
      <c r="E150" s="348">
        <f t="shared" si="22"/>
        <v>79.599999999999994</v>
      </c>
      <c r="G150" s="2546" t="s">
        <v>4311</v>
      </c>
      <c r="H150" s="2547"/>
      <c r="I150" s="2547"/>
      <c r="J150" s="382">
        <v>0.05</v>
      </c>
      <c r="K150" s="349">
        <f>J150*20</f>
        <v>1</v>
      </c>
      <c r="M150" s="2503" t="s">
        <v>4312</v>
      </c>
      <c r="N150" s="2504"/>
      <c r="O150" s="2504"/>
      <c r="P150" s="336">
        <v>1045</v>
      </c>
      <c r="Q150" s="347">
        <f t="shared" si="21"/>
        <v>20900</v>
      </c>
      <c r="S150" s="2445" t="s">
        <v>4313</v>
      </c>
      <c r="T150" s="2446"/>
      <c r="U150" s="2446"/>
      <c r="V150" s="2447"/>
    </row>
    <row r="151" spans="2:27" ht="16" customHeight="1">
      <c r="B151" s="2450" t="s">
        <v>4314</v>
      </c>
      <c r="C151" s="2451"/>
      <c r="D151" s="336">
        <v>8.98</v>
      </c>
      <c r="E151" s="347">
        <f t="shared" si="22"/>
        <v>179.60000000000002</v>
      </c>
      <c r="M151" s="2519" t="s">
        <v>4315</v>
      </c>
      <c r="N151" s="2520"/>
      <c r="O151" s="2520"/>
      <c r="P151" s="373">
        <v>985</v>
      </c>
      <c r="Q151" s="348">
        <f t="shared" si="21"/>
        <v>19700</v>
      </c>
      <c r="S151" s="2448" t="s">
        <v>1486</v>
      </c>
      <c r="T151" s="2449"/>
      <c r="U151" s="367" t="s">
        <v>3864</v>
      </c>
      <c r="V151" s="384" t="s">
        <v>4051</v>
      </c>
    </row>
    <row r="152" spans="2:27" ht="16" customHeight="1">
      <c r="B152" s="2456" t="s">
        <v>4316</v>
      </c>
      <c r="C152" s="2457"/>
      <c r="D152" s="373">
        <v>4.9800000000000004</v>
      </c>
      <c r="E152" s="348">
        <f t="shared" si="22"/>
        <v>99.600000000000009</v>
      </c>
      <c r="G152" s="2445" t="s">
        <v>4317</v>
      </c>
      <c r="H152" s="2446"/>
      <c r="I152" s="2446"/>
      <c r="J152" s="2446"/>
      <c r="K152" s="2447"/>
      <c r="M152" s="2503" t="s">
        <v>4318</v>
      </c>
      <c r="N152" s="2504"/>
      <c r="O152" s="2504"/>
      <c r="P152" s="336">
        <v>20000</v>
      </c>
      <c r="Q152" s="347">
        <f t="shared" si="21"/>
        <v>400000</v>
      </c>
      <c r="S152" s="2450" t="s">
        <v>4319</v>
      </c>
      <c r="T152" s="2451"/>
      <c r="U152" s="336">
        <v>3.35</v>
      </c>
      <c r="V152" s="347">
        <f t="shared" ref="V152:V155" si="23">U152*20</f>
        <v>67</v>
      </c>
    </row>
    <row r="153" spans="2:27" ht="16" customHeight="1">
      <c r="B153" s="2462" t="s">
        <v>4320</v>
      </c>
      <c r="C153" s="2463"/>
      <c r="D153" s="374">
        <v>0.98</v>
      </c>
      <c r="E153" s="356">
        <f t="shared" si="22"/>
        <v>19.600000000000001</v>
      </c>
      <c r="G153" s="2448" t="s">
        <v>1486</v>
      </c>
      <c r="H153" s="2449"/>
      <c r="I153" s="2449"/>
      <c r="J153" s="367" t="s">
        <v>3864</v>
      </c>
      <c r="K153" s="384" t="s">
        <v>4051</v>
      </c>
      <c r="M153" s="2519" t="s">
        <v>4321</v>
      </c>
      <c r="N153" s="2520"/>
      <c r="O153" s="2520"/>
      <c r="P153" s="373">
        <v>360</v>
      </c>
      <c r="Q153" s="348">
        <f t="shared" si="21"/>
        <v>7200</v>
      </c>
      <c r="S153" s="2456" t="s">
        <v>4322</v>
      </c>
      <c r="T153" s="2457"/>
      <c r="U153" s="373">
        <v>0.28000000000000003</v>
      </c>
      <c r="V153" s="348">
        <f t="shared" si="23"/>
        <v>5.6000000000000005</v>
      </c>
    </row>
    <row r="154" spans="2:27" ht="16" customHeight="1">
      <c r="G154" s="2481" t="s">
        <v>4323</v>
      </c>
      <c r="H154" s="2482"/>
      <c r="I154" s="2482"/>
      <c r="J154" s="373" t="s">
        <v>4016</v>
      </c>
      <c r="K154" s="348" t="s">
        <v>4324</v>
      </c>
      <c r="M154" s="2503" t="s">
        <v>4325</v>
      </c>
      <c r="N154" s="2504"/>
      <c r="O154" s="2504"/>
      <c r="P154" s="336">
        <v>450</v>
      </c>
      <c r="Q154" s="347">
        <f t="shared" si="21"/>
        <v>9000</v>
      </c>
      <c r="S154" s="2450" t="s">
        <v>4326</v>
      </c>
      <c r="T154" s="2451"/>
      <c r="U154" s="336">
        <v>0.3</v>
      </c>
      <c r="V154" s="347">
        <f t="shared" si="23"/>
        <v>6</v>
      </c>
    </row>
    <row r="155" spans="2:27" ht="16" customHeight="1">
      <c r="B155" s="2445" t="s">
        <v>4327</v>
      </c>
      <c r="C155" s="2446"/>
      <c r="D155" s="2446"/>
      <c r="E155" s="2447"/>
      <c r="F155" s="336"/>
      <c r="G155" s="2450" t="s">
        <v>4328</v>
      </c>
      <c r="H155" s="2451"/>
      <c r="I155" s="2451"/>
      <c r="J155" s="336" t="s">
        <v>4329</v>
      </c>
      <c r="K155" s="347" t="s">
        <v>4330</v>
      </c>
      <c r="M155" s="2519" t="s">
        <v>4331</v>
      </c>
      <c r="N155" s="2520"/>
      <c r="O155" s="2520"/>
      <c r="P155" s="373">
        <v>1750</v>
      </c>
      <c r="Q155" s="348">
        <f t="shared" si="21"/>
        <v>35000</v>
      </c>
      <c r="S155" s="2456" t="s">
        <v>4332</v>
      </c>
      <c r="T155" s="2457"/>
      <c r="U155" s="373">
        <v>39.950000000000003</v>
      </c>
      <c r="V155" s="348">
        <f t="shared" si="23"/>
        <v>799</v>
      </c>
      <c r="X155" s="396"/>
      <c r="Y155" s="396"/>
      <c r="Z155" s="396"/>
      <c r="AA155" s="396"/>
    </row>
    <row r="156" spans="2:27" ht="16" customHeight="1">
      <c r="B156" s="2448" t="s">
        <v>1486</v>
      </c>
      <c r="C156" s="2449"/>
      <c r="D156" s="367" t="s">
        <v>3864</v>
      </c>
      <c r="E156" s="346" t="s">
        <v>4051</v>
      </c>
      <c r="F156" s="336"/>
      <c r="G156" s="2456" t="s">
        <v>4333</v>
      </c>
      <c r="H156" s="2457"/>
      <c r="I156" s="2457"/>
      <c r="J156" s="392" t="s">
        <v>4334</v>
      </c>
      <c r="K156" s="389" t="s">
        <v>4335</v>
      </c>
      <c r="M156" s="2503" t="s">
        <v>4336</v>
      </c>
      <c r="N156" s="2504"/>
      <c r="O156" s="2504"/>
      <c r="P156" s="336">
        <v>1345</v>
      </c>
      <c r="Q156" s="347">
        <f t="shared" si="21"/>
        <v>26900</v>
      </c>
      <c r="S156" s="2450" t="s">
        <v>4337</v>
      </c>
      <c r="T156" s="2451"/>
      <c r="U156" s="336">
        <v>129.94999999999999</v>
      </c>
      <c r="V156" s="347" t="s">
        <v>4338</v>
      </c>
      <c r="X156" s="396"/>
      <c r="Y156" s="396"/>
      <c r="Z156" s="396"/>
      <c r="AA156" s="396"/>
    </row>
    <row r="157" spans="2:27" ht="16" customHeight="1">
      <c r="B157" s="2450" t="s">
        <v>4339</v>
      </c>
      <c r="C157" s="2451"/>
      <c r="D157" s="336">
        <v>1.79</v>
      </c>
      <c r="E157" s="347">
        <f t="shared" ref="E157:E168" si="24">D157*20</f>
        <v>35.799999999999997</v>
      </c>
      <c r="F157" s="336"/>
      <c r="G157" s="2450" t="s">
        <v>4340</v>
      </c>
      <c r="H157" s="2451"/>
      <c r="I157" s="2451"/>
      <c r="J157" s="336" t="s">
        <v>4341</v>
      </c>
      <c r="K157" s="347" t="s">
        <v>4342</v>
      </c>
      <c r="M157" s="2519" t="s">
        <v>4343</v>
      </c>
      <c r="N157" s="2520"/>
      <c r="O157" s="2520"/>
      <c r="P157" s="373">
        <v>2950</v>
      </c>
      <c r="Q157" s="348">
        <f t="shared" si="21"/>
        <v>59000</v>
      </c>
      <c r="S157" s="2456" t="s">
        <v>4344</v>
      </c>
      <c r="T157" s="2457"/>
      <c r="U157" s="373">
        <v>5.95</v>
      </c>
      <c r="V157" s="348">
        <f t="shared" ref="V157:V164" si="25">U157*20</f>
        <v>119</v>
      </c>
      <c r="X157" s="396"/>
      <c r="Y157" s="396"/>
      <c r="Z157" s="396"/>
      <c r="AA157" s="396"/>
    </row>
    <row r="158" spans="2:27" ht="16" customHeight="1">
      <c r="B158" s="2456" t="s">
        <v>4345</v>
      </c>
      <c r="C158" s="2457"/>
      <c r="D158" s="373">
        <v>2.98</v>
      </c>
      <c r="E158" s="348">
        <f t="shared" si="24"/>
        <v>59.6</v>
      </c>
      <c r="F158" s="336"/>
      <c r="G158" s="2456" t="s">
        <v>4346</v>
      </c>
      <c r="H158" s="2457"/>
      <c r="I158" s="2457"/>
      <c r="J158" s="373">
        <v>3100</v>
      </c>
      <c r="K158" s="348">
        <f t="shared" ref="K158:K163" si="26">J158*20</f>
        <v>62000</v>
      </c>
      <c r="M158" s="2503" t="s">
        <v>4347</v>
      </c>
      <c r="N158" s="2504"/>
      <c r="O158" s="2504"/>
      <c r="P158" s="336">
        <v>6000</v>
      </c>
      <c r="Q158" s="347">
        <f t="shared" si="21"/>
        <v>120000</v>
      </c>
      <c r="S158" s="2450" t="s">
        <v>4348</v>
      </c>
      <c r="T158" s="2451"/>
      <c r="U158" s="336">
        <v>35.1</v>
      </c>
      <c r="V158" s="347">
        <f t="shared" si="25"/>
        <v>702</v>
      </c>
      <c r="X158" s="396"/>
      <c r="Y158" s="396"/>
      <c r="Z158" s="396"/>
      <c r="AA158" s="396"/>
    </row>
    <row r="159" spans="2:27" ht="16" customHeight="1">
      <c r="B159" s="2533" t="s">
        <v>4349</v>
      </c>
      <c r="C159" s="2534"/>
      <c r="D159" s="2534"/>
      <c r="E159" s="2535"/>
      <c r="F159" s="336"/>
      <c r="G159" s="2533" t="s">
        <v>4350</v>
      </c>
      <c r="H159" s="2534"/>
      <c r="I159" s="2534"/>
      <c r="J159" s="2534"/>
      <c r="K159" s="2535"/>
      <c r="M159" s="2519" t="s">
        <v>4351</v>
      </c>
      <c r="N159" s="2520"/>
      <c r="O159" s="2520"/>
      <c r="P159" s="373">
        <v>745</v>
      </c>
      <c r="Q159" s="348">
        <f t="shared" si="21"/>
        <v>14900</v>
      </c>
      <c r="S159" s="2456" t="s">
        <v>4352</v>
      </c>
      <c r="T159" s="2457"/>
      <c r="U159" s="373">
        <v>1.8</v>
      </c>
      <c r="V159" s="348">
        <f t="shared" si="25"/>
        <v>36</v>
      </c>
    </row>
    <row r="160" spans="2:27" ht="16" customHeight="1">
      <c r="B160" s="2450" t="s">
        <v>4339</v>
      </c>
      <c r="C160" s="2451"/>
      <c r="D160" s="336">
        <v>1.79</v>
      </c>
      <c r="E160" s="347">
        <f t="shared" si="24"/>
        <v>35.799999999999997</v>
      </c>
      <c r="F160" s="336"/>
      <c r="G160" s="2456" t="s">
        <v>4353</v>
      </c>
      <c r="H160" s="2457"/>
      <c r="I160" s="2457"/>
      <c r="J160" s="373">
        <v>1175</v>
      </c>
      <c r="K160" s="348">
        <f t="shared" si="26"/>
        <v>23500</v>
      </c>
      <c r="M160" s="2503" t="s">
        <v>4354</v>
      </c>
      <c r="N160" s="2504"/>
      <c r="O160" s="2504"/>
      <c r="P160" s="336">
        <v>995</v>
      </c>
      <c r="Q160" s="347">
        <f t="shared" si="21"/>
        <v>19900</v>
      </c>
      <c r="S160" s="2450" t="s">
        <v>4355</v>
      </c>
      <c r="T160" s="2451"/>
      <c r="U160" s="336">
        <v>0.85</v>
      </c>
      <c r="V160" s="347">
        <f t="shared" si="25"/>
        <v>17</v>
      </c>
    </row>
    <row r="161" spans="2:22" ht="16" customHeight="1">
      <c r="B161" s="2456" t="s">
        <v>4356</v>
      </c>
      <c r="C161" s="2457"/>
      <c r="D161" s="373">
        <v>2.98</v>
      </c>
      <c r="E161" s="348">
        <f t="shared" si="24"/>
        <v>59.6</v>
      </c>
      <c r="F161" s="336"/>
      <c r="G161" s="2450" t="s">
        <v>4357</v>
      </c>
      <c r="H161" s="2451"/>
      <c r="I161" s="2451"/>
      <c r="J161" s="336">
        <v>2135</v>
      </c>
      <c r="K161" s="347">
        <f t="shared" si="26"/>
        <v>42700</v>
      </c>
      <c r="M161" s="2519" t="s">
        <v>4358</v>
      </c>
      <c r="N161" s="2520"/>
      <c r="O161" s="2520"/>
      <c r="P161" s="373">
        <v>570</v>
      </c>
      <c r="Q161" s="348">
        <f t="shared" si="21"/>
        <v>11400</v>
      </c>
      <c r="S161" s="2456" t="s">
        <v>4359</v>
      </c>
      <c r="T161" s="2457"/>
      <c r="U161" s="373">
        <v>0.2</v>
      </c>
      <c r="V161" s="348">
        <f t="shared" si="25"/>
        <v>4</v>
      </c>
    </row>
    <row r="162" spans="2:22" ht="16" customHeight="1">
      <c r="B162" s="2450" t="s">
        <v>4360</v>
      </c>
      <c r="C162" s="2451"/>
      <c r="D162" s="336">
        <v>2.98</v>
      </c>
      <c r="E162" s="347">
        <f t="shared" si="24"/>
        <v>59.6</v>
      </c>
      <c r="F162" s="336"/>
      <c r="G162" s="2456" t="s">
        <v>4361</v>
      </c>
      <c r="H162" s="2457"/>
      <c r="I162" s="2457"/>
      <c r="J162" s="373">
        <v>3278</v>
      </c>
      <c r="K162" s="348">
        <f t="shared" si="26"/>
        <v>65560</v>
      </c>
      <c r="M162" s="2503" t="s">
        <v>4362</v>
      </c>
      <c r="N162" s="2504"/>
      <c r="O162" s="2504"/>
      <c r="P162" s="336">
        <v>1450</v>
      </c>
      <c r="Q162" s="347">
        <f t="shared" si="21"/>
        <v>29000</v>
      </c>
      <c r="S162" s="2450" t="s">
        <v>4363</v>
      </c>
      <c r="T162" s="2451"/>
      <c r="U162" s="336">
        <v>9.5</v>
      </c>
      <c r="V162" s="347">
        <f t="shared" si="25"/>
        <v>190</v>
      </c>
    </row>
    <row r="163" spans="2:22" ht="16" customHeight="1">
      <c r="B163" s="2456" t="s">
        <v>4364</v>
      </c>
      <c r="C163" s="2457"/>
      <c r="D163" s="373">
        <v>0.98</v>
      </c>
      <c r="E163" s="348">
        <f t="shared" si="24"/>
        <v>19.600000000000001</v>
      </c>
      <c r="G163" s="2462" t="s">
        <v>4365</v>
      </c>
      <c r="H163" s="2463"/>
      <c r="I163" s="2463"/>
      <c r="J163" s="374">
        <v>4492</v>
      </c>
      <c r="K163" s="356">
        <f t="shared" si="26"/>
        <v>89840</v>
      </c>
      <c r="M163" s="2519" t="s">
        <v>4366</v>
      </c>
      <c r="N163" s="2520"/>
      <c r="O163" s="2520"/>
      <c r="P163" s="373">
        <v>995</v>
      </c>
      <c r="Q163" s="348">
        <f t="shared" si="21"/>
        <v>19900</v>
      </c>
      <c r="S163" s="2456" t="s">
        <v>4367</v>
      </c>
      <c r="T163" s="2457"/>
      <c r="U163" s="373">
        <v>0.25</v>
      </c>
      <c r="V163" s="348">
        <f t="shared" si="25"/>
        <v>5</v>
      </c>
    </row>
    <row r="164" spans="2:22" ht="16" customHeight="1">
      <c r="B164" s="2450" t="s">
        <v>4368</v>
      </c>
      <c r="C164" s="2451"/>
      <c r="D164" s="336">
        <v>2.59</v>
      </c>
      <c r="E164" s="347">
        <f t="shared" si="24"/>
        <v>51.8</v>
      </c>
      <c r="M164" s="2503" t="s">
        <v>4369</v>
      </c>
      <c r="N164" s="2504"/>
      <c r="O164" s="2504"/>
      <c r="P164" s="336">
        <v>300</v>
      </c>
      <c r="Q164" s="347">
        <f t="shared" si="21"/>
        <v>6000</v>
      </c>
      <c r="S164" s="2450" t="s">
        <v>4370</v>
      </c>
      <c r="T164" s="2451"/>
      <c r="U164" s="336">
        <v>1200</v>
      </c>
      <c r="V164" s="347">
        <f t="shared" si="25"/>
        <v>24000</v>
      </c>
    </row>
    <row r="165" spans="2:22" ht="16" customHeight="1">
      <c r="B165" s="2456" t="s">
        <v>4198</v>
      </c>
      <c r="C165" s="2457"/>
      <c r="D165" s="373">
        <v>4.95</v>
      </c>
      <c r="E165" s="348">
        <f t="shared" si="24"/>
        <v>99</v>
      </c>
      <c r="G165" s="2445" t="s">
        <v>3980</v>
      </c>
      <c r="H165" s="2446"/>
      <c r="I165" s="2446"/>
      <c r="J165" s="2446"/>
      <c r="K165" s="2447"/>
      <c r="M165" s="2519" t="s">
        <v>4371</v>
      </c>
      <c r="N165" s="2520"/>
      <c r="O165" s="2520"/>
      <c r="P165" s="373">
        <v>75</v>
      </c>
      <c r="Q165" s="348">
        <f t="shared" si="21"/>
        <v>1500</v>
      </c>
      <c r="S165" s="2456" t="s">
        <v>4372</v>
      </c>
      <c r="T165" s="2457"/>
      <c r="U165" s="373">
        <v>40</v>
      </c>
      <c r="V165" s="348" t="s">
        <v>4338</v>
      </c>
    </row>
    <row r="166" spans="2:22" ht="16" customHeight="1">
      <c r="B166" s="2450" t="s">
        <v>4373</v>
      </c>
      <c r="C166" s="2451"/>
      <c r="D166" s="336">
        <v>0.4</v>
      </c>
      <c r="E166" s="347">
        <f t="shared" si="24"/>
        <v>8</v>
      </c>
      <c r="G166" s="2448" t="s">
        <v>4374</v>
      </c>
      <c r="H166" s="2449"/>
      <c r="I166" s="2449"/>
      <c r="J166" s="367" t="s">
        <v>3864</v>
      </c>
      <c r="K166" s="384" t="s">
        <v>4051</v>
      </c>
      <c r="M166" s="2503" t="s">
        <v>4375</v>
      </c>
      <c r="N166" s="2504"/>
      <c r="O166" s="2504"/>
      <c r="P166" s="336">
        <v>545</v>
      </c>
      <c r="Q166" s="347">
        <f t="shared" si="21"/>
        <v>10900</v>
      </c>
      <c r="S166" s="2450" t="s">
        <v>4376</v>
      </c>
      <c r="T166" s="2451"/>
      <c r="U166" s="336">
        <v>66.75</v>
      </c>
      <c r="V166" s="347" t="s">
        <v>4338</v>
      </c>
    </row>
    <row r="167" spans="2:22" ht="16" customHeight="1">
      <c r="B167" s="2456" t="s">
        <v>4202</v>
      </c>
      <c r="C167" s="2457"/>
      <c r="D167" s="373">
        <v>0.54</v>
      </c>
      <c r="E167" s="348">
        <f t="shared" si="24"/>
        <v>10.8</v>
      </c>
      <c r="G167" s="2479" t="s">
        <v>4377</v>
      </c>
      <c r="H167" s="2480"/>
      <c r="I167" s="2480"/>
      <c r="J167" s="336">
        <v>4.45</v>
      </c>
      <c r="K167" s="347">
        <f t="shared" ref="K167:K171" si="27">J167*20</f>
        <v>89</v>
      </c>
      <c r="M167" s="2519" t="s">
        <v>4378</v>
      </c>
      <c r="N167" s="2520"/>
      <c r="O167" s="2520"/>
      <c r="P167" s="373">
        <v>1085</v>
      </c>
      <c r="Q167" s="348">
        <f t="shared" si="21"/>
        <v>21700</v>
      </c>
      <c r="S167" s="2456" t="s">
        <v>4379</v>
      </c>
      <c r="T167" s="2457"/>
      <c r="U167" s="373">
        <v>0.57999999999999996</v>
      </c>
      <c r="V167" s="348">
        <f t="shared" ref="V167:V185" si="28">U167*20</f>
        <v>11.6</v>
      </c>
    </row>
    <row r="168" spans="2:22" ht="16" customHeight="1">
      <c r="B168" s="2548" t="s">
        <v>4380</v>
      </c>
      <c r="C168" s="2549"/>
      <c r="D168" s="374">
        <v>1.29</v>
      </c>
      <c r="E168" s="356">
        <f t="shared" si="24"/>
        <v>25.8</v>
      </c>
      <c r="G168" s="2456" t="s">
        <v>4381</v>
      </c>
      <c r="H168" s="2457"/>
      <c r="I168" s="2457"/>
      <c r="J168" s="373">
        <v>10</v>
      </c>
      <c r="K168" s="348">
        <f t="shared" si="27"/>
        <v>200</v>
      </c>
      <c r="M168" s="2503" t="s">
        <v>4382</v>
      </c>
      <c r="N168" s="2504"/>
      <c r="O168" s="2504"/>
      <c r="P168" s="336">
        <v>490</v>
      </c>
      <c r="Q168" s="347">
        <f t="shared" si="21"/>
        <v>9800</v>
      </c>
      <c r="S168" s="2450" t="s">
        <v>4383</v>
      </c>
      <c r="T168" s="2451"/>
      <c r="U168" s="336">
        <v>17.5</v>
      </c>
      <c r="V168" s="347">
        <f t="shared" si="28"/>
        <v>350</v>
      </c>
    </row>
    <row r="169" spans="2:22" ht="16" customHeight="1">
      <c r="G169" s="2479" t="s">
        <v>4384</v>
      </c>
      <c r="H169" s="2480"/>
      <c r="I169" s="2480"/>
      <c r="J169" s="336">
        <v>0.75</v>
      </c>
      <c r="K169" s="347">
        <f t="shared" si="27"/>
        <v>15</v>
      </c>
      <c r="M169" s="2519" t="s">
        <v>4385</v>
      </c>
      <c r="N169" s="2520"/>
      <c r="O169" s="2520"/>
      <c r="P169" s="373">
        <v>9000</v>
      </c>
      <c r="Q169" s="348">
        <f t="shared" si="21"/>
        <v>180000</v>
      </c>
      <c r="S169" s="2516" t="s">
        <v>4386</v>
      </c>
      <c r="T169" s="2517"/>
      <c r="U169" s="373">
        <v>62.5</v>
      </c>
      <c r="V169" s="348">
        <f t="shared" si="28"/>
        <v>1250</v>
      </c>
    </row>
    <row r="170" spans="2:22" ht="16" customHeight="1">
      <c r="B170" s="2445" t="s">
        <v>3956</v>
      </c>
      <c r="C170" s="2446"/>
      <c r="D170" s="2446"/>
      <c r="E170" s="2447"/>
      <c r="G170" s="2498" t="s">
        <v>4006</v>
      </c>
      <c r="H170" s="2499"/>
      <c r="I170" s="2499"/>
      <c r="J170" s="373">
        <v>9</v>
      </c>
      <c r="K170" s="348">
        <f t="shared" si="27"/>
        <v>180</v>
      </c>
      <c r="M170" s="2503" t="s">
        <v>4387</v>
      </c>
      <c r="N170" s="2504"/>
      <c r="O170" s="2504"/>
      <c r="P170" s="336">
        <v>1225</v>
      </c>
      <c r="Q170" s="347">
        <f t="shared" si="21"/>
        <v>24500</v>
      </c>
      <c r="S170" s="2450" t="s">
        <v>4388</v>
      </c>
      <c r="T170" s="2451"/>
      <c r="U170" s="336">
        <v>1.79</v>
      </c>
      <c r="V170" s="347">
        <f t="shared" si="28"/>
        <v>35.799999999999997</v>
      </c>
    </row>
    <row r="171" spans="2:22" ht="16" customHeight="1">
      <c r="B171" s="2448" t="s">
        <v>1486</v>
      </c>
      <c r="C171" s="2449"/>
      <c r="D171" s="367" t="s">
        <v>3864</v>
      </c>
      <c r="E171" s="346" t="s">
        <v>4051</v>
      </c>
      <c r="G171" s="2450" t="s">
        <v>4389</v>
      </c>
      <c r="H171" s="2451"/>
      <c r="I171" s="2451"/>
      <c r="J171" s="336">
        <v>24</v>
      </c>
      <c r="K171" s="347">
        <f t="shared" si="27"/>
        <v>480</v>
      </c>
      <c r="M171" s="2519" t="s">
        <v>4390</v>
      </c>
      <c r="N171" s="2520"/>
      <c r="O171" s="2520"/>
      <c r="P171" s="373">
        <v>800</v>
      </c>
      <c r="Q171" s="348">
        <f t="shared" si="21"/>
        <v>16000</v>
      </c>
      <c r="S171" s="2456" t="s">
        <v>4391</v>
      </c>
      <c r="T171" s="2457"/>
      <c r="U171" s="373">
        <v>0.99</v>
      </c>
      <c r="V171" s="348">
        <f t="shared" si="28"/>
        <v>19.8</v>
      </c>
    </row>
    <row r="172" spans="2:22" ht="16" customHeight="1">
      <c r="B172" s="2515" t="s">
        <v>4392</v>
      </c>
      <c r="C172" s="2488"/>
      <c r="D172" s="336">
        <v>7.45</v>
      </c>
      <c r="E172" s="347">
        <f t="shared" ref="E172:E177" si="29">D172*20</f>
        <v>149</v>
      </c>
      <c r="G172" s="2498" t="s">
        <v>4393</v>
      </c>
      <c r="H172" s="2499"/>
      <c r="I172" s="2499"/>
      <c r="J172" s="373" t="s">
        <v>4394</v>
      </c>
      <c r="K172" s="348" t="s">
        <v>3991</v>
      </c>
      <c r="M172" s="2513" t="s">
        <v>4395</v>
      </c>
      <c r="N172" s="2514"/>
      <c r="O172" s="2514"/>
      <c r="P172" s="336">
        <v>4000</v>
      </c>
      <c r="Q172" s="347">
        <f t="shared" si="21"/>
        <v>80000</v>
      </c>
      <c r="S172" s="2450" t="s">
        <v>4396</v>
      </c>
      <c r="T172" s="2451"/>
      <c r="U172" s="336">
        <v>0.1</v>
      </c>
      <c r="V172" s="347">
        <f t="shared" si="28"/>
        <v>2</v>
      </c>
    </row>
    <row r="173" spans="2:22" ht="16" customHeight="1">
      <c r="B173" s="2521" t="s">
        <v>4397</v>
      </c>
      <c r="C173" s="2522"/>
      <c r="D173" s="373">
        <v>9.9499999999999993</v>
      </c>
      <c r="E173" s="348">
        <f t="shared" si="29"/>
        <v>199</v>
      </c>
      <c r="G173" s="2550" t="s">
        <v>4398</v>
      </c>
      <c r="H173" s="2497"/>
      <c r="I173" s="2497"/>
      <c r="J173" s="336">
        <v>5</v>
      </c>
      <c r="K173" s="347">
        <f t="shared" ref="K173:K180" si="30">J173*20</f>
        <v>100</v>
      </c>
      <c r="M173" s="2519" t="s">
        <v>4399</v>
      </c>
      <c r="N173" s="2520"/>
      <c r="O173" s="2520"/>
      <c r="P173" s="373">
        <v>4050</v>
      </c>
      <c r="Q173" s="348">
        <f t="shared" si="21"/>
        <v>81000</v>
      </c>
      <c r="S173" s="2456" t="s">
        <v>4400</v>
      </c>
      <c r="T173" s="2457"/>
      <c r="U173" s="373">
        <v>2.29</v>
      </c>
      <c r="V173" s="348">
        <f t="shared" si="28"/>
        <v>45.8</v>
      </c>
    </row>
    <row r="174" spans="2:22" ht="16" customHeight="1">
      <c r="B174" s="2515" t="s">
        <v>4401</v>
      </c>
      <c r="C174" s="2488"/>
      <c r="D174" s="336">
        <v>12</v>
      </c>
      <c r="E174" s="347">
        <f t="shared" si="29"/>
        <v>240</v>
      </c>
      <c r="G174" s="2533" t="s">
        <v>4402</v>
      </c>
      <c r="H174" s="2534"/>
      <c r="I174" s="2534"/>
      <c r="J174" s="2534"/>
      <c r="K174" s="2535"/>
      <c r="M174" s="2503" t="s">
        <v>4403</v>
      </c>
      <c r="N174" s="2504"/>
      <c r="O174" s="2504"/>
      <c r="P174" s="336">
        <v>7750</v>
      </c>
      <c r="Q174" s="347">
        <f t="shared" si="21"/>
        <v>155000</v>
      </c>
      <c r="S174" s="2450" t="s">
        <v>4404</v>
      </c>
      <c r="T174" s="2451"/>
      <c r="U174" s="336">
        <v>6.75</v>
      </c>
      <c r="V174" s="347">
        <f t="shared" si="28"/>
        <v>135</v>
      </c>
    </row>
    <row r="175" spans="2:22" ht="16" customHeight="1">
      <c r="B175" s="2521" t="s">
        <v>4405</v>
      </c>
      <c r="C175" s="2522"/>
      <c r="D175" s="373">
        <v>54.95</v>
      </c>
      <c r="E175" s="348">
        <f t="shared" si="29"/>
        <v>1099</v>
      </c>
      <c r="G175" s="2450" t="s">
        <v>4406</v>
      </c>
      <c r="H175" s="2451"/>
      <c r="I175" s="2451"/>
      <c r="J175" s="336">
        <v>1000</v>
      </c>
      <c r="K175" s="347">
        <f t="shared" si="30"/>
        <v>20000</v>
      </c>
      <c r="M175" s="2519" t="s">
        <v>4407</v>
      </c>
      <c r="N175" s="2520"/>
      <c r="O175" s="2520"/>
      <c r="P175" s="373">
        <v>500</v>
      </c>
      <c r="Q175" s="348">
        <f t="shared" si="21"/>
        <v>10000</v>
      </c>
      <c r="S175" s="2456" t="s">
        <v>4408</v>
      </c>
      <c r="T175" s="2457"/>
      <c r="U175" s="373">
        <v>49</v>
      </c>
      <c r="V175" s="348">
        <f t="shared" si="28"/>
        <v>980</v>
      </c>
    </row>
    <row r="176" spans="2:22" ht="16" customHeight="1">
      <c r="B176" s="2515" t="s">
        <v>4409</v>
      </c>
      <c r="C176" s="2488"/>
      <c r="D176" s="336">
        <v>79.95</v>
      </c>
      <c r="E176" s="347">
        <f t="shared" si="29"/>
        <v>1599</v>
      </c>
      <c r="G176" s="2456" t="s">
        <v>4410</v>
      </c>
      <c r="H176" s="2457"/>
      <c r="I176" s="2457"/>
      <c r="J176" s="373">
        <v>55</v>
      </c>
      <c r="K176" s="348">
        <f t="shared" si="30"/>
        <v>1100</v>
      </c>
      <c r="M176" s="2503" t="s">
        <v>4411</v>
      </c>
      <c r="N176" s="2504"/>
      <c r="O176" s="2504"/>
      <c r="P176" s="336">
        <v>6750</v>
      </c>
      <c r="Q176" s="347">
        <f t="shared" si="21"/>
        <v>135000</v>
      </c>
      <c r="S176" s="2450" t="s">
        <v>4412</v>
      </c>
      <c r="T176" s="2451"/>
      <c r="U176" s="336">
        <v>1.95</v>
      </c>
      <c r="V176" s="347">
        <f t="shared" si="28"/>
        <v>39</v>
      </c>
    </row>
    <row r="177" spans="2:22" ht="16" customHeight="1">
      <c r="B177" s="2531" t="s">
        <v>4413</v>
      </c>
      <c r="C177" s="2532"/>
      <c r="D177" s="382">
        <v>12.5</v>
      </c>
      <c r="E177" s="349">
        <f t="shared" si="29"/>
        <v>250</v>
      </c>
      <c r="G177" s="2450" t="s">
        <v>4414</v>
      </c>
      <c r="H177" s="2451"/>
      <c r="I177" s="2451"/>
      <c r="J177" s="336">
        <v>350</v>
      </c>
      <c r="K177" s="347">
        <f t="shared" si="30"/>
        <v>7000</v>
      </c>
      <c r="M177" s="2519" t="s">
        <v>4415</v>
      </c>
      <c r="N177" s="2520"/>
      <c r="O177" s="2520"/>
      <c r="P177" s="373">
        <v>10800</v>
      </c>
      <c r="Q177" s="348">
        <f t="shared" si="21"/>
        <v>216000</v>
      </c>
      <c r="S177" s="2456" t="s">
        <v>4416</v>
      </c>
      <c r="T177" s="2457"/>
      <c r="U177" s="373">
        <v>1.68</v>
      </c>
      <c r="V177" s="348">
        <f t="shared" si="28"/>
        <v>33.6</v>
      </c>
    </row>
    <row r="178" spans="2:22" ht="16" customHeight="1">
      <c r="G178" s="2456" t="s">
        <v>4417</v>
      </c>
      <c r="H178" s="2457"/>
      <c r="I178" s="2457"/>
      <c r="J178" s="373">
        <v>12.5</v>
      </c>
      <c r="K178" s="348">
        <f t="shared" si="30"/>
        <v>250</v>
      </c>
      <c r="M178" s="2533" t="s">
        <v>4418</v>
      </c>
      <c r="N178" s="2534"/>
      <c r="O178" s="2534"/>
      <c r="P178" s="2534"/>
      <c r="Q178" s="2535"/>
      <c r="S178" s="2450" t="s">
        <v>4419</v>
      </c>
      <c r="T178" s="2451"/>
      <c r="U178" s="336">
        <v>3.98</v>
      </c>
      <c r="V178" s="347">
        <f t="shared" si="28"/>
        <v>79.599999999999994</v>
      </c>
    </row>
    <row r="179" spans="2:22" ht="16" customHeight="1">
      <c r="B179" s="2445" t="s">
        <v>3862</v>
      </c>
      <c r="C179" s="2446"/>
      <c r="D179" s="2446"/>
      <c r="E179" s="2447"/>
      <c r="G179" s="2450" t="s">
        <v>4420</v>
      </c>
      <c r="H179" s="2451"/>
      <c r="I179" s="2451"/>
      <c r="J179" s="336">
        <v>10</v>
      </c>
      <c r="K179" s="347">
        <f t="shared" si="30"/>
        <v>200</v>
      </c>
      <c r="M179" s="2456" t="s">
        <v>4421</v>
      </c>
      <c r="N179" s="2457"/>
      <c r="O179" s="2457"/>
      <c r="P179" s="373">
        <v>10.95</v>
      </c>
      <c r="Q179" s="348">
        <f t="shared" ref="Q179:Q188" si="31">P179*20</f>
        <v>219</v>
      </c>
      <c r="S179" s="2456" t="s">
        <v>4422</v>
      </c>
      <c r="T179" s="2457"/>
      <c r="U179" s="373">
        <v>1.48</v>
      </c>
      <c r="V179" s="348">
        <f t="shared" si="28"/>
        <v>29.6</v>
      </c>
    </row>
    <row r="180" spans="2:22" ht="16" customHeight="1">
      <c r="B180" s="2448" t="s">
        <v>1486</v>
      </c>
      <c r="C180" s="2449"/>
      <c r="D180" s="367" t="s">
        <v>3864</v>
      </c>
      <c r="E180" s="384" t="s">
        <v>4051</v>
      </c>
      <c r="G180" s="2475" t="s">
        <v>4423</v>
      </c>
      <c r="H180" s="2476"/>
      <c r="I180" s="2476"/>
      <c r="J180" s="382">
        <v>40</v>
      </c>
      <c r="K180" s="349">
        <f t="shared" si="30"/>
        <v>800</v>
      </c>
      <c r="M180" s="2450" t="s">
        <v>4424</v>
      </c>
      <c r="N180" s="2451"/>
      <c r="O180" s="2451"/>
      <c r="P180" s="336">
        <v>0.32</v>
      </c>
      <c r="Q180" s="347">
        <f t="shared" si="31"/>
        <v>6.4</v>
      </c>
      <c r="S180" s="2450" t="s">
        <v>4425</v>
      </c>
      <c r="T180" s="2451"/>
      <c r="U180" s="336">
        <v>9.9499999999999993</v>
      </c>
      <c r="V180" s="347">
        <f t="shared" si="28"/>
        <v>199</v>
      </c>
    </row>
    <row r="181" spans="2:22" ht="16" customHeight="1">
      <c r="B181" s="2503" t="s">
        <v>4426</v>
      </c>
      <c r="C181" s="2504"/>
      <c r="D181" s="336">
        <v>0.25</v>
      </c>
      <c r="E181" s="2553" t="s">
        <v>4427</v>
      </c>
      <c r="G181" s="335"/>
      <c r="H181" s="335"/>
      <c r="I181" s="335"/>
      <c r="J181" s="335"/>
      <c r="K181" s="335"/>
      <c r="M181" s="2456" t="s">
        <v>4428</v>
      </c>
      <c r="N181" s="2457"/>
      <c r="O181" s="2457"/>
      <c r="P181" s="373">
        <v>4.95</v>
      </c>
      <c r="Q181" s="348">
        <f t="shared" si="31"/>
        <v>99</v>
      </c>
      <c r="S181" s="2456" t="s">
        <v>4429</v>
      </c>
      <c r="T181" s="2457"/>
      <c r="U181" s="373">
        <v>16.649999999999999</v>
      </c>
      <c r="V181" s="348">
        <f t="shared" si="28"/>
        <v>333</v>
      </c>
    </row>
    <row r="182" spans="2:22" ht="16" customHeight="1">
      <c r="B182" s="2536" t="s">
        <v>4430</v>
      </c>
      <c r="C182" s="2537"/>
      <c r="D182" s="373">
        <v>0.02</v>
      </c>
      <c r="E182" s="2553"/>
      <c r="G182" s="2445" t="s">
        <v>4431</v>
      </c>
      <c r="H182" s="2446"/>
      <c r="I182" s="2446"/>
      <c r="J182" s="2446"/>
      <c r="K182" s="2447"/>
      <c r="M182" s="2450" t="s">
        <v>4432</v>
      </c>
      <c r="N182" s="2451"/>
      <c r="O182" s="2451"/>
      <c r="P182" s="336">
        <v>1</v>
      </c>
      <c r="Q182" s="347">
        <f t="shared" si="31"/>
        <v>20</v>
      </c>
      <c r="S182" s="2503" t="s">
        <v>4433</v>
      </c>
      <c r="T182" s="2504"/>
      <c r="U182" s="336">
        <v>24.65</v>
      </c>
      <c r="V182" s="347">
        <f t="shared" si="28"/>
        <v>493</v>
      </c>
    </row>
    <row r="183" spans="2:22" ht="16" customHeight="1">
      <c r="B183" s="2450" t="s">
        <v>4434</v>
      </c>
      <c r="C183" s="2451"/>
      <c r="D183" s="336">
        <v>1.25</v>
      </c>
      <c r="E183" s="2553"/>
      <c r="G183" s="2448" t="s">
        <v>1486</v>
      </c>
      <c r="H183" s="2449"/>
      <c r="I183" s="2449"/>
      <c r="J183" s="367" t="s">
        <v>3864</v>
      </c>
      <c r="K183" s="384" t="s">
        <v>4051</v>
      </c>
      <c r="M183" s="2456" t="s">
        <v>4435</v>
      </c>
      <c r="N183" s="2457"/>
      <c r="O183" s="2457"/>
      <c r="P183" s="373">
        <v>14.15</v>
      </c>
      <c r="Q183" s="348">
        <f t="shared" si="31"/>
        <v>283</v>
      </c>
      <c r="S183" s="2456" t="s">
        <v>4436</v>
      </c>
      <c r="T183" s="2457"/>
      <c r="U183" s="373">
        <v>34.450000000000003</v>
      </c>
      <c r="V183" s="348">
        <f t="shared" si="28"/>
        <v>689</v>
      </c>
    </row>
    <row r="184" spans="2:22" ht="16" customHeight="1">
      <c r="B184" s="2518" t="s">
        <v>4437</v>
      </c>
      <c r="C184" s="2512"/>
      <c r="D184" s="373">
        <v>0.02</v>
      </c>
      <c r="E184" s="348">
        <f t="shared" ref="E184:E189" si="32">D184*20</f>
        <v>0.4</v>
      </c>
      <c r="F184" s="387"/>
      <c r="G184" s="2551" t="s">
        <v>4438</v>
      </c>
      <c r="H184" s="2552"/>
      <c r="I184" s="2552"/>
      <c r="J184" s="336">
        <v>25</v>
      </c>
      <c r="K184" s="347">
        <f t="shared" ref="K184:K186" si="33">J184*20</f>
        <v>500</v>
      </c>
      <c r="M184" s="2450" t="s">
        <v>4439</v>
      </c>
      <c r="N184" s="2451"/>
      <c r="O184" s="2451"/>
      <c r="P184" s="336">
        <v>8.69</v>
      </c>
      <c r="Q184" s="347">
        <f t="shared" si="31"/>
        <v>173.79999999999998</v>
      </c>
      <c r="S184" s="2450" t="s">
        <v>4440</v>
      </c>
      <c r="T184" s="2451"/>
      <c r="U184" s="336">
        <v>13.85</v>
      </c>
      <c r="V184" s="347">
        <f t="shared" si="28"/>
        <v>277</v>
      </c>
    </row>
    <row r="185" spans="2:22" ht="16" customHeight="1">
      <c r="B185" s="2515" t="s">
        <v>4441</v>
      </c>
      <c r="C185" s="2488"/>
      <c r="D185" s="390" t="s">
        <v>809</v>
      </c>
      <c r="E185" s="347" t="s">
        <v>4442</v>
      </c>
      <c r="G185" s="2456" t="s">
        <v>4443</v>
      </c>
      <c r="H185" s="2457"/>
      <c r="I185" s="2457"/>
      <c r="J185" s="373">
        <v>25</v>
      </c>
      <c r="K185" s="348">
        <f t="shared" si="33"/>
        <v>500</v>
      </c>
      <c r="M185" s="2456" t="s">
        <v>4444</v>
      </c>
      <c r="N185" s="2457"/>
      <c r="O185" s="2457"/>
      <c r="P185" s="373">
        <v>0.3</v>
      </c>
      <c r="Q185" s="348">
        <f t="shared" si="31"/>
        <v>6</v>
      </c>
      <c r="S185" s="2475" t="s">
        <v>4445</v>
      </c>
      <c r="T185" s="2476"/>
      <c r="U185" s="382">
        <v>0.45</v>
      </c>
      <c r="V185" s="349">
        <f t="shared" si="28"/>
        <v>9</v>
      </c>
    </row>
    <row r="186" spans="2:22" ht="16" customHeight="1">
      <c r="B186" s="2521" t="s">
        <v>4446</v>
      </c>
      <c r="C186" s="2522"/>
      <c r="D186" s="373">
        <v>49.95</v>
      </c>
      <c r="E186" s="348" t="s">
        <v>4338</v>
      </c>
      <c r="G186" s="2450" t="s">
        <v>4447</v>
      </c>
      <c r="H186" s="2451"/>
      <c r="I186" s="2451"/>
      <c r="J186" s="336">
        <v>80</v>
      </c>
      <c r="K186" s="347">
        <f t="shared" si="33"/>
        <v>1600</v>
      </c>
      <c r="M186" s="2450" t="s">
        <v>4448</v>
      </c>
      <c r="N186" s="2451"/>
      <c r="O186" s="2451"/>
      <c r="P186" s="336">
        <v>3.25</v>
      </c>
      <c r="Q186" s="347">
        <f t="shared" si="31"/>
        <v>65</v>
      </c>
    </row>
    <row r="187" spans="2:22" ht="16" customHeight="1">
      <c r="B187" s="2515" t="s">
        <v>4449</v>
      </c>
      <c r="C187" s="2488"/>
      <c r="D187" s="336">
        <v>15.75</v>
      </c>
      <c r="E187" s="347">
        <f t="shared" si="32"/>
        <v>315</v>
      </c>
      <c r="G187" s="2456" t="s">
        <v>4450</v>
      </c>
      <c r="H187" s="2457"/>
      <c r="I187" s="2457"/>
      <c r="J187" s="373" t="s">
        <v>515</v>
      </c>
      <c r="K187" s="393" t="s">
        <v>4451</v>
      </c>
      <c r="M187" s="2456" t="s">
        <v>4452</v>
      </c>
      <c r="N187" s="2457"/>
      <c r="O187" s="2457"/>
      <c r="P187" s="373">
        <v>2.95</v>
      </c>
      <c r="Q187" s="348">
        <f t="shared" si="31"/>
        <v>59</v>
      </c>
      <c r="S187" s="2445" t="s">
        <v>4453</v>
      </c>
      <c r="T187" s="2446"/>
      <c r="U187" s="2446"/>
      <c r="V187" s="2447"/>
    </row>
    <row r="188" spans="2:22" ht="16" customHeight="1">
      <c r="B188" s="2521" t="s">
        <v>4454</v>
      </c>
      <c r="C188" s="2522"/>
      <c r="D188" s="373">
        <v>1.25</v>
      </c>
      <c r="E188" s="348" t="s">
        <v>4338</v>
      </c>
      <c r="G188" s="2551" t="s">
        <v>4455</v>
      </c>
      <c r="H188" s="2552"/>
      <c r="I188" s="2552"/>
      <c r="J188" s="336">
        <v>199</v>
      </c>
      <c r="K188" s="347">
        <f t="shared" ref="K188:K190" si="34">J188*20</f>
        <v>3980</v>
      </c>
      <c r="M188" s="2462" t="s">
        <v>4456</v>
      </c>
      <c r="N188" s="2463"/>
      <c r="O188" s="2463"/>
      <c r="P188" s="374">
        <v>1.35</v>
      </c>
      <c r="Q188" s="356">
        <f t="shared" si="31"/>
        <v>27</v>
      </c>
      <c r="S188" s="2448" t="s">
        <v>1486</v>
      </c>
      <c r="T188" s="2449"/>
      <c r="U188" s="367" t="s">
        <v>3864</v>
      </c>
      <c r="V188" s="384" t="s">
        <v>4051</v>
      </c>
    </row>
    <row r="189" spans="2:22" ht="16" customHeight="1">
      <c r="B189" s="2538" t="s">
        <v>4457</v>
      </c>
      <c r="C189" s="2539"/>
      <c r="D189" s="374">
        <v>0.05</v>
      </c>
      <c r="E189" s="356">
        <f t="shared" si="32"/>
        <v>1</v>
      </c>
      <c r="G189" s="2481" t="s">
        <v>4458</v>
      </c>
      <c r="H189" s="2482"/>
      <c r="I189" s="2482"/>
      <c r="J189" s="373">
        <v>295</v>
      </c>
      <c r="K189" s="348">
        <f t="shared" si="34"/>
        <v>5900</v>
      </c>
      <c r="M189" s="335"/>
      <c r="N189" s="335"/>
      <c r="O189" s="335"/>
      <c r="P189" s="335"/>
      <c r="Q189" s="335"/>
      <c r="S189" s="2450" t="s">
        <v>4459</v>
      </c>
      <c r="T189" s="2451"/>
      <c r="U189" s="336">
        <v>0.15</v>
      </c>
      <c r="V189" s="347">
        <f t="shared" ref="V189:V212" si="35">U189*20</f>
        <v>3</v>
      </c>
    </row>
    <row r="190" spans="2:22" ht="16" customHeight="1">
      <c r="G190" s="2525" t="s">
        <v>4460</v>
      </c>
      <c r="H190" s="2526"/>
      <c r="I190" s="2526"/>
      <c r="J190" s="391">
        <v>395</v>
      </c>
      <c r="K190" s="347">
        <f t="shared" si="34"/>
        <v>7900</v>
      </c>
      <c r="M190" s="2445" t="s">
        <v>4026</v>
      </c>
      <c r="N190" s="2446"/>
      <c r="O190" s="2446"/>
      <c r="P190" s="2446"/>
      <c r="Q190" s="2447"/>
      <c r="S190" s="2519" t="s">
        <v>4461</v>
      </c>
      <c r="T190" s="2520"/>
      <c r="U190" s="373">
        <v>0.33</v>
      </c>
      <c r="V190" s="348">
        <f t="shared" si="35"/>
        <v>6.6000000000000005</v>
      </c>
    </row>
    <row r="191" spans="2:22" ht="16" customHeight="1">
      <c r="G191" s="2533" t="s">
        <v>4462</v>
      </c>
      <c r="H191" s="2534"/>
      <c r="I191" s="2534"/>
      <c r="J191" s="2534"/>
      <c r="K191" s="2535"/>
      <c r="M191" s="2448" t="s">
        <v>1486</v>
      </c>
      <c r="N191" s="2449"/>
      <c r="O191" s="2449"/>
      <c r="P191" s="367" t="s">
        <v>3864</v>
      </c>
      <c r="Q191" s="384" t="s">
        <v>4051</v>
      </c>
      <c r="S191" s="2450" t="s">
        <v>4463</v>
      </c>
      <c r="T191" s="2451"/>
      <c r="U191" s="336">
        <v>5.45</v>
      </c>
      <c r="V191" s="347">
        <f t="shared" si="35"/>
        <v>109</v>
      </c>
    </row>
    <row r="192" spans="2:22" ht="16" customHeight="1">
      <c r="G192" s="2450" t="s">
        <v>4464</v>
      </c>
      <c r="H192" s="2451"/>
      <c r="I192" s="2451"/>
      <c r="J192" s="336">
        <v>10</v>
      </c>
      <c r="K192" s="347">
        <f t="shared" ref="K192:K198" si="36">J192*20</f>
        <v>200</v>
      </c>
      <c r="M192" s="2450" t="s">
        <v>4465</v>
      </c>
      <c r="N192" s="2451"/>
      <c r="O192" s="2451"/>
      <c r="P192" s="336">
        <v>0.15</v>
      </c>
      <c r="Q192" s="347">
        <f t="shared" ref="Q192:Q196" si="37">P192*20</f>
        <v>3</v>
      </c>
      <c r="S192" s="2456" t="s">
        <v>4466</v>
      </c>
      <c r="T192" s="2457"/>
      <c r="U192" s="373">
        <v>1.3</v>
      </c>
      <c r="V192" s="348">
        <f t="shared" si="35"/>
        <v>26</v>
      </c>
    </row>
    <row r="193" spans="7:22" ht="16" customHeight="1">
      <c r="G193" s="2456" t="s">
        <v>4467</v>
      </c>
      <c r="H193" s="2457"/>
      <c r="I193" s="2457"/>
      <c r="J193" s="373">
        <v>19.95</v>
      </c>
      <c r="K193" s="348">
        <f t="shared" si="36"/>
        <v>399</v>
      </c>
      <c r="M193" s="2456" t="s">
        <v>4468</v>
      </c>
      <c r="N193" s="2457"/>
      <c r="O193" s="2457"/>
      <c r="P193" s="373">
        <v>0.05</v>
      </c>
      <c r="Q193" s="348">
        <f t="shared" si="37"/>
        <v>1</v>
      </c>
      <c r="S193" s="2551" t="s">
        <v>4469</v>
      </c>
      <c r="T193" s="2552"/>
      <c r="U193" s="336">
        <v>14.1</v>
      </c>
      <c r="V193" s="347">
        <f t="shared" si="35"/>
        <v>282</v>
      </c>
    </row>
    <row r="194" spans="7:22" ht="16" customHeight="1">
      <c r="G194" s="2450" t="s">
        <v>4470</v>
      </c>
      <c r="H194" s="2451"/>
      <c r="I194" s="2451"/>
      <c r="J194" s="336">
        <v>5</v>
      </c>
      <c r="K194" s="347">
        <f t="shared" si="36"/>
        <v>100</v>
      </c>
      <c r="M194" s="2450" t="s">
        <v>4471</v>
      </c>
      <c r="N194" s="2451"/>
      <c r="O194" s="2451"/>
      <c r="P194" s="336">
        <v>1</v>
      </c>
      <c r="Q194" s="347">
        <f t="shared" si="37"/>
        <v>20</v>
      </c>
      <c r="S194" s="2456" t="s">
        <v>4472</v>
      </c>
      <c r="T194" s="2457"/>
      <c r="U194" s="373">
        <v>0.55000000000000004</v>
      </c>
      <c r="V194" s="348">
        <f t="shared" si="35"/>
        <v>11</v>
      </c>
    </row>
    <row r="195" spans="7:22" ht="16" customHeight="1">
      <c r="G195" s="2456" t="s">
        <v>4473</v>
      </c>
      <c r="H195" s="2457"/>
      <c r="I195" s="2457"/>
      <c r="J195" s="373">
        <v>77</v>
      </c>
      <c r="K195" s="348">
        <f t="shared" si="36"/>
        <v>1540</v>
      </c>
      <c r="M195" s="2456" t="s">
        <v>4474</v>
      </c>
      <c r="N195" s="2457"/>
      <c r="O195" s="2457"/>
      <c r="P195" s="373">
        <v>4</v>
      </c>
      <c r="Q195" s="348">
        <f t="shared" si="37"/>
        <v>80</v>
      </c>
      <c r="S195" s="2450" t="s">
        <v>4475</v>
      </c>
      <c r="T195" s="2451"/>
      <c r="U195" s="336">
        <v>6.75</v>
      </c>
      <c r="V195" s="347">
        <f t="shared" si="35"/>
        <v>135</v>
      </c>
    </row>
    <row r="196" spans="7:22" ht="16" customHeight="1">
      <c r="G196" s="2450" t="s">
        <v>4476</v>
      </c>
      <c r="H196" s="2451"/>
      <c r="I196" s="2451"/>
      <c r="J196" s="336">
        <v>49.5</v>
      </c>
      <c r="K196" s="347">
        <f t="shared" si="36"/>
        <v>990</v>
      </c>
      <c r="M196" s="2450" t="s">
        <v>4477</v>
      </c>
      <c r="N196" s="2451"/>
      <c r="O196" s="2451"/>
      <c r="P196" s="336">
        <v>10</v>
      </c>
      <c r="Q196" s="347">
        <f t="shared" si="37"/>
        <v>200</v>
      </c>
      <c r="S196" s="2456" t="s">
        <v>4478</v>
      </c>
      <c r="T196" s="2457"/>
      <c r="U196" s="373">
        <v>4.1500000000000004</v>
      </c>
      <c r="V196" s="348">
        <f t="shared" si="35"/>
        <v>83</v>
      </c>
    </row>
    <row r="197" spans="7:22" ht="16" customHeight="1">
      <c r="G197" s="2456" t="s">
        <v>4479</v>
      </c>
      <c r="H197" s="2457"/>
      <c r="I197" s="2457"/>
      <c r="J197" s="373">
        <v>48</v>
      </c>
      <c r="K197" s="348">
        <f t="shared" si="36"/>
        <v>960</v>
      </c>
      <c r="M197" s="2533" t="s">
        <v>4480</v>
      </c>
      <c r="N197" s="2534"/>
      <c r="O197" s="2534"/>
      <c r="P197" s="2534"/>
      <c r="Q197" s="2535"/>
      <c r="S197" s="2450" t="s">
        <v>4481</v>
      </c>
      <c r="T197" s="2451"/>
      <c r="U197" s="336">
        <v>1.65</v>
      </c>
      <c r="V197" s="347">
        <f t="shared" si="35"/>
        <v>33</v>
      </c>
    </row>
    <row r="198" spans="7:22" ht="16" customHeight="1">
      <c r="G198" s="2462" t="s">
        <v>4482</v>
      </c>
      <c r="H198" s="2463"/>
      <c r="I198" s="2463"/>
      <c r="J198" s="374">
        <v>125</v>
      </c>
      <c r="K198" s="356">
        <f t="shared" si="36"/>
        <v>2500</v>
      </c>
      <c r="M198" s="2450" t="s">
        <v>4483</v>
      </c>
      <c r="N198" s="2451"/>
      <c r="O198" s="2451"/>
      <c r="P198" s="336">
        <v>98</v>
      </c>
      <c r="Q198" s="2554" t="s">
        <v>4338</v>
      </c>
      <c r="S198" s="2456" t="s">
        <v>4484</v>
      </c>
      <c r="T198" s="2457"/>
      <c r="U198" s="373">
        <v>4.82</v>
      </c>
      <c r="V198" s="348">
        <f t="shared" si="35"/>
        <v>96.4</v>
      </c>
    </row>
    <row r="199" spans="7:22" ht="16" customHeight="1">
      <c r="M199" s="2456" t="s">
        <v>4485</v>
      </c>
      <c r="N199" s="2457"/>
      <c r="O199" s="2457"/>
      <c r="P199" s="373">
        <v>0.75</v>
      </c>
      <c r="Q199" s="2554"/>
      <c r="S199" s="2551" t="s">
        <v>4486</v>
      </c>
      <c r="T199" s="2552"/>
      <c r="U199" s="336">
        <v>9.25</v>
      </c>
      <c r="V199" s="347">
        <f t="shared" si="35"/>
        <v>185</v>
      </c>
    </row>
    <row r="200" spans="7:22" ht="16" customHeight="1">
      <c r="G200" s="2445" t="s">
        <v>388</v>
      </c>
      <c r="H200" s="2446"/>
      <c r="I200" s="2446"/>
      <c r="J200" s="2446"/>
      <c r="K200" s="2447"/>
      <c r="M200" s="2450" t="s">
        <v>4487</v>
      </c>
      <c r="N200" s="2451"/>
      <c r="O200" s="2451"/>
      <c r="P200" s="377" t="s">
        <v>4488</v>
      </c>
      <c r="Q200" s="2554"/>
      <c r="S200" s="2498" t="s">
        <v>4489</v>
      </c>
      <c r="T200" s="2499"/>
      <c r="U200" s="373">
        <v>6.15</v>
      </c>
      <c r="V200" s="348">
        <f t="shared" si="35"/>
        <v>123</v>
      </c>
    </row>
    <row r="201" spans="7:22" ht="16" customHeight="1">
      <c r="G201" s="2448" t="s">
        <v>1486</v>
      </c>
      <c r="H201" s="2449"/>
      <c r="I201" s="2449"/>
      <c r="J201" s="367" t="s">
        <v>3864</v>
      </c>
      <c r="K201" s="384" t="s">
        <v>4051</v>
      </c>
      <c r="M201" s="2456" t="s">
        <v>4490</v>
      </c>
      <c r="N201" s="2457"/>
      <c r="O201" s="2457"/>
      <c r="P201" s="373">
        <v>0.38</v>
      </c>
      <c r="Q201" s="2554"/>
      <c r="S201" s="2479" t="s">
        <v>4491</v>
      </c>
      <c r="T201" s="2480"/>
      <c r="U201" s="336">
        <v>5.95</v>
      </c>
      <c r="V201" s="347">
        <f t="shared" si="35"/>
        <v>119</v>
      </c>
    </row>
    <row r="202" spans="7:22" ht="16" customHeight="1">
      <c r="G202" s="2450" t="s">
        <v>4492</v>
      </c>
      <c r="H202" s="2451"/>
      <c r="I202" s="2451"/>
      <c r="J202" s="336" t="s">
        <v>4493</v>
      </c>
      <c r="K202" s="399" t="s">
        <v>4494</v>
      </c>
      <c r="M202" s="2450" t="s">
        <v>4495</v>
      </c>
      <c r="N202" s="2451"/>
      <c r="O202" s="2451"/>
      <c r="P202" s="336">
        <v>4.95</v>
      </c>
      <c r="Q202" s="2554"/>
      <c r="S202" s="2456" t="s">
        <v>4496</v>
      </c>
      <c r="T202" s="2457"/>
      <c r="U202" s="373">
        <v>3.75</v>
      </c>
      <c r="V202" s="348">
        <f t="shared" si="35"/>
        <v>75</v>
      </c>
    </row>
    <row r="203" spans="7:22" ht="16" customHeight="1">
      <c r="G203" s="2456" t="s">
        <v>4497</v>
      </c>
      <c r="H203" s="2457"/>
      <c r="I203" s="2457"/>
      <c r="J203" s="373" t="s">
        <v>4498</v>
      </c>
      <c r="K203" s="393" t="s">
        <v>4499</v>
      </c>
      <c r="M203" s="2456" t="s">
        <v>4500</v>
      </c>
      <c r="N203" s="2457"/>
      <c r="O203" s="2457"/>
      <c r="P203" s="400" t="s">
        <v>4501</v>
      </c>
      <c r="Q203" s="2554"/>
      <c r="S203" s="2450" t="s">
        <v>4502</v>
      </c>
      <c r="T203" s="2451"/>
      <c r="U203" s="336">
        <v>1.68</v>
      </c>
      <c r="V203" s="347">
        <f t="shared" si="35"/>
        <v>33.6</v>
      </c>
    </row>
    <row r="204" spans="7:22" ht="16" customHeight="1">
      <c r="G204" s="2462" t="s">
        <v>4503</v>
      </c>
      <c r="H204" s="2463"/>
      <c r="I204" s="2463"/>
      <c r="J204" s="374">
        <v>30</v>
      </c>
      <c r="K204" s="356">
        <f>J204*20</f>
        <v>600</v>
      </c>
      <c r="M204" s="2450" t="s">
        <v>4504</v>
      </c>
      <c r="N204" s="2451"/>
      <c r="O204" s="2451"/>
      <c r="P204" s="336">
        <v>140</v>
      </c>
      <c r="Q204" s="2554"/>
      <c r="S204" s="2519" t="s">
        <v>4505</v>
      </c>
      <c r="T204" s="2520"/>
      <c r="U204" s="373">
        <v>7.4</v>
      </c>
      <c r="V204" s="348">
        <f t="shared" si="35"/>
        <v>148</v>
      </c>
    </row>
    <row r="205" spans="7:22" ht="16" customHeight="1">
      <c r="M205" s="2456" t="s">
        <v>4506</v>
      </c>
      <c r="N205" s="2457"/>
      <c r="O205" s="2457"/>
      <c r="P205" s="373">
        <v>335</v>
      </c>
      <c r="Q205" s="2554"/>
      <c r="S205" s="2450" t="s">
        <v>4507</v>
      </c>
      <c r="T205" s="2451"/>
      <c r="U205" s="336">
        <v>0.59</v>
      </c>
      <c r="V205" s="347">
        <f t="shared" si="35"/>
        <v>11.799999999999999</v>
      </c>
    </row>
    <row r="206" spans="7:22" ht="16" customHeight="1">
      <c r="M206" s="2450" t="s">
        <v>4508</v>
      </c>
      <c r="N206" s="2451"/>
      <c r="O206" s="2451"/>
      <c r="P206" s="336">
        <v>65</v>
      </c>
      <c r="Q206" s="2554"/>
      <c r="S206" s="2519" t="s">
        <v>4509</v>
      </c>
      <c r="T206" s="2520"/>
      <c r="U206" s="373">
        <v>0.98</v>
      </c>
      <c r="V206" s="348">
        <f t="shared" si="35"/>
        <v>19.600000000000001</v>
      </c>
    </row>
    <row r="207" spans="7:22" ht="16" customHeight="1">
      <c r="M207" s="2533" t="s">
        <v>1372</v>
      </c>
      <c r="N207" s="2534"/>
      <c r="O207" s="2534"/>
      <c r="P207" s="2534"/>
      <c r="Q207" s="2535"/>
      <c r="S207" s="2450" t="s">
        <v>4510</v>
      </c>
      <c r="T207" s="2451"/>
      <c r="U207" s="336">
        <v>0.59</v>
      </c>
      <c r="V207" s="347">
        <f t="shared" si="35"/>
        <v>11.799999999999999</v>
      </c>
    </row>
    <row r="208" spans="7:22" ht="16" customHeight="1">
      <c r="M208" s="2450" t="s">
        <v>4511</v>
      </c>
      <c r="N208" s="2451"/>
      <c r="O208" s="2451"/>
      <c r="P208" s="336">
        <v>7.45</v>
      </c>
      <c r="Q208" s="347">
        <f t="shared" ref="Q208:Q216" si="38">P208*20</f>
        <v>149</v>
      </c>
      <c r="S208" s="2456" t="s">
        <v>4512</v>
      </c>
      <c r="T208" s="2457"/>
      <c r="U208" s="373">
        <v>1.39</v>
      </c>
      <c r="V208" s="348">
        <f t="shared" si="35"/>
        <v>27.799999999999997</v>
      </c>
    </row>
    <row r="209" spans="8:22" ht="16" customHeight="1">
      <c r="M209" s="2456" t="s">
        <v>4513</v>
      </c>
      <c r="N209" s="2457"/>
      <c r="O209" s="2457"/>
      <c r="P209" s="373">
        <v>69.75</v>
      </c>
      <c r="Q209" s="348">
        <f t="shared" si="38"/>
        <v>1395</v>
      </c>
      <c r="S209" s="2503" t="s">
        <v>4514</v>
      </c>
      <c r="T209" s="2504"/>
      <c r="U209" s="336">
        <v>23.95</v>
      </c>
      <c r="V209" s="347">
        <f t="shared" si="35"/>
        <v>479</v>
      </c>
    </row>
    <row r="210" spans="8:22" ht="16" customHeight="1">
      <c r="H210" s="387"/>
      <c r="M210" s="2450" t="s">
        <v>4515</v>
      </c>
      <c r="N210" s="2451"/>
      <c r="O210" s="2451"/>
      <c r="P210" s="336">
        <v>8.9499999999999993</v>
      </c>
      <c r="Q210" s="347">
        <f t="shared" si="38"/>
        <v>179</v>
      </c>
      <c r="S210" s="2536" t="s">
        <v>4516</v>
      </c>
      <c r="T210" s="2537"/>
      <c r="U210" s="373">
        <v>2.2999999999999998</v>
      </c>
      <c r="V210" s="348">
        <f t="shared" si="35"/>
        <v>46</v>
      </c>
    </row>
    <row r="211" spans="8:22" ht="16" customHeight="1">
      <c r="M211" s="2456" t="s">
        <v>4517</v>
      </c>
      <c r="N211" s="2457"/>
      <c r="O211" s="2457"/>
      <c r="P211" s="373">
        <v>2.75</v>
      </c>
      <c r="Q211" s="348">
        <f t="shared" si="38"/>
        <v>55</v>
      </c>
      <c r="S211" s="2450" t="s">
        <v>4518</v>
      </c>
      <c r="T211" s="2451"/>
      <c r="U211" s="336">
        <v>1.99</v>
      </c>
      <c r="V211" s="347">
        <f t="shared" si="35"/>
        <v>39.799999999999997</v>
      </c>
    </row>
    <row r="212" spans="8:22" ht="16" customHeight="1">
      <c r="M212" s="2450" t="s">
        <v>4519</v>
      </c>
      <c r="N212" s="2451"/>
      <c r="O212" s="2451"/>
      <c r="P212" s="336">
        <v>9.9499999999999993</v>
      </c>
      <c r="Q212" s="347">
        <f t="shared" si="38"/>
        <v>199</v>
      </c>
      <c r="S212" s="2562" t="s">
        <v>4520</v>
      </c>
      <c r="T212" s="2563"/>
      <c r="U212" s="382">
        <v>1.8</v>
      </c>
      <c r="V212" s="349">
        <f t="shared" si="35"/>
        <v>36</v>
      </c>
    </row>
    <row r="213" spans="8:22" ht="16" customHeight="1">
      <c r="M213" s="2456" t="s">
        <v>4521</v>
      </c>
      <c r="N213" s="2457"/>
      <c r="O213" s="2457"/>
      <c r="P213" s="373">
        <v>14.95</v>
      </c>
      <c r="Q213" s="348">
        <f t="shared" si="38"/>
        <v>299</v>
      </c>
    </row>
    <row r="214" spans="8:22" ht="16" customHeight="1">
      <c r="M214" s="2450" t="s">
        <v>4522</v>
      </c>
      <c r="N214" s="2451"/>
      <c r="O214" s="2451"/>
      <c r="P214" s="336">
        <v>3.45</v>
      </c>
      <c r="Q214" s="347">
        <f t="shared" si="38"/>
        <v>69</v>
      </c>
    </row>
    <row r="215" spans="8:22" ht="16" customHeight="1">
      <c r="M215" s="2456" t="s">
        <v>4523</v>
      </c>
      <c r="N215" s="2457"/>
      <c r="O215" s="2457"/>
      <c r="P215" s="373">
        <v>127</v>
      </c>
      <c r="Q215" s="348">
        <f t="shared" si="38"/>
        <v>2540</v>
      </c>
    </row>
    <row r="216" spans="8:22" ht="16" customHeight="1">
      <c r="M216" s="2462" t="s">
        <v>4524</v>
      </c>
      <c r="N216" s="2463"/>
      <c r="O216" s="2463"/>
      <c r="P216" s="374">
        <v>447</v>
      </c>
      <c r="Q216" s="356">
        <f t="shared" si="38"/>
        <v>8940</v>
      </c>
    </row>
  </sheetData>
  <sheetProtection sheet="1" objects="1"/>
  <mergeCells count="815">
    <mergeCell ref="A6:D8"/>
    <mergeCell ref="B2:AA4"/>
    <mergeCell ref="A9:D10"/>
    <mergeCell ref="B87:AA89"/>
    <mergeCell ref="X141:AA146"/>
    <mergeCell ref="B39:AA41"/>
    <mergeCell ref="M212:O212"/>
    <mergeCell ref="S212:T212"/>
    <mergeCell ref="M213:O213"/>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214:O214"/>
    <mergeCell ref="M215:O215"/>
    <mergeCell ref="M216:O216"/>
    <mergeCell ref="E181:E183"/>
    <mergeCell ref="Q198:Q206"/>
    <mergeCell ref="A12:D13"/>
    <mergeCell ref="N32:R34"/>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ageMargins left="0.75" right="0.75" top="1" bottom="1" header="0.51180555555555596" footer="0.51180555555555596"/>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46"/>
  <sheetViews>
    <sheetView showGridLines="0" workbookViewId="0">
      <pane ySplit="1" topLeftCell="A23" activePane="bottomLeft" state="frozen"/>
      <selection pane="bottomLeft" activeCell="B31" sqref="B31"/>
    </sheetView>
  </sheetViews>
  <sheetFormatPr baseColWidth="10" defaultColWidth="9" defaultRowHeight="15"/>
  <cols>
    <col min="1" max="1" width="3.33203125" style="32" customWidth="1"/>
    <col min="2" max="2" width="30" style="32" customWidth="1"/>
    <col min="3" max="3" width="12.1640625" style="32" customWidth="1"/>
    <col min="4" max="4" width="14.83203125" style="32" customWidth="1"/>
    <col min="5" max="5" width="8.83203125" style="32" customWidth="1"/>
    <col min="6" max="6" width="4.6640625" style="32" customWidth="1"/>
    <col min="7" max="7" width="10.83203125" style="32" customWidth="1"/>
    <col min="8" max="8" width="8" style="32" customWidth="1"/>
    <col min="9" max="9" width="7.83203125" style="32" customWidth="1"/>
    <col min="10" max="10" width="9.6640625" style="32" customWidth="1"/>
    <col min="11" max="12" width="13" style="33" customWidth="1"/>
    <col min="13" max="13" width="8.6640625" style="33" customWidth="1"/>
    <col min="14" max="14" width="9.1640625" style="33" customWidth="1"/>
    <col min="15" max="17" width="8.83203125" style="33" customWidth="1"/>
    <col min="18" max="18" width="10.1640625" style="33" customWidth="1"/>
    <col min="19" max="21" width="8.83203125" style="33" customWidth="1"/>
    <col min="22" max="22" width="30" style="33" customWidth="1"/>
    <col min="23" max="23" width="12.1640625" style="33" customWidth="1"/>
    <col min="24" max="24" width="14.83203125" style="33" customWidth="1"/>
    <col min="25" max="25" width="8.83203125" style="33" customWidth="1"/>
    <col min="26" max="26" width="4.6640625" style="33" customWidth="1"/>
  </cols>
  <sheetData>
    <row r="1" spans="2:26" ht="21" customHeight="1">
      <c r="B1" s="90" t="s">
        <v>4525</v>
      </c>
      <c r="C1" s="91" t="s">
        <v>311</v>
      </c>
      <c r="D1" s="91" t="s">
        <v>164</v>
      </c>
      <c r="E1" s="91" t="s">
        <v>165</v>
      </c>
      <c r="F1" s="91" t="s">
        <v>166</v>
      </c>
      <c r="G1" s="91" t="s">
        <v>4526</v>
      </c>
      <c r="H1" s="91" t="s">
        <v>168</v>
      </c>
      <c r="I1" s="91" t="s">
        <v>169</v>
      </c>
      <c r="J1" s="91" t="s">
        <v>4527</v>
      </c>
      <c r="K1" s="246" t="s">
        <v>4528</v>
      </c>
      <c r="L1" s="247" t="s">
        <v>4529</v>
      </c>
      <c r="M1" s="125" t="s">
        <v>161</v>
      </c>
      <c r="N1" s="2564" t="s">
        <v>268</v>
      </c>
      <c r="O1" s="2565"/>
      <c r="P1" s="2565"/>
      <c r="Q1" s="2565"/>
      <c r="R1" s="2565"/>
      <c r="V1" s="262"/>
      <c r="W1" s="262"/>
      <c r="X1" s="262"/>
      <c r="Y1" s="262"/>
      <c r="Z1" s="262"/>
    </row>
    <row r="2" spans="2:26" ht="14.25" customHeight="1">
      <c r="B2" s="208" t="s">
        <v>4530</v>
      </c>
      <c r="C2" s="209" t="s">
        <v>1395</v>
      </c>
      <c r="D2" s="210" t="s">
        <v>4531</v>
      </c>
      <c r="E2" s="210" t="s">
        <v>4532</v>
      </c>
      <c r="F2" s="210" t="s">
        <v>491</v>
      </c>
      <c r="G2" s="210" t="s">
        <v>4533</v>
      </c>
      <c r="H2" s="210" t="s">
        <v>4533</v>
      </c>
      <c r="I2" s="210" t="s">
        <v>4534</v>
      </c>
      <c r="J2" s="210" t="s">
        <v>4535</v>
      </c>
      <c r="K2" s="210" t="s">
        <v>4536</v>
      </c>
      <c r="L2" s="248" t="s">
        <v>92</v>
      </c>
      <c r="M2" s="2742" t="s">
        <v>4537</v>
      </c>
      <c r="N2" s="2585" t="s">
        <v>4538</v>
      </c>
      <c r="O2" s="2945" t="s">
        <v>4539</v>
      </c>
      <c r="P2" s="2945"/>
      <c r="Q2" s="2945"/>
      <c r="R2" s="2945"/>
      <c r="T2" s="261" t="s">
        <v>4540</v>
      </c>
      <c r="V2" s="263"/>
      <c r="W2" s="264"/>
      <c r="X2" s="263"/>
      <c r="Y2" s="263"/>
      <c r="Z2" s="263"/>
    </row>
    <row r="3" spans="2:26" ht="14.25" customHeight="1">
      <c r="B3" s="211" t="s">
        <v>4541</v>
      </c>
      <c r="C3" s="212" t="s">
        <v>119</v>
      </c>
      <c r="D3" s="213" t="s">
        <v>4542</v>
      </c>
      <c r="E3" s="213" t="s">
        <v>4543</v>
      </c>
      <c r="F3" s="213" t="s">
        <v>491</v>
      </c>
      <c r="G3" s="213" t="s">
        <v>4533</v>
      </c>
      <c r="H3" s="213" t="s">
        <v>92</v>
      </c>
      <c r="I3" s="213" t="s">
        <v>92</v>
      </c>
      <c r="J3" s="213" t="s">
        <v>4535</v>
      </c>
      <c r="K3" s="213" t="s">
        <v>4544</v>
      </c>
      <c r="L3" s="249" t="s">
        <v>92</v>
      </c>
      <c r="M3" s="2743"/>
      <c r="N3" s="2586"/>
      <c r="O3" s="2946"/>
      <c r="P3" s="2946"/>
      <c r="Q3" s="2946"/>
      <c r="R3" s="2946"/>
      <c r="T3" s="261" t="s">
        <v>4545</v>
      </c>
      <c r="U3" s="32"/>
      <c r="V3" s="263"/>
      <c r="W3" s="264"/>
      <c r="X3" s="263"/>
      <c r="Y3" s="263"/>
      <c r="Z3" s="263"/>
    </row>
    <row r="4" spans="2:26" ht="14.25" customHeight="1">
      <c r="B4" s="208" t="s">
        <v>4546</v>
      </c>
      <c r="C4" s="209" t="s">
        <v>2608</v>
      </c>
      <c r="D4" s="210" t="s">
        <v>4547</v>
      </c>
      <c r="E4" s="210" t="s">
        <v>4548</v>
      </c>
      <c r="F4" s="210" t="s">
        <v>491</v>
      </c>
      <c r="G4" s="210" t="s">
        <v>4533</v>
      </c>
      <c r="H4" s="210" t="s">
        <v>92</v>
      </c>
      <c r="I4" s="210" t="s">
        <v>92</v>
      </c>
      <c r="J4" s="210" t="s">
        <v>3241</v>
      </c>
      <c r="K4" s="210" t="s">
        <v>4549</v>
      </c>
      <c r="L4" s="248" t="s">
        <v>92</v>
      </c>
      <c r="M4" s="2743"/>
      <c r="N4" s="2586"/>
      <c r="O4" s="2946"/>
      <c r="P4" s="2946"/>
      <c r="Q4" s="2946"/>
      <c r="R4" s="2946"/>
      <c r="T4" s="261" t="s">
        <v>4550</v>
      </c>
      <c r="V4" s="263"/>
      <c r="W4" s="264"/>
      <c r="X4" s="263"/>
      <c r="Y4" s="263"/>
      <c r="Z4" s="263"/>
    </row>
    <row r="5" spans="2:26" ht="14.25" customHeight="1">
      <c r="B5" s="211" t="s">
        <v>4551</v>
      </c>
      <c r="C5" s="212" t="s">
        <v>119</v>
      </c>
      <c r="D5" s="213" t="s">
        <v>4552</v>
      </c>
      <c r="E5" s="213" t="s">
        <v>4543</v>
      </c>
      <c r="F5" s="213" t="s">
        <v>491</v>
      </c>
      <c r="G5" s="213" t="s">
        <v>4533</v>
      </c>
      <c r="H5" s="213" t="s">
        <v>92</v>
      </c>
      <c r="I5" s="213" t="s">
        <v>92</v>
      </c>
      <c r="J5" s="213" t="s">
        <v>4535</v>
      </c>
      <c r="K5" s="213" t="s">
        <v>4553</v>
      </c>
      <c r="L5" s="249" t="s">
        <v>92</v>
      </c>
      <c r="M5" s="2743"/>
      <c r="N5" s="2586"/>
      <c r="O5" s="2946"/>
      <c r="P5" s="2946"/>
      <c r="Q5" s="2946"/>
      <c r="R5" s="2946"/>
      <c r="T5" s="261" t="s">
        <v>4554</v>
      </c>
      <c r="V5" s="263"/>
      <c r="W5" s="264"/>
      <c r="X5" s="263"/>
      <c r="Y5" s="263"/>
      <c r="Z5" s="263"/>
    </row>
    <row r="6" spans="2:26" ht="14.25" customHeight="1">
      <c r="B6" s="214" t="s">
        <v>2619</v>
      </c>
      <c r="C6" s="215" t="s">
        <v>2619</v>
      </c>
      <c r="D6" s="216" t="s">
        <v>4555</v>
      </c>
      <c r="E6" s="216" t="s">
        <v>4543</v>
      </c>
      <c r="F6" s="216" t="s">
        <v>522</v>
      </c>
      <c r="G6" s="216" t="s">
        <v>4533</v>
      </c>
      <c r="H6" s="216" t="s">
        <v>92</v>
      </c>
      <c r="I6" s="216" t="s">
        <v>4556</v>
      </c>
      <c r="J6" s="216" t="s">
        <v>12</v>
      </c>
      <c r="K6" s="216" t="s">
        <v>4557</v>
      </c>
      <c r="L6" s="250" t="s">
        <v>4558</v>
      </c>
      <c r="M6" s="2743"/>
      <c r="N6" s="2586"/>
      <c r="O6" s="2946"/>
      <c r="P6" s="2946"/>
      <c r="Q6" s="2946"/>
      <c r="R6" s="2946"/>
      <c r="T6" s="261" t="s">
        <v>4555</v>
      </c>
      <c r="V6" s="179"/>
      <c r="W6" s="264"/>
      <c r="X6" s="263"/>
      <c r="Y6" s="263"/>
      <c r="Z6" s="263"/>
    </row>
    <row r="7" spans="2:26" ht="14.25" customHeight="1">
      <c r="B7" s="217" t="s">
        <v>4559</v>
      </c>
      <c r="C7" s="212" t="s">
        <v>119</v>
      </c>
      <c r="D7" s="213" t="s">
        <v>4560</v>
      </c>
      <c r="E7" s="213" t="s">
        <v>4543</v>
      </c>
      <c r="F7" s="213" t="s">
        <v>491</v>
      </c>
      <c r="G7" s="213" t="s">
        <v>4533</v>
      </c>
      <c r="H7" s="213" t="s">
        <v>92</v>
      </c>
      <c r="I7" s="213" t="s">
        <v>92</v>
      </c>
      <c r="J7" s="213" t="s">
        <v>4535</v>
      </c>
      <c r="K7" s="213" t="s">
        <v>4561</v>
      </c>
      <c r="L7" s="249" t="s">
        <v>4562</v>
      </c>
      <c r="M7" s="2743"/>
      <c r="N7" s="2586"/>
      <c r="O7" s="2946"/>
      <c r="P7" s="2946"/>
      <c r="Q7" s="2946"/>
      <c r="R7" s="2946"/>
      <c r="T7" s="261" t="s">
        <v>4563</v>
      </c>
      <c r="V7" s="263"/>
      <c r="W7" s="264"/>
      <c r="X7" s="263"/>
      <c r="Y7" s="263"/>
      <c r="Z7" s="263"/>
    </row>
    <row r="8" spans="2:26" ht="14.25" customHeight="1">
      <c r="B8" s="208" t="s">
        <v>4564</v>
      </c>
      <c r="C8" s="209" t="s">
        <v>119</v>
      </c>
      <c r="D8" s="210" t="s">
        <v>4560</v>
      </c>
      <c r="E8" s="210" t="s">
        <v>4543</v>
      </c>
      <c r="F8" s="210" t="s">
        <v>491</v>
      </c>
      <c r="G8" s="210" t="s">
        <v>4533</v>
      </c>
      <c r="H8" s="210" t="s">
        <v>92</v>
      </c>
      <c r="I8" s="210" t="s">
        <v>92</v>
      </c>
      <c r="J8" s="210" t="s">
        <v>4535</v>
      </c>
      <c r="K8" s="210" t="s">
        <v>4565</v>
      </c>
      <c r="L8" s="248" t="s">
        <v>92</v>
      </c>
      <c r="M8" s="2743"/>
      <c r="N8" s="2586"/>
      <c r="O8" s="2946"/>
      <c r="P8" s="2946"/>
      <c r="Q8" s="2946"/>
      <c r="R8" s="2946"/>
      <c r="T8" s="261" t="s">
        <v>4563</v>
      </c>
      <c r="V8" s="263"/>
      <c r="W8" s="264"/>
      <c r="X8" s="263"/>
      <c r="Y8" s="263"/>
      <c r="Z8" s="263"/>
    </row>
    <row r="9" spans="2:26" ht="14.25" customHeight="1">
      <c r="B9" s="211" t="s">
        <v>4566</v>
      </c>
      <c r="C9" s="212" t="s">
        <v>119</v>
      </c>
      <c r="D9" s="213" t="s">
        <v>4567</v>
      </c>
      <c r="E9" s="213" t="s">
        <v>4543</v>
      </c>
      <c r="F9" s="213" t="s">
        <v>491</v>
      </c>
      <c r="G9" s="213" t="s">
        <v>4533</v>
      </c>
      <c r="H9" s="213" t="s">
        <v>92</v>
      </c>
      <c r="I9" s="213" t="s">
        <v>92</v>
      </c>
      <c r="J9" s="213" t="s">
        <v>4535</v>
      </c>
      <c r="K9" s="213" t="s">
        <v>4565</v>
      </c>
      <c r="L9" s="249" t="s">
        <v>92</v>
      </c>
      <c r="M9" s="2743"/>
      <c r="N9" s="2586"/>
      <c r="O9" s="2946"/>
      <c r="P9" s="2946"/>
      <c r="Q9" s="2946"/>
      <c r="R9" s="2946"/>
      <c r="T9" s="261" t="s">
        <v>4568</v>
      </c>
      <c r="V9" s="263"/>
      <c r="W9" s="264"/>
      <c r="X9" s="263"/>
      <c r="Y9" s="263"/>
      <c r="Z9" s="263"/>
    </row>
    <row r="10" spans="2:26" ht="14.25" customHeight="1">
      <c r="B10" s="208" t="s">
        <v>4569</v>
      </c>
      <c r="C10" s="209" t="s">
        <v>1395</v>
      </c>
      <c r="D10" s="210" t="s">
        <v>4570</v>
      </c>
      <c r="E10" s="210" t="s">
        <v>4571</v>
      </c>
      <c r="F10" s="210" t="s">
        <v>522</v>
      </c>
      <c r="G10" s="210" t="s">
        <v>4572</v>
      </c>
      <c r="H10" s="210" t="s">
        <v>4533</v>
      </c>
      <c r="I10" s="210" t="s">
        <v>4573</v>
      </c>
      <c r="J10" s="210" t="s">
        <v>4535</v>
      </c>
      <c r="K10" s="210" t="s">
        <v>4574</v>
      </c>
      <c r="L10" s="248" t="s">
        <v>4575</v>
      </c>
      <c r="M10" s="2743"/>
      <c r="N10" s="2586"/>
      <c r="O10" s="2946"/>
      <c r="P10" s="2946"/>
      <c r="Q10" s="2946"/>
      <c r="R10" s="2946"/>
      <c r="T10" s="261" t="s">
        <v>4570</v>
      </c>
      <c r="V10" s="263"/>
      <c r="W10" s="264"/>
      <c r="X10" s="263"/>
      <c r="Y10" s="263"/>
      <c r="Z10" s="263"/>
    </row>
    <row r="11" spans="2:26" ht="14.25" customHeight="1">
      <c r="B11" s="218" t="s">
        <v>2647</v>
      </c>
      <c r="C11" s="219" t="s">
        <v>2647</v>
      </c>
      <c r="D11" s="220" t="s">
        <v>4567</v>
      </c>
      <c r="E11" s="220" t="s">
        <v>4543</v>
      </c>
      <c r="F11" s="220" t="s">
        <v>522</v>
      </c>
      <c r="G11" s="220" t="s">
        <v>4533</v>
      </c>
      <c r="H11" s="220" t="s">
        <v>92</v>
      </c>
      <c r="I11" s="220" t="s">
        <v>92</v>
      </c>
      <c r="J11" s="220" t="s">
        <v>4535</v>
      </c>
      <c r="K11" s="220" t="s">
        <v>4576</v>
      </c>
      <c r="L11" s="251" t="s">
        <v>92</v>
      </c>
      <c r="M11" s="2743"/>
      <c r="N11" s="2586"/>
      <c r="O11" s="2608" t="s">
        <v>4577</v>
      </c>
      <c r="P11" s="2608"/>
      <c r="Q11" s="2608"/>
      <c r="R11" s="2609"/>
      <c r="T11" s="261" t="s">
        <v>4568</v>
      </c>
      <c r="V11" s="263"/>
      <c r="W11" s="264"/>
      <c r="X11" s="263"/>
      <c r="Y11" s="263"/>
      <c r="Z11" s="263"/>
    </row>
    <row r="12" spans="2:26" ht="14.25" customHeight="1">
      <c r="B12" s="208" t="s">
        <v>4578</v>
      </c>
      <c r="C12" s="209" t="s">
        <v>2630</v>
      </c>
      <c r="D12" s="210" t="s">
        <v>4579</v>
      </c>
      <c r="E12" s="210" t="s">
        <v>4543</v>
      </c>
      <c r="F12" s="210" t="s">
        <v>522</v>
      </c>
      <c r="G12" s="210" t="s">
        <v>4533</v>
      </c>
      <c r="H12" s="210" t="s">
        <v>92</v>
      </c>
      <c r="I12" s="210" t="s">
        <v>92</v>
      </c>
      <c r="J12" s="210" t="s">
        <v>4535</v>
      </c>
      <c r="K12" s="210" t="s">
        <v>4580</v>
      </c>
      <c r="L12" s="248" t="s">
        <v>92</v>
      </c>
      <c r="M12" s="2743"/>
      <c r="N12" s="2586"/>
      <c r="O12" s="2610"/>
      <c r="P12" s="2610"/>
      <c r="Q12" s="2610"/>
      <c r="R12" s="2611"/>
      <c r="T12" s="261" t="s">
        <v>4581</v>
      </c>
      <c r="V12" s="263"/>
      <c r="W12" s="264"/>
      <c r="X12" s="263"/>
      <c r="Y12" s="263"/>
      <c r="Z12" s="263"/>
    </row>
    <row r="13" spans="2:26" ht="14.25" customHeight="1">
      <c r="B13" s="211" t="s">
        <v>4582</v>
      </c>
      <c r="C13" s="212" t="s">
        <v>119</v>
      </c>
      <c r="D13" s="213" t="s">
        <v>4560</v>
      </c>
      <c r="E13" s="213" t="s">
        <v>4543</v>
      </c>
      <c r="F13" s="213" t="s">
        <v>522</v>
      </c>
      <c r="G13" s="213" t="s">
        <v>4533</v>
      </c>
      <c r="H13" s="213" t="s">
        <v>92</v>
      </c>
      <c r="I13" s="213" t="s">
        <v>92</v>
      </c>
      <c r="J13" s="213" t="s">
        <v>4535</v>
      </c>
      <c r="K13" s="213" t="s">
        <v>4583</v>
      </c>
      <c r="L13" s="249" t="s">
        <v>92</v>
      </c>
      <c r="M13" s="2743"/>
      <c r="N13" s="2586"/>
      <c r="O13" s="2610"/>
      <c r="P13" s="2610"/>
      <c r="Q13" s="2610"/>
      <c r="R13" s="2611"/>
      <c r="T13" s="261" t="s">
        <v>4563</v>
      </c>
      <c r="W13" s="264"/>
      <c r="X13" s="263"/>
      <c r="Y13" s="263"/>
      <c r="Z13" s="263"/>
    </row>
    <row r="14" spans="2:26" ht="14.25" customHeight="1">
      <c r="B14" s="208" t="s">
        <v>4584</v>
      </c>
      <c r="C14" s="209" t="s">
        <v>119</v>
      </c>
      <c r="D14" s="210" t="s">
        <v>4585</v>
      </c>
      <c r="E14" s="210" t="s">
        <v>4543</v>
      </c>
      <c r="F14" s="210" t="s">
        <v>522</v>
      </c>
      <c r="G14" s="210" t="s">
        <v>4533</v>
      </c>
      <c r="H14" s="210" t="s">
        <v>92</v>
      </c>
      <c r="I14" s="210" t="s">
        <v>92</v>
      </c>
      <c r="J14" s="210" t="s">
        <v>4535</v>
      </c>
      <c r="K14" s="210" t="s">
        <v>4561</v>
      </c>
      <c r="L14" s="248" t="s">
        <v>92</v>
      </c>
      <c r="M14" s="2743"/>
      <c r="N14" s="2586"/>
      <c r="O14" s="2610"/>
      <c r="P14" s="2610"/>
      <c r="Q14" s="2610"/>
      <c r="R14" s="2611"/>
      <c r="T14" s="261" t="s">
        <v>4586</v>
      </c>
      <c r="W14" s="264"/>
      <c r="X14" s="263"/>
      <c r="Y14" s="263"/>
      <c r="Z14" s="263"/>
    </row>
    <row r="15" spans="2:26" ht="14.25" customHeight="1">
      <c r="B15" s="211" t="s">
        <v>4587</v>
      </c>
      <c r="C15" s="212" t="s">
        <v>119</v>
      </c>
      <c r="D15" s="213" t="s">
        <v>4588</v>
      </c>
      <c r="E15" s="213" t="s">
        <v>4543</v>
      </c>
      <c r="F15" s="213" t="s">
        <v>522</v>
      </c>
      <c r="G15" s="213" t="s">
        <v>4533</v>
      </c>
      <c r="H15" s="213" t="s">
        <v>92</v>
      </c>
      <c r="I15" s="213" t="s">
        <v>92</v>
      </c>
      <c r="J15" s="213" t="s">
        <v>4535</v>
      </c>
      <c r="K15" s="213" t="s">
        <v>4589</v>
      </c>
      <c r="L15" s="249" t="s">
        <v>92</v>
      </c>
      <c r="M15" s="2743"/>
      <c r="N15" s="2586"/>
      <c r="O15" s="2610" t="s">
        <v>4590</v>
      </c>
      <c r="P15" s="2610"/>
      <c r="Q15" s="2610"/>
      <c r="R15" s="2611"/>
      <c r="T15" s="261" t="s">
        <v>4591</v>
      </c>
      <c r="W15" s="264"/>
      <c r="X15" s="263"/>
      <c r="Y15" s="263"/>
      <c r="Z15" s="263"/>
    </row>
    <row r="16" spans="2:26" ht="14.25" customHeight="1">
      <c r="B16" s="221" t="s">
        <v>4592</v>
      </c>
      <c r="C16" s="222" t="s">
        <v>119</v>
      </c>
      <c r="D16" s="223" t="s">
        <v>4593</v>
      </c>
      <c r="E16" s="223" t="s">
        <v>4543</v>
      </c>
      <c r="F16" s="223" t="s">
        <v>491</v>
      </c>
      <c r="G16" s="223" t="s">
        <v>4533</v>
      </c>
      <c r="H16" s="223" t="s">
        <v>92</v>
      </c>
      <c r="I16" s="223" t="s">
        <v>4556</v>
      </c>
      <c r="J16" s="223" t="s">
        <v>12</v>
      </c>
      <c r="K16" s="223" t="s">
        <v>92</v>
      </c>
      <c r="L16" s="252" t="s">
        <v>4594</v>
      </c>
      <c r="M16" s="2743"/>
      <c r="N16" s="2586" t="s">
        <v>4595</v>
      </c>
      <c r="O16" s="2610"/>
      <c r="P16" s="2610"/>
      <c r="Q16" s="2610"/>
      <c r="R16" s="2611"/>
      <c r="T16" s="261" t="s">
        <v>4555</v>
      </c>
      <c r="W16" s="264"/>
      <c r="X16" s="263"/>
      <c r="Y16" s="263"/>
      <c r="Z16" s="263"/>
    </row>
    <row r="17" spans="2:26" ht="14.25" customHeight="1">
      <c r="B17" s="224" t="s">
        <v>4596</v>
      </c>
      <c r="C17" s="225" t="s">
        <v>119</v>
      </c>
      <c r="D17" s="226" t="s">
        <v>4597</v>
      </c>
      <c r="E17" s="226" t="s">
        <v>4598</v>
      </c>
      <c r="F17" s="226" t="s">
        <v>491</v>
      </c>
      <c r="G17" s="226" t="s">
        <v>4533</v>
      </c>
      <c r="H17" s="226" t="s">
        <v>4599</v>
      </c>
      <c r="I17" s="226" t="s">
        <v>92</v>
      </c>
      <c r="J17" s="226" t="s">
        <v>4535</v>
      </c>
      <c r="K17" s="226" t="s">
        <v>4600</v>
      </c>
      <c r="L17" s="253" t="s">
        <v>4601</v>
      </c>
      <c r="M17" s="2743"/>
      <c r="N17" s="2586"/>
      <c r="O17" s="2960"/>
      <c r="P17" s="2960"/>
      <c r="Q17" s="2960"/>
      <c r="R17" s="2961"/>
      <c r="T17" s="261"/>
      <c r="W17" s="264"/>
      <c r="X17" s="263"/>
      <c r="Y17" s="263"/>
      <c r="Z17" s="263"/>
    </row>
    <row r="18" spans="2:26" ht="14.25" customHeight="1">
      <c r="B18" s="221" t="s">
        <v>4013</v>
      </c>
      <c r="C18" s="222" t="s">
        <v>2653</v>
      </c>
      <c r="D18" s="223" t="s">
        <v>4560</v>
      </c>
      <c r="E18" s="223" t="s">
        <v>4543</v>
      </c>
      <c r="F18" s="223" t="s">
        <v>491</v>
      </c>
      <c r="G18" s="223" t="s">
        <v>4533</v>
      </c>
      <c r="H18" s="223" t="s">
        <v>92</v>
      </c>
      <c r="I18" s="223" t="s">
        <v>92</v>
      </c>
      <c r="J18" s="223" t="s">
        <v>4535</v>
      </c>
      <c r="K18" s="223" t="s">
        <v>4544</v>
      </c>
      <c r="L18" s="252" t="s">
        <v>4602</v>
      </c>
      <c r="M18" s="2743"/>
      <c r="N18" s="2586"/>
      <c r="O18" s="2956" t="s">
        <v>4603</v>
      </c>
      <c r="P18" s="2956"/>
      <c r="Q18" s="2956"/>
      <c r="R18" s="2957"/>
      <c r="T18" s="261" t="s">
        <v>4563</v>
      </c>
      <c r="W18" s="264"/>
      <c r="X18" s="263"/>
      <c r="Y18" s="263"/>
      <c r="Z18" s="263"/>
    </row>
    <row r="19" spans="2:26" ht="14.25" customHeight="1">
      <c r="B19" s="208" t="s">
        <v>4604</v>
      </c>
      <c r="C19" s="209" t="s">
        <v>137</v>
      </c>
      <c r="D19" s="210" t="s">
        <v>4605</v>
      </c>
      <c r="E19" s="210" t="s">
        <v>4606</v>
      </c>
      <c r="F19" s="210" t="s">
        <v>491</v>
      </c>
      <c r="G19" s="210" t="s">
        <v>4533</v>
      </c>
      <c r="H19" s="210" t="s">
        <v>92</v>
      </c>
      <c r="I19" s="210" t="s">
        <v>92</v>
      </c>
      <c r="J19" s="210" t="s">
        <v>4535</v>
      </c>
      <c r="K19" s="210" t="s">
        <v>92</v>
      </c>
      <c r="L19" s="248" t="s">
        <v>92</v>
      </c>
      <c r="M19" s="2743"/>
      <c r="N19" s="2586"/>
      <c r="O19" s="2958"/>
      <c r="P19" s="2958"/>
      <c r="Q19" s="2958"/>
      <c r="R19" s="2959"/>
      <c r="T19" s="261" t="s">
        <v>4607</v>
      </c>
      <c r="W19" s="263"/>
      <c r="X19" s="263"/>
      <c r="Y19" s="263"/>
      <c r="Z19" s="263"/>
    </row>
    <row r="20" spans="2:26" ht="14.25" customHeight="1">
      <c r="B20" s="221" t="s">
        <v>4608</v>
      </c>
      <c r="C20" s="222" t="s">
        <v>137</v>
      </c>
      <c r="D20" s="223" t="s">
        <v>4547</v>
      </c>
      <c r="E20" s="223" t="s">
        <v>4606</v>
      </c>
      <c r="F20" s="223" t="s">
        <v>522</v>
      </c>
      <c r="G20" s="223" t="s">
        <v>4609</v>
      </c>
      <c r="H20" s="223" t="s">
        <v>4610</v>
      </c>
      <c r="I20" s="223" t="s">
        <v>3514</v>
      </c>
      <c r="J20" s="223" t="s">
        <v>4535</v>
      </c>
      <c r="K20" s="223" t="s">
        <v>4576</v>
      </c>
      <c r="L20" s="252" t="s">
        <v>92</v>
      </c>
      <c r="M20" s="2743"/>
      <c r="N20" s="2586"/>
      <c r="O20" s="2958"/>
      <c r="P20" s="2958"/>
      <c r="Q20" s="2958"/>
      <c r="R20" s="2959"/>
      <c r="T20" s="261" t="s">
        <v>4550</v>
      </c>
      <c r="W20" s="263"/>
      <c r="X20" s="263"/>
      <c r="Y20" s="263"/>
      <c r="Z20" s="263"/>
    </row>
    <row r="21" spans="2:26" ht="14.25" customHeight="1">
      <c r="B21" s="208" t="s">
        <v>4611</v>
      </c>
      <c r="C21" s="209" t="s">
        <v>1392</v>
      </c>
      <c r="D21" s="210" t="s">
        <v>4612</v>
      </c>
      <c r="E21" s="210" t="s">
        <v>4543</v>
      </c>
      <c r="F21" s="210" t="s">
        <v>522</v>
      </c>
      <c r="G21" s="210" t="s">
        <v>4533</v>
      </c>
      <c r="H21" s="210" t="s">
        <v>92</v>
      </c>
      <c r="I21" s="210" t="s">
        <v>92</v>
      </c>
      <c r="J21" s="210" t="s">
        <v>4535</v>
      </c>
      <c r="K21" s="210" t="s">
        <v>4613</v>
      </c>
      <c r="L21" s="248" t="s">
        <v>92</v>
      </c>
      <c r="M21" s="2743"/>
      <c r="N21" s="2586"/>
      <c r="O21" s="2958"/>
      <c r="P21" s="2958"/>
      <c r="Q21" s="2958"/>
      <c r="R21" s="2959"/>
      <c r="T21" s="261" t="s">
        <v>4612</v>
      </c>
      <c r="X21" s="263"/>
      <c r="Y21" s="263"/>
      <c r="Z21" s="263"/>
    </row>
    <row r="22" spans="2:26" ht="14.25" customHeight="1">
      <c r="B22" s="221" t="s">
        <v>4614</v>
      </c>
      <c r="C22" s="222" t="s">
        <v>137</v>
      </c>
      <c r="D22" s="223" t="s">
        <v>4615</v>
      </c>
      <c r="E22" s="223" t="s">
        <v>4606</v>
      </c>
      <c r="F22" s="223" t="s">
        <v>522</v>
      </c>
      <c r="G22" s="223" t="s">
        <v>4533</v>
      </c>
      <c r="H22" s="223" t="s">
        <v>92</v>
      </c>
      <c r="I22" s="223" t="s">
        <v>92</v>
      </c>
      <c r="J22" s="223" t="s">
        <v>4616</v>
      </c>
      <c r="K22" s="223" t="s">
        <v>4617</v>
      </c>
      <c r="L22" s="252" t="s">
        <v>92</v>
      </c>
      <c r="M22" s="2743"/>
      <c r="N22" s="2586"/>
      <c r="O22" s="2947" t="s">
        <v>4618</v>
      </c>
      <c r="P22" s="2948"/>
      <c r="Q22" s="2948"/>
      <c r="R22" s="2949"/>
      <c r="T22" s="261" t="s">
        <v>4619</v>
      </c>
      <c r="X22" s="263"/>
      <c r="Y22" s="263"/>
      <c r="Z22" s="263"/>
    </row>
    <row r="23" spans="2:26" ht="14.25" customHeight="1">
      <c r="B23" s="208" t="s">
        <v>4620</v>
      </c>
      <c r="C23" s="209" t="s">
        <v>1393</v>
      </c>
      <c r="D23" s="210" t="s">
        <v>4621</v>
      </c>
      <c r="E23" s="210" t="s">
        <v>4543</v>
      </c>
      <c r="F23" s="210" t="s">
        <v>522</v>
      </c>
      <c r="G23" s="210" t="s">
        <v>4533</v>
      </c>
      <c r="H23" s="210" t="s">
        <v>92</v>
      </c>
      <c r="I23" s="210" t="s">
        <v>92</v>
      </c>
      <c r="J23" s="210" t="s">
        <v>4535</v>
      </c>
      <c r="K23" s="210" t="s">
        <v>4622</v>
      </c>
      <c r="L23" s="248" t="s">
        <v>92</v>
      </c>
      <c r="M23" s="2743"/>
      <c r="N23" s="2586"/>
      <c r="O23" s="2950"/>
      <c r="P23" s="2951"/>
      <c r="Q23" s="2951"/>
      <c r="R23" s="2952"/>
      <c r="T23" s="261" t="s">
        <v>4623</v>
      </c>
      <c r="X23" s="263"/>
      <c r="Y23" s="263"/>
      <c r="Z23" s="263"/>
    </row>
    <row r="24" spans="2:26" ht="14.25" customHeight="1">
      <c r="B24" s="221" t="s">
        <v>4624</v>
      </c>
      <c r="C24" s="222" t="s">
        <v>1393</v>
      </c>
      <c r="D24" s="223" t="s">
        <v>4579</v>
      </c>
      <c r="E24" s="223" t="s">
        <v>4543</v>
      </c>
      <c r="F24" s="223" t="s">
        <v>522</v>
      </c>
      <c r="G24" s="223" t="s">
        <v>4533</v>
      </c>
      <c r="H24" s="223" t="s">
        <v>92</v>
      </c>
      <c r="I24" s="223" t="s">
        <v>92</v>
      </c>
      <c r="J24" s="223" t="s">
        <v>4535</v>
      </c>
      <c r="K24" s="223" t="s">
        <v>4625</v>
      </c>
      <c r="L24" s="252" t="s">
        <v>92</v>
      </c>
      <c r="M24" s="2743"/>
      <c r="N24" s="2586"/>
      <c r="O24" s="2950"/>
      <c r="P24" s="2951"/>
      <c r="Q24" s="2951"/>
      <c r="R24" s="2952"/>
      <c r="T24" s="261" t="s">
        <v>4581</v>
      </c>
      <c r="X24" s="263"/>
      <c r="Y24" s="263"/>
      <c r="Z24" s="263"/>
    </row>
    <row r="25" spans="2:26" ht="14.25" customHeight="1">
      <c r="B25" s="208" t="s">
        <v>4626</v>
      </c>
      <c r="C25" s="209" t="s">
        <v>1393</v>
      </c>
      <c r="D25" s="210" t="s">
        <v>4567</v>
      </c>
      <c r="E25" s="210" t="s">
        <v>4543</v>
      </c>
      <c r="F25" s="210" t="s">
        <v>522</v>
      </c>
      <c r="G25" s="210" t="s">
        <v>4533</v>
      </c>
      <c r="H25" s="210" t="s">
        <v>92</v>
      </c>
      <c r="I25" s="210" t="s">
        <v>92</v>
      </c>
      <c r="J25" s="210" t="s">
        <v>4535</v>
      </c>
      <c r="K25" s="210" t="s">
        <v>4627</v>
      </c>
      <c r="L25" s="248" t="s">
        <v>92</v>
      </c>
      <c r="M25" s="2743"/>
      <c r="N25" s="2586"/>
      <c r="O25" s="2953"/>
      <c r="P25" s="2954"/>
      <c r="Q25" s="2954"/>
      <c r="R25" s="2955"/>
      <c r="T25" s="261" t="s">
        <v>4568</v>
      </c>
      <c r="X25" s="263"/>
      <c r="Y25" s="263"/>
      <c r="Z25" s="263"/>
    </row>
    <row r="26" spans="2:26" ht="14.25" customHeight="1">
      <c r="B26" s="227" t="s">
        <v>4628</v>
      </c>
      <c r="C26" s="228" t="s">
        <v>119</v>
      </c>
      <c r="D26" s="229" t="s">
        <v>4629</v>
      </c>
      <c r="E26" s="229" t="s">
        <v>4543</v>
      </c>
      <c r="F26" s="229" t="s">
        <v>491</v>
      </c>
      <c r="G26" s="229" t="s">
        <v>4533</v>
      </c>
      <c r="H26" s="229" t="s">
        <v>92</v>
      </c>
      <c r="I26" s="229" t="s">
        <v>4534</v>
      </c>
      <c r="J26" s="229" t="s">
        <v>12</v>
      </c>
      <c r="K26" s="229" t="s">
        <v>4630</v>
      </c>
      <c r="L26" s="254" t="s">
        <v>4631</v>
      </c>
      <c r="M26" s="2743"/>
      <c r="N26" s="2586"/>
      <c r="T26" s="261" t="s">
        <v>4632</v>
      </c>
      <c r="Y26" s="263"/>
      <c r="Z26" s="263"/>
    </row>
    <row r="27" spans="2:26" ht="14.25" customHeight="1">
      <c r="B27" s="230" t="s">
        <v>4633</v>
      </c>
      <c r="C27" s="231" t="s">
        <v>133</v>
      </c>
      <c r="D27" s="232" t="s">
        <v>4629</v>
      </c>
      <c r="E27" s="232" t="s">
        <v>4634</v>
      </c>
      <c r="F27" s="232" t="s">
        <v>491</v>
      </c>
      <c r="G27" s="232" t="s">
        <v>4533</v>
      </c>
      <c r="H27" s="232" t="s">
        <v>4635</v>
      </c>
      <c r="I27" s="232" t="s">
        <v>4556</v>
      </c>
      <c r="J27" s="232" t="s">
        <v>12</v>
      </c>
      <c r="K27" s="232" t="s">
        <v>4636</v>
      </c>
      <c r="L27" s="255" t="s">
        <v>4637</v>
      </c>
      <c r="M27" s="2743"/>
      <c r="N27" s="2586"/>
      <c r="T27" s="261" t="s">
        <v>4632</v>
      </c>
      <c r="Y27" s="263"/>
      <c r="Z27" s="263"/>
    </row>
    <row r="28" spans="2:26" ht="14.25" customHeight="1">
      <c r="B28" s="221" t="s">
        <v>4638</v>
      </c>
      <c r="C28" s="222" t="s">
        <v>137</v>
      </c>
      <c r="D28" s="223" t="s">
        <v>4615</v>
      </c>
      <c r="E28" s="223" t="s">
        <v>4606</v>
      </c>
      <c r="F28" s="223" t="s">
        <v>491</v>
      </c>
      <c r="G28" s="223" t="s">
        <v>4533</v>
      </c>
      <c r="H28" s="223" t="s">
        <v>92</v>
      </c>
      <c r="I28" s="223" t="s">
        <v>92</v>
      </c>
      <c r="J28" s="223" t="s">
        <v>4616</v>
      </c>
      <c r="K28" s="223" t="s">
        <v>4639</v>
      </c>
      <c r="L28" s="252" t="s">
        <v>92</v>
      </c>
      <c r="M28" s="2743"/>
      <c r="N28" s="2586"/>
      <c r="T28" s="261" t="s">
        <v>4619</v>
      </c>
    </row>
    <row r="29" spans="2:26" ht="14.25" customHeight="1">
      <c r="B29" s="208" t="s">
        <v>4640</v>
      </c>
      <c r="C29" s="209" t="s">
        <v>2630</v>
      </c>
      <c r="D29" s="210" t="s">
        <v>4641</v>
      </c>
      <c r="E29" s="210" t="s">
        <v>4543</v>
      </c>
      <c r="F29" s="210" t="s">
        <v>522</v>
      </c>
      <c r="G29" s="210" t="s">
        <v>4533</v>
      </c>
      <c r="H29" s="210" t="s">
        <v>92</v>
      </c>
      <c r="I29" s="210" t="s">
        <v>92</v>
      </c>
      <c r="J29" s="210" t="s">
        <v>4535</v>
      </c>
      <c r="K29" s="210" t="s">
        <v>4642</v>
      </c>
      <c r="L29" s="248" t="s">
        <v>92</v>
      </c>
      <c r="M29" s="2743"/>
      <c r="N29" s="2587"/>
      <c r="T29" s="261" t="s">
        <v>4643</v>
      </c>
      <c r="Y29" s="179"/>
      <c r="Z29" s="263"/>
    </row>
    <row r="30" spans="2:26" ht="14.25" customHeight="1">
      <c r="B30" s="233" t="s">
        <v>4644</v>
      </c>
      <c r="C30" s="234" t="s">
        <v>133</v>
      </c>
      <c r="D30" s="235" t="s">
        <v>4645</v>
      </c>
      <c r="E30" s="235" t="s">
        <v>4646</v>
      </c>
      <c r="F30" s="235" t="s">
        <v>522</v>
      </c>
      <c r="G30" s="235" t="s">
        <v>4647</v>
      </c>
      <c r="H30" s="235" t="s">
        <v>4533</v>
      </c>
      <c r="I30" s="235" t="s">
        <v>4556</v>
      </c>
      <c r="J30" s="235" t="s">
        <v>4616</v>
      </c>
      <c r="K30" s="235" t="s">
        <v>4648</v>
      </c>
      <c r="L30" s="256" t="s">
        <v>4649</v>
      </c>
      <c r="M30" s="2744" t="s">
        <v>133</v>
      </c>
      <c r="N30" s="2588" t="s">
        <v>4650</v>
      </c>
      <c r="O30" s="162"/>
      <c r="P30" s="162"/>
      <c r="Q30" s="2980" t="s">
        <v>4651</v>
      </c>
      <c r="R30" s="2981"/>
      <c r="T30" s="261" t="s">
        <v>4645</v>
      </c>
      <c r="Y30" s="263"/>
      <c r="Z30" s="263"/>
    </row>
    <row r="31" spans="2:26" ht="14.25" customHeight="1">
      <c r="B31" s="208" t="s">
        <v>4652</v>
      </c>
      <c r="C31" s="209" t="s">
        <v>133</v>
      </c>
      <c r="D31" s="210" t="s">
        <v>4554</v>
      </c>
      <c r="E31" s="210" t="s">
        <v>4646</v>
      </c>
      <c r="F31" s="210" t="s">
        <v>522</v>
      </c>
      <c r="G31" s="210" t="s">
        <v>4653</v>
      </c>
      <c r="H31" s="210" t="s">
        <v>4654</v>
      </c>
      <c r="I31" s="210" t="s">
        <v>3514</v>
      </c>
      <c r="J31" s="210" t="s">
        <v>4535</v>
      </c>
      <c r="K31" s="210" t="s">
        <v>4655</v>
      </c>
      <c r="L31" s="248" t="s">
        <v>4656</v>
      </c>
      <c r="M31" s="2745"/>
      <c r="N31" s="2589"/>
      <c r="O31" s="162"/>
      <c r="P31" s="162"/>
      <c r="Q31" s="2982"/>
      <c r="R31" s="2983"/>
      <c r="T31" s="261" t="s">
        <v>4554</v>
      </c>
      <c r="Y31" s="263"/>
      <c r="Z31" s="263"/>
    </row>
    <row r="32" spans="2:26" ht="14.25" customHeight="1">
      <c r="B32" s="233" t="s">
        <v>4657</v>
      </c>
      <c r="C32" s="234" t="s">
        <v>133</v>
      </c>
      <c r="D32" s="235" t="s">
        <v>4554</v>
      </c>
      <c r="E32" s="235" t="s">
        <v>4635</v>
      </c>
      <c r="F32" s="235" t="s">
        <v>522</v>
      </c>
      <c r="G32" s="235" t="s">
        <v>4533</v>
      </c>
      <c r="H32" s="235">
        <v>1</v>
      </c>
      <c r="I32" s="235" t="s">
        <v>3514</v>
      </c>
      <c r="J32" s="235" t="s">
        <v>3241</v>
      </c>
      <c r="K32" s="235" t="s">
        <v>4658</v>
      </c>
      <c r="L32" s="256" t="s">
        <v>4659</v>
      </c>
      <c r="M32" s="2745"/>
      <c r="N32" s="2589"/>
      <c r="O32" s="162"/>
      <c r="P32" s="162"/>
      <c r="Q32" s="2982"/>
      <c r="R32" s="2983"/>
      <c r="T32" s="261" t="s">
        <v>4554</v>
      </c>
      <c r="V32" s="179"/>
      <c r="W32" s="179"/>
      <c r="X32" s="263"/>
      <c r="Y32" s="263"/>
      <c r="Z32" s="263"/>
    </row>
    <row r="33" spans="2:26" ht="14.25" customHeight="1">
      <c r="B33" s="208" t="s">
        <v>4660</v>
      </c>
      <c r="C33" s="209" t="s">
        <v>133</v>
      </c>
      <c r="D33" s="210" t="s">
        <v>4661</v>
      </c>
      <c r="E33" s="210" t="s">
        <v>4662</v>
      </c>
      <c r="F33" s="210" t="s">
        <v>522</v>
      </c>
      <c r="G33" s="210" t="s">
        <v>4653</v>
      </c>
      <c r="H33" s="210" t="s">
        <v>4654</v>
      </c>
      <c r="I33" s="210" t="s">
        <v>3514</v>
      </c>
      <c r="J33" s="210" t="s">
        <v>4535</v>
      </c>
      <c r="K33" s="210" t="s">
        <v>4663</v>
      </c>
      <c r="L33" s="248" t="s">
        <v>4664</v>
      </c>
      <c r="M33" s="2745"/>
      <c r="N33" s="2589"/>
      <c r="O33" s="170"/>
      <c r="P33" s="170"/>
      <c r="Q33" s="2982"/>
      <c r="R33" s="2983"/>
      <c r="T33" s="261" t="s">
        <v>4661</v>
      </c>
      <c r="V33" s="179"/>
      <c r="W33" s="179"/>
      <c r="X33" s="263"/>
      <c r="Y33" s="263"/>
      <c r="Z33" s="263"/>
    </row>
    <row r="34" spans="2:26" ht="14.25" customHeight="1">
      <c r="B34" s="233" t="s">
        <v>4665</v>
      </c>
      <c r="C34" s="234" t="s">
        <v>133</v>
      </c>
      <c r="D34" s="235" t="s">
        <v>4661</v>
      </c>
      <c r="E34" s="235" t="s">
        <v>4662</v>
      </c>
      <c r="F34" s="235" t="s">
        <v>522</v>
      </c>
      <c r="G34" s="235" t="s">
        <v>4653</v>
      </c>
      <c r="H34" s="235" t="s">
        <v>4666</v>
      </c>
      <c r="I34" s="235" t="s">
        <v>4667</v>
      </c>
      <c r="J34" s="235" t="s">
        <v>4535</v>
      </c>
      <c r="K34" s="235" t="s">
        <v>4668</v>
      </c>
      <c r="L34" s="256" t="s">
        <v>4664</v>
      </c>
      <c r="M34" s="2745"/>
      <c r="N34" s="2589"/>
      <c r="O34" s="170"/>
      <c r="P34" s="170"/>
      <c r="Q34" s="2982"/>
      <c r="R34" s="2983"/>
      <c r="T34" s="261" t="s">
        <v>4661</v>
      </c>
      <c r="V34" s="263"/>
      <c r="W34" s="179"/>
      <c r="X34" s="263"/>
      <c r="Y34" s="263"/>
      <c r="Z34" s="263"/>
    </row>
    <row r="35" spans="2:26" ht="14.25" customHeight="1">
      <c r="B35" s="208" t="s">
        <v>4669</v>
      </c>
      <c r="C35" s="209" t="s">
        <v>133</v>
      </c>
      <c r="D35" s="210" t="s">
        <v>4670</v>
      </c>
      <c r="E35" s="210" t="s">
        <v>4662</v>
      </c>
      <c r="F35" s="210" t="s">
        <v>522</v>
      </c>
      <c r="G35" s="210" t="s">
        <v>4653</v>
      </c>
      <c r="H35" s="210" t="s">
        <v>4654</v>
      </c>
      <c r="I35" s="210" t="s">
        <v>3514</v>
      </c>
      <c r="J35" s="210" t="s">
        <v>12</v>
      </c>
      <c r="K35" s="210" t="s">
        <v>4671</v>
      </c>
      <c r="L35" s="248" t="s">
        <v>4672</v>
      </c>
      <c r="M35" s="2745"/>
      <c r="N35" s="2589"/>
      <c r="O35" s="170"/>
      <c r="P35" s="170"/>
      <c r="Q35" s="2982"/>
      <c r="R35" s="2983"/>
      <c r="T35" s="261" t="s">
        <v>4670</v>
      </c>
      <c r="V35" s="263"/>
      <c r="W35" s="179"/>
      <c r="X35" s="263"/>
      <c r="Y35" s="263"/>
      <c r="Z35" s="263"/>
    </row>
    <row r="36" spans="2:26" ht="14.25" customHeight="1">
      <c r="B36" s="233" t="s">
        <v>4673</v>
      </c>
      <c r="C36" s="234" t="s">
        <v>133</v>
      </c>
      <c r="D36" s="235" t="s">
        <v>405</v>
      </c>
      <c r="E36" s="235" t="s">
        <v>4662</v>
      </c>
      <c r="F36" s="235" t="s">
        <v>522</v>
      </c>
      <c r="G36" s="235" t="s">
        <v>4653</v>
      </c>
      <c r="H36" s="235" t="s">
        <v>4654</v>
      </c>
      <c r="I36" s="235" t="s">
        <v>3514</v>
      </c>
      <c r="J36" s="235" t="s">
        <v>4535</v>
      </c>
      <c r="K36" s="235" t="s">
        <v>4674</v>
      </c>
      <c r="L36" s="256" t="s">
        <v>4675</v>
      </c>
      <c r="M36" s="2745"/>
      <c r="N36" s="2589"/>
      <c r="Q36" s="2982"/>
      <c r="R36" s="2983"/>
      <c r="T36" s="261" t="s">
        <v>405</v>
      </c>
      <c r="X36" s="263"/>
      <c r="Y36" s="263"/>
      <c r="Z36" s="263"/>
    </row>
    <row r="37" spans="2:26" ht="14.25" customHeight="1">
      <c r="B37" s="208" t="s">
        <v>4676</v>
      </c>
      <c r="C37" s="209" t="s">
        <v>133</v>
      </c>
      <c r="D37" s="210" t="s">
        <v>405</v>
      </c>
      <c r="E37" s="210" t="s">
        <v>4662</v>
      </c>
      <c r="F37" s="210" t="s">
        <v>522</v>
      </c>
      <c r="G37" s="210" t="s">
        <v>4653</v>
      </c>
      <c r="H37" s="210" t="s">
        <v>4666</v>
      </c>
      <c r="I37" s="210" t="s">
        <v>4667</v>
      </c>
      <c r="J37" s="210" t="s">
        <v>4535</v>
      </c>
      <c r="K37" s="210" t="s">
        <v>4677</v>
      </c>
      <c r="L37" s="248" t="s">
        <v>4675</v>
      </c>
      <c r="M37" s="2745"/>
      <c r="N37" s="2589"/>
      <c r="Q37" s="2982"/>
      <c r="R37" s="2983"/>
      <c r="T37" s="261" t="s">
        <v>405</v>
      </c>
      <c r="X37" s="263"/>
      <c r="Y37" s="263"/>
      <c r="Z37" s="263"/>
    </row>
    <row r="38" spans="2:26" ht="14.25" customHeight="1">
      <c r="B38" s="233" t="s">
        <v>4678</v>
      </c>
      <c r="C38" s="234" t="s">
        <v>133</v>
      </c>
      <c r="D38" s="235" t="s">
        <v>405</v>
      </c>
      <c r="E38" s="235" t="s">
        <v>4662</v>
      </c>
      <c r="F38" s="235" t="s">
        <v>522</v>
      </c>
      <c r="G38" s="235" t="s">
        <v>4653</v>
      </c>
      <c r="H38" s="235" t="s">
        <v>4662</v>
      </c>
      <c r="I38" s="235" t="s">
        <v>4679</v>
      </c>
      <c r="J38" s="235" t="s">
        <v>12</v>
      </c>
      <c r="K38" s="235" t="s">
        <v>4680</v>
      </c>
      <c r="L38" s="256" t="s">
        <v>4681</v>
      </c>
      <c r="M38" s="2745"/>
      <c r="N38" s="2589" t="s">
        <v>4682</v>
      </c>
      <c r="O38" s="260"/>
      <c r="Q38" s="2982"/>
      <c r="R38" s="2983"/>
      <c r="T38" s="261" t="s">
        <v>405</v>
      </c>
      <c r="X38" s="263"/>
      <c r="Y38" s="263"/>
      <c r="Z38" s="263"/>
    </row>
    <row r="39" spans="2:26" ht="14.25" customHeight="1">
      <c r="B39" s="208" t="s">
        <v>4683</v>
      </c>
      <c r="C39" s="209" t="s">
        <v>133</v>
      </c>
      <c r="D39" s="210" t="s">
        <v>405</v>
      </c>
      <c r="E39" s="210" t="s">
        <v>4662</v>
      </c>
      <c r="F39" s="210" t="s">
        <v>522</v>
      </c>
      <c r="G39" s="210" t="s">
        <v>4653</v>
      </c>
      <c r="H39" s="210" t="s">
        <v>4684</v>
      </c>
      <c r="I39" s="210" t="s">
        <v>4679</v>
      </c>
      <c r="J39" s="210" t="s">
        <v>12</v>
      </c>
      <c r="K39" s="210" t="s">
        <v>4680</v>
      </c>
      <c r="L39" s="248" t="s">
        <v>4685</v>
      </c>
      <c r="M39" s="2745"/>
      <c r="N39" s="2589"/>
      <c r="Q39" s="2982"/>
      <c r="R39" s="2983"/>
      <c r="T39" s="261" t="s">
        <v>405</v>
      </c>
      <c r="V39" s="263"/>
      <c r="W39" s="179"/>
      <c r="X39" s="263"/>
      <c r="Y39" s="263"/>
      <c r="Z39" s="263"/>
    </row>
    <row r="40" spans="2:26" ht="14.25" customHeight="1">
      <c r="B40" s="233" t="s">
        <v>4686</v>
      </c>
      <c r="C40" s="234" t="s">
        <v>133</v>
      </c>
      <c r="D40" s="235" t="s">
        <v>405</v>
      </c>
      <c r="E40" s="235" t="s">
        <v>4662</v>
      </c>
      <c r="F40" s="235" t="s">
        <v>522</v>
      </c>
      <c r="G40" s="235" t="s">
        <v>4653</v>
      </c>
      <c r="H40" s="235" t="s">
        <v>4666</v>
      </c>
      <c r="I40" s="235" t="s">
        <v>4667</v>
      </c>
      <c r="J40" s="235" t="s">
        <v>4535</v>
      </c>
      <c r="K40" s="235" t="s">
        <v>4687</v>
      </c>
      <c r="L40" s="256" t="s">
        <v>4688</v>
      </c>
      <c r="M40" s="2745"/>
      <c r="N40" s="2589"/>
      <c r="Q40" s="2982"/>
      <c r="R40" s="2983"/>
      <c r="T40" s="261" t="s">
        <v>405</v>
      </c>
      <c r="V40" s="263"/>
      <c r="W40" s="179"/>
      <c r="X40" s="263"/>
      <c r="Y40" s="263"/>
      <c r="Z40" s="263"/>
    </row>
    <row r="41" spans="2:26" ht="14.25" customHeight="1">
      <c r="B41" s="208" t="s">
        <v>4689</v>
      </c>
      <c r="C41" s="209" t="s">
        <v>133</v>
      </c>
      <c r="D41" s="210" t="s">
        <v>405</v>
      </c>
      <c r="E41" s="210" t="s">
        <v>4662</v>
      </c>
      <c r="F41" s="210" t="s">
        <v>522</v>
      </c>
      <c r="G41" s="210" t="s">
        <v>4653</v>
      </c>
      <c r="H41" s="210" t="s">
        <v>4666</v>
      </c>
      <c r="I41" s="210" t="s">
        <v>3514</v>
      </c>
      <c r="J41" s="210" t="s">
        <v>4690</v>
      </c>
      <c r="K41" s="210" t="s">
        <v>4691</v>
      </c>
      <c r="L41" s="248" t="s">
        <v>4692</v>
      </c>
      <c r="M41" s="2745"/>
      <c r="N41" s="2589"/>
      <c r="Q41" s="2982"/>
      <c r="R41" s="2983"/>
      <c r="T41" s="261" t="s">
        <v>405</v>
      </c>
      <c r="V41" s="263"/>
      <c r="W41" s="179"/>
      <c r="X41" s="263"/>
      <c r="Y41" s="263"/>
      <c r="Z41" s="263"/>
    </row>
    <row r="42" spans="2:26" ht="14.25" customHeight="1">
      <c r="B42" s="233" t="s">
        <v>4693</v>
      </c>
      <c r="C42" s="234" t="s">
        <v>133</v>
      </c>
      <c r="D42" s="235" t="s">
        <v>4694</v>
      </c>
      <c r="E42" s="235" t="s">
        <v>4662</v>
      </c>
      <c r="F42" s="235" t="s">
        <v>522</v>
      </c>
      <c r="G42" s="235" t="s">
        <v>4653</v>
      </c>
      <c r="H42" s="235" t="s">
        <v>4654</v>
      </c>
      <c r="I42" s="235" t="s">
        <v>3514</v>
      </c>
      <c r="J42" s="235" t="s">
        <v>12</v>
      </c>
      <c r="K42" s="235">
        <v>475</v>
      </c>
      <c r="L42" s="256" t="s">
        <v>4695</v>
      </c>
      <c r="M42" s="2745"/>
      <c r="N42" s="2589"/>
      <c r="Q42" s="2982"/>
      <c r="R42" s="2983"/>
      <c r="T42" s="261" t="s">
        <v>4694</v>
      </c>
      <c r="V42" s="263"/>
      <c r="W42" s="179"/>
      <c r="X42" s="263"/>
      <c r="Y42" s="263"/>
      <c r="Z42" s="263"/>
    </row>
    <row r="43" spans="2:26" ht="14.25" customHeight="1">
      <c r="B43" s="208" t="s">
        <v>4696</v>
      </c>
      <c r="C43" s="209" t="s">
        <v>133</v>
      </c>
      <c r="D43" s="210" t="s">
        <v>4697</v>
      </c>
      <c r="E43" s="210" t="s">
        <v>4662</v>
      </c>
      <c r="F43" s="210" t="s">
        <v>522</v>
      </c>
      <c r="G43" s="210" t="s">
        <v>4653</v>
      </c>
      <c r="H43" s="210" t="s">
        <v>4654</v>
      </c>
      <c r="I43" s="210" t="s">
        <v>3514</v>
      </c>
      <c r="J43" s="210" t="s">
        <v>4535</v>
      </c>
      <c r="K43" s="210" t="s">
        <v>4648</v>
      </c>
      <c r="L43" s="248" t="s">
        <v>4698</v>
      </c>
      <c r="M43" s="2745"/>
      <c r="N43" s="2589"/>
      <c r="Q43" s="2982"/>
      <c r="R43" s="2983"/>
      <c r="T43" s="261" t="s">
        <v>4697</v>
      </c>
      <c r="V43" s="263"/>
      <c r="W43" s="179"/>
      <c r="X43" s="263"/>
      <c r="Y43" s="263"/>
      <c r="Z43" s="263"/>
    </row>
    <row r="44" spans="2:26" ht="14.25" customHeight="1">
      <c r="B44" s="233" t="s">
        <v>4699</v>
      </c>
      <c r="C44" s="234" t="s">
        <v>133</v>
      </c>
      <c r="D44" s="235" t="s">
        <v>4697</v>
      </c>
      <c r="E44" s="235" t="s">
        <v>4662</v>
      </c>
      <c r="F44" s="235" t="s">
        <v>522</v>
      </c>
      <c r="G44" s="235" t="s">
        <v>4653</v>
      </c>
      <c r="H44" s="235" t="s">
        <v>4700</v>
      </c>
      <c r="I44" s="235" t="s">
        <v>3514</v>
      </c>
      <c r="J44" s="235" t="s">
        <v>4535</v>
      </c>
      <c r="K44" s="235" t="s">
        <v>4701</v>
      </c>
      <c r="L44" s="256" t="s">
        <v>4698</v>
      </c>
      <c r="M44" s="2745"/>
      <c r="N44" s="2589"/>
      <c r="Q44" s="2982"/>
      <c r="R44" s="2983"/>
      <c r="T44" s="261" t="s">
        <v>4697</v>
      </c>
      <c r="V44" s="263"/>
      <c r="W44" s="179"/>
      <c r="X44" s="263"/>
      <c r="Y44" s="263"/>
      <c r="Z44" s="263"/>
    </row>
    <row r="45" spans="2:26" ht="14.25" customHeight="1">
      <c r="B45" s="233" t="s">
        <v>4702</v>
      </c>
      <c r="C45" s="234" t="s">
        <v>133</v>
      </c>
      <c r="D45" s="235" t="s">
        <v>4703</v>
      </c>
      <c r="E45" s="235" t="s">
        <v>4662</v>
      </c>
      <c r="F45" s="235" t="s">
        <v>522</v>
      </c>
      <c r="G45" s="235" t="s">
        <v>4653</v>
      </c>
      <c r="H45" s="235" t="s">
        <v>4700</v>
      </c>
      <c r="I45" s="235" t="s">
        <v>4704</v>
      </c>
      <c r="J45" s="235" t="s">
        <v>12</v>
      </c>
      <c r="K45" s="235">
        <v>650</v>
      </c>
      <c r="L45" s="256" t="s">
        <v>4705</v>
      </c>
      <c r="M45" s="2746"/>
      <c r="N45" s="2590"/>
      <c r="Q45" s="2982"/>
      <c r="R45" s="2983"/>
      <c r="T45" s="261" t="s">
        <v>4703</v>
      </c>
      <c r="V45" s="263"/>
      <c r="W45" s="179"/>
      <c r="X45" s="263"/>
      <c r="Y45" s="263"/>
      <c r="Z45" s="263"/>
    </row>
    <row r="46" spans="2:26" ht="14.25" customHeight="1">
      <c r="B46" s="236" t="s">
        <v>4706</v>
      </c>
      <c r="C46" s="237" t="s">
        <v>374</v>
      </c>
      <c r="D46" s="238" t="s">
        <v>4707</v>
      </c>
      <c r="E46" s="238" t="s">
        <v>4708</v>
      </c>
      <c r="F46" s="238" t="s">
        <v>522</v>
      </c>
      <c r="G46" s="238" t="s">
        <v>4647</v>
      </c>
      <c r="H46" s="238" t="s">
        <v>4533</v>
      </c>
      <c r="I46" s="238" t="s">
        <v>4556</v>
      </c>
      <c r="J46" s="238" t="s">
        <v>4616</v>
      </c>
      <c r="K46" s="238" t="s">
        <v>4709</v>
      </c>
      <c r="L46" s="257" t="s">
        <v>4710</v>
      </c>
      <c r="M46" s="2747" t="s">
        <v>375</v>
      </c>
      <c r="N46" s="2591" t="s">
        <v>4711</v>
      </c>
      <c r="O46" s="2604" t="s">
        <v>4712</v>
      </c>
      <c r="P46" s="2605"/>
      <c r="Q46" s="2982"/>
      <c r="R46" s="2983"/>
      <c r="T46" s="261" t="s">
        <v>4707</v>
      </c>
      <c r="V46" s="263"/>
      <c r="W46" s="179"/>
      <c r="X46" s="263"/>
      <c r="Y46" s="263"/>
      <c r="Z46" s="263"/>
    </row>
    <row r="47" spans="2:26" ht="14.25" customHeight="1">
      <c r="B47" s="208" t="s">
        <v>4713</v>
      </c>
      <c r="C47" s="209" t="s">
        <v>374</v>
      </c>
      <c r="D47" s="210" t="s">
        <v>4645</v>
      </c>
      <c r="E47" s="210" t="s">
        <v>4714</v>
      </c>
      <c r="F47" s="210" t="s">
        <v>522</v>
      </c>
      <c r="G47" s="210" t="s">
        <v>4533</v>
      </c>
      <c r="H47" s="210" t="s">
        <v>4654</v>
      </c>
      <c r="I47" s="210" t="s">
        <v>4667</v>
      </c>
      <c r="J47" s="210" t="s">
        <v>4535</v>
      </c>
      <c r="K47" s="210" t="s">
        <v>4715</v>
      </c>
      <c r="L47" s="248" t="s">
        <v>4656</v>
      </c>
      <c r="M47" s="2748"/>
      <c r="N47" s="2592"/>
      <c r="O47" s="2606"/>
      <c r="P47" s="2607"/>
      <c r="Q47" s="2982"/>
      <c r="R47" s="2983"/>
      <c r="T47" s="261" t="s">
        <v>4645</v>
      </c>
      <c r="V47" s="263"/>
      <c r="W47" s="179"/>
      <c r="X47" s="263"/>
      <c r="Y47" s="263"/>
      <c r="Z47" s="263"/>
    </row>
    <row r="48" spans="2:26" ht="14.25" customHeight="1">
      <c r="B48" s="236" t="s">
        <v>4716</v>
      </c>
      <c r="C48" s="237" t="s">
        <v>374</v>
      </c>
      <c r="D48" s="238" t="s">
        <v>4717</v>
      </c>
      <c r="E48" s="238" t="s">
        <v>3504</v>
      </c>
      <c r="F48" s="238" t="s">
        <v>522</v>
      </c>
      <c r="G48" s="238" t="s">
        <v>4533</v>
      </c>
      <c r="H48" s="238" t="s">
        <v>4654</v>
      </c>
      <c r="I48" s="238" t="s">
        <v>4679</v>
      </c>
      <c r="J48" s="238" t="s">
        <v>4535</v>
      </c>
      <c r="K48" s="238" t="s">
        <v>4718</v>
      </c>
      <c r="L48" s="257" t="s">
        <v>4719</v>
      </c>
      <c r="M48" s="2748"/>
      <c r="N48" s="2592"/>
      <c r="O48" s="2606"/>
      <c r="P48" s="2607"/>
      <c r="Q48" s="2982"/>
      <c r="R48" s="2983"/>
      <c r="T48" s="261" t="s">
        <v>4717</v>
      </c>
      <c r="V48" s="263"/>
      <c r="W48" s="179"/>
      <c r="X48" s="263"/>
      <c r="Y48" s="263"/>
      <c r="Z48" s="263"/>
    </row>
    <row r="49" spans="2:26" ht="14.25" customHeight="1">
      <c r="B49" s="208" t="s">
        <v>4720</v>
      </c>
      <c r="C49" s="209" t="s">
        <v>374</v>
      </c>
      <c r="D49" s="210" t="s">
        <v>4721</v>
      </c>
      <c r="E49" s="210" t="s">
        <v>4722</v>
      </c>
      <c r="F49" s="210" t="s">
        <v>522</v>
      </c>
      <c r="G49" s="210" t="s">
        <v>4723</v>
      </c>
      <c r="H49" s="210" t="s">
        <v>4533</v>
      </c>
      <c r="I49" s="210" t="s">
        <v>3514</v>
      </c>
      <c r="J49" s="210" t="s">
        <v>3241</v>
      </c>
      <c r="K49" s="210" t="s">
        <v>4724</v>
      </c>
      <c r="L49" s="248" t="s">
        <v>4725</v>
      </c>
      <c r="M49" s="2748"/>
      <c r="N49" s="2592"/>
      <c r="O49" s="2606"/>
      <c r="P49" s="2607"/>
      <c r="Q49" s="2982"/>
      <c r="R49" s="2983"/>
      <c r="T49" s="261" t="s">
        <v>4721</v>
      </c>
      <c r="V49" s="263"/>
      <c r="W49" s="179"/>
      <c r="X49" s="263"/>
      <c r="Y49" s="263"/>
      <c r="Z49" s="263"/>
    </row>
    <row r="50" spans="2:26" ht="14.25" customHeight="1">
      <c r="B50" s="239" t="s">
        <v>4726</v>
      </c>
      <c r="C50" s="240" t="s">
        <v>374</v>
      </c>
      <c r="D50" s="241" t="s">
        <v>4727</v>
      </c>
      <c r="E50" s="241" t="s">
        <v>4728</v>
      </c>
      <c r="F50" s="241" t="s">
        <v>522</v>
      </c>
      <c r="G50" s="241" t="s">
        <v>4723</v>
      </c>
      <c r="H50" s="241" t="s">
        <v>4533</v>
      </c>
      <c r="I50" s="241" t="s">
        <v>4729</v>
      </c>
      <c r="J50" s="241" t="s">
        <v>3241</v>
      </c>
      <c r="K50" s="241" t="s">
        <v>4730</v>
      </c>
      <c r="L50" s="258" t="s">
        <v>92</v>
      </c>
      <c r="M50" s="2748"/>
      <c r="N50" s="2592"/>
      <c r="O50" s="2606"/>
      <c r="P50" s="2607"/>
      <c r="Q50" s="2982"/>
      <c r="R50" s="2983"/>
      <c r="T50" s="261" t="s">
        <v>4727</v>
      </c>
      <c r="V50" s="263"/>
      <c r="W50" s="179"/>
      <c r="X50" s="263"/>
      <c r="Y50" s="263"/>
      <c r="Z50" s="263"/>
    </row>
    <row r="51" spans="2:26" ht="14.25" customHeight="1">
      <c r="B51" s="236" t="s">
        <v>4731</v>
      </c>
      <c r="C51" s="237" t="s">
        <v>374</v>
      </c>
      <c r="D51" s="238" t="s">
        <v>4732</v>
      </c>
      <c r="E51" s="238" t="s">
        <v>4733</v>
      </c>
      <c r="F51" s="238" t="s">
        <v>522</v>
      </c>
      <c r="G51" s="238" t="s">
        <v>4533</v>
      </c>
      <c r="H51" s="238" t="s">
        <v>4666</v>
      </c>
      <c r="I51" s="238" t="s">
        <v>3514</v>
      </c>
      <c r="J51" s="238" t="s">
        <v>4734</v>
      </c>
      <c r="K51" s="238" t="s">
        <v>4735</v>
      </c>
      <c r="L51" s="257" t="s">
        <v>4736</v>
      </c>
      <c r="M51" s="2748"/>
      <c r="N51" s="2592"/>
      <c r="O51" s="2606"/>
      <c r="P51" s="2607"/>
      <c r="Q51" s="2982"/>
      <c r="R51" s="2983"/>
      <c r="T51" s="261" t="s">
        <v>4732</v>
      </c>
    </row>
    <row r="52" spans="2:26" ht="14.25" customHeight="1">
      <c r="B52" s="174" t="s">
        <v>4737</v>
      </c>
      <c r="C52" s="242" t="s">
        <v>374</v>
      </c>
      <c r="D52" s="175" t="s">
        <v>4727</v>
      </c>
      <c r="E52" s="175" t="s">
        <v>4738</v>
      </c>
      <c r="F52" s="175" t="s">
        <v>522</v>
      </c>
      <c r="G52" s="175" t="s">
        <v>4739</v>
      </c>
      <c r="H52" s="175" t="s">
        <v>4646</v>
      </c>
      <c r="I52" s="175" t="s">
        <v>4534</v>
      </c>
      <c r="J52" s="175" t="s">
        <v>12</v>
      </c>
      <c r="K52" s="175" t="s">
        <v>3523</v>
      </c>
      <c r="L52" s="191" t="s">
        <v>4740</v>
      </c>
      <c r="M52" s="2748"/>
      <c r="N52" s="2592"/>
      <c r="O52" s="2606"/>
      <c r="P52" s="2607"/>
      <c r="Q52" s="2982"/>
      <c r="R52" s="2983"/>
      <c r="T52" s="261" t="s">
        <v>4727</v>
      </c>
      <c r="V52" s="263"/>
      <c r="W52" s="179"/>
      <c r="X52" s="263"/>
      <c r="Y52" s="263"/>
      <c r="Z52" s="263"/>
    </row>
    <row r="53" spans="2:26" ht="14.25" customHeight="1">
      <c r="B53" s="236" t="s">
        <v>4741</v>
      </c>
      <c r="C53" s="237" t="s">
        <v>374</v>
      </c>
      <c r="D53" s="238" t="s">
        <v>4732</v>
      </c>
      <c r="E53" s="238" t="s">
        <v>4733</v>
      </c>
      <c r="F53" s="238" t="s">
        <v>522</v>
      </c>
      <c r="G53" s="238" t="s">
        <v>4533</v>
      </c>
      <c r="H53" s="238" t="s">
        <v>4742</v>
      </c>
      <c r="I53" s="238" t="s">
        <v>3514</v>
      </c>
      <c r="J53" s="238" t="s">
        <v>4535</v>
      </c>
      <c r="K53" s="238" t="s">
        <v>4743</v>
      </c>
      <c r="L53" s="257" t="s">
        <v>4744</v>
      </c>
      <c r="M53" s="2748"/>
      <c r="N53" s="2592"/>
      <c r="O53" s="2606"/>
      <c r="P53" s="2607"/>
      <c r="Q53" s="2982"/>
      <c r="R53" s="2983"/>
      <c r="T53" s="261" t="s">
        <v>4732</v>
      </c>
      <c r="V53" s="263"/>
      <c r="W53" s="179"/>
      <c r="X53" s="263"/>
      <c r="Y53" s="263"/>
      <c r="Z53" s="263"/>
    </row>
    <row r="54" spans="2:26" ht="14.25" customHeight="1">
      <c r="B54" s="174" t="s">
        <v>4745</v>
      </c>
      <c r="C54" s="242" t="s">
        <v>374</v>
      </c>
      <c r="D54" s="175" t="s">
        <v>4732</v>
      </c>
      <c r="E54" s="175" t="s">
        <v>4733</v>
      </c>
      <c r="F54" s="175" t="s">
        <v>522</v>
      </c>
      <c r="G54" s="175" t="s">
        <v>4533</v>
      </c>
      <c r="H54" s="175" t="s">
        <v>4742</v>
      </c>
      <c r="I54" s="175" t="s">
        <v>3514</v>
      </c>
      <c r="J54" s="175" t="s">
        <v>4535</v>
      </c>
      <c r="K54" s="175" t="s">
        <v>4746</v>
      </c>
      <c r="L54" s="191" t="s">
        <v>4719</v>
      </c>
      <c r="M54" s="2748"/>
      <c r="N54" s="2592"/>
      <c r="O54" s="2606"/>
      <c r="P54" s="2607"/>
      <c r="Q54" s="2982"/>
      <c r="R54" s="2983"/>
      <c r="T54" s="261" t="s">
        <v>4732</v>
      </c>
      <c r="V54" s="263"/>
      <c r="W54" s="179"/>
      <c r="X54" s="263"/>
      <c r="Y54" s="263"/>
      <c r="Z54" s="263"/>
    </row>
    <row r="55" spans="2:26" ht="14.25" customHeight="1">
      <c r="B55" s="236" t="s">
        <v>4747</v>
      </c>
      <c r="C55" s="237" t="s">
        <v>374</v>
      </c>
      <c r="D55" s="238" t="s">
        <v>4732</v>
      </c>
      <c r="E55" s="238" t="s">
        <v>4733</v>
      </c>
      <c r="F55" s="238" t="s">
        <v>522</v>
      </c>
      <c r="G55" s="238" t="s">
        <v>4533</v>
      </c>
      <c r="H55" s="238" t="s">
        <v>4742</v>
      </c>
      <c r="I55" s="238" t="s">
        <v>3514</v>
      </c>
      <c r="J55" s="238" t="s">
        <v>12</v>
      </c>
      <c r="K55" s="238" t="s">
        <v>4748</v>
      </c>
      <c r="L55" s="257" t="s">
        <v>4749</v>
      </c>
      <c r="M55" s="2748"/>
      <c r="N55" s="2592"/>
      <c r="O55" s="2606"/>
      <c r="P55" s="2607"/>
      <c r="Q55" s="2982"/>
      <c r="R55" s="2983"/>
      <c r="T55" s="261" t="s">
        <v>4732</v>
      </c>
      <c r="V55" s="263"/>
      <c r="W55" s="179"/>
      <c r="X55" s="263"/>
      <c r="Y55" s="263"/>
      <c r="Z55" s="263"/>
    </row>
    <row r="56" spans="2:26" ht="14.25" customHeight="1">
      <c r="B56" s="174" t="s">
        <v>4750</v>
      </c>
      <c r="C56" s="242" t="s">
        <v>374</v>
      </c>
      <c r="D56" s="175" t="s">
        <v>4751</v>
      </c>
      <c r="E56" s="175" t="s">
        <v>4733</v>
      </c>
      <c r="F56" s="175" t="s">
        <v>522</v>
      </c>
      <c r="G56" s="175" t="s">
        <v>4533</v>
      </c>
      <c r="H56" s="175" t="s">
        <v>4742</v>
      </c>
      <c r="I56" s="175" t="s">
        <v>4679</v>
      </c>
      <c r="J56" s="175" t="s">
        <v>12</v>
      </c>
      <c r="K56" s="175">
        <v>400</v>
      </c>
      <c r="L56" s="191" t="s">
        <v>4594</v>
      </c>
      <c r="M56" s="2748"/>
      <c r="N56" s="2592"/>
      <c r="O56" s="2606"/>
      <c r="P56" s="2607"/>
      <c r="Q56" s="2982"/>
      <c r="R56" s="2983"/>
      <c r="T56" s="261" t="s">
        <v>4751</v>
      </c>
      <c r="V56" s="263"/>
      <c r="W56" s="179"/>
      <c r="X56" s="263"/>
      <c r="Y56" s="263"/>
      <c r="Z56" s="263"/>
    </row>
    <row r="57" spans="2:26" ht="14.25" customHeight="1">
      <c r="B57" s="243" t="s">
        <v>4752</v>
      </c>
      <c r="C57" s="244" t="s">
        <v>374</v>
      </c>
      <c r="D57" s="245" t="s">
        <v>4753</v>
      </c>
      <c r="E57" s="245" t="s">
        <v>3514</v>
      </c>
      <c r="F57" s="245" t="s">
        <v>522</v>
      </c>
      <c r="G57" s="245" t="s">
        <v>4754</v>
      </c>
      <c r="H57" s="245" t="s">
        <v>4609</v>
      </c>
      <c r="I57" s="245" t="s">
        <v>3514</v>
      </c>
      <c r="J57" s="245" t="s">
        <v>4535</v>
      </c>
      <c r="K57" s="245" t="s">
        <v>4755</v>
      </c>
      <c r="L57" s="259" t="s">
        <v>92</v>
      </c>
      <c r="M57" s="2748"/>
      <c r="N57" s="2592"/>
      <c r="O57" s="2606"/>
      <c r="P57" s="2607"/>
      <c r="Q57" s="2982"/>
      <c r="R57" s="2983"/>
      <c r="T57" s="261" t="s">
        <v>4753</v>
      </c>
      <c r="V57" s="263"/>
      <c r="W57" s="179"/>
      <c r="X57" s="263"/>
      <c r="Y57" s="263"/>
      <c r="Z57" s="263"/>
    </row>
    <row r="58" spans="2:26" ht="14.25" customHeight="1">
      <c r="B58" s="236" t="s">
        <v>4756</v>
      </c>
      <c r="C58" s="237" t="s">
        <v>374</v>
      </c>
      <c r="D58" s="238" t="s">
        <v>4757</v>
      </c>
      <c r="E58" s="238" t="s">
        <v>4758</v>
      </c>
      <c r="F58" s="238" t="s">
        <v>491</v>
      </c>
      <c r="G58" s="238" t="s">
        <v>4754</v>
      </c>
      <c r="H58" s="238" t="s">
        <v>4609</v>
      </c>
      <c r="I58" s="238" t="s">
        <v>3514</v>
      </c>
      <c r="J58" s="238" t="s">
        <v>3241</v>
      </c>
      <c r="K58" s="238" t="s">
        <v>4759</v>
      </c>
      <c r="L58" s="2740" t="s">
        <v>4760</v>
      </c>
      <c r="M58" s="2749" t="s">
        <v>4761</v>
      </c>
      <c r="N58" s="2593" t="s">
        <v>4762</v>
      </c>
      <c r="O58" s="3008" t="s">
        <v>4763</v>
      </c>
      <c r="P58" s="2797" t="s">
        <v>4764</v>
      </c>
      <c r="Q58" s="2982"/>
      <c r="R58" s="2983"/>
      <c r="T58" s="261" t="s">
        <v>4717</v>
      </c>
      <c r="V58" s="263"/>
      <c r="W58" s="179"/>
      <c r="X58" s="263"/>
      <c r="Y58" s="263"/>
      <c r="Z58" s="263"/>
    </row>
    <row r="59" spans="2:26" ht="14.25" customHeight="1">
      <c r="B59" s="208" t="s">
        <v>4765</v>
      </c>
      <c r="C59" s="209" t="s">
        <v>374</v>
      </c>
      <c r="D59" s="210" t="s">
        <v>4766</v>
      </c>
      <c r="E59" s="210" t="s">
        <v>4758</v>
      </c>
      <c r="F59" s="210" t="s">
        <v>491</v>
      </c>
      <c r="G59" s="210" t="s">
        <v>4754</v>
      </c>
      <c r="H59" s="210" t="s">
        <v>4609</v>
      </c>
      <c r="I59" s="210" t="s">
        <v>3514</v>
      </c>
      <c r="J59" s="210" t="s">
        <v>3241</v>
      </c>
      <c r="K59" s="210" t="s">
        <v>4767</v>
      </c>
      <c r="L59" s="2741"/>
      <c r="M59" s="2750"/>
      <c r="N59" s="2594"/>
      <c r="O59" s="3009"/>
      <c r="P59" s="2594"/>
      <c r="Q59" s="2982"/>
      <c r="R59" s="2983"/>
      <c r="T59" s="261" t="s">
        <v>4768</v>
      </c>
      <c r="V59" s="263"/>
      <c r="W59" s="179"/>
      <c r="X59" s="263"/>
      <c r="Y59" s="263"/>
      <c r="Z59" s="263"/>
    </row>
    <row r="60" spans="2:26" ht="14.25" customHeight="1">
      <c r="B60" s="236" t="s">
        <v>4769</v>
      </c>
      <c r="C60" s="237" t="s">
        <v>374</v>
      </c>
      <c r="D60" s="238" t="s">
        <v>4770</v>
      </c>
      <c r="E60" s="238" t="s">
        <v>4758</v>
      </c>
      <c r="F60" s="238" t="s">
        <v>491</v>
      </c>
      <c r="G60" s="238" t="s">
        <v>4754</v>
      </c>
      <c r="H60" s="238" t="s">
        <v>4609</v>
      </c>
      <c r="I60" s="238" t="s">
        <v>3514</v>
      </c>
      <c r="J60" s="238" t="s">
        <v>4535</v>
      </c>
      <c r="K60" s="238" t="s">
        <v>4771</v>
      </c>
      <c r="L60" s="2741"/>
      <c r="M60" s="2750"/>
      <c r="N60" s="2594"/>
      <c r="O60" s="3009"/>
      <c r="P60" s="2594"/>
      <c r="Q60" s="2982"/>
      <c r="R60" s="2983"/>
      <c r="T60" s="261" t="s">
        <v>4772</v>
      </c>
      <c r="V60" s="263"/>
      <c r="W60" s="179"/>
      <c r="X60" s="263"/>
      <c r="Y60" s="263"/>
      <c r="Z60" s="263"/>
    </row>
    <row r="61" spans="2:26" ht="14.25" customHeight="1">
      <c r="B61" s="208" t="s">
        <v>4773</v>
      </c>
      <c r="C61" s="209" t="s">
        <v>374</v>
      </c>
      <c r="D61" s="210" t="s">
        <v>4770</v>
      </c>
      <c r="E61" s="210" t="s">
        <v>4758</v>
      </c>
      <c r="F61" s="210" t="s">
        <v>491</v>
      </c>
      <c r="G61" s="210" t="s">
        <v>4533</v>
      </c>
      <c r="H61" s="210" t="s">
        <v>4742</v>
      </c>
      <c r="I61" s="210" t="s">
        <v>3514</v>
      </c>
      <c r="J61" s="210" t="s">
        <v>12</v>
      </c>
      <c r="K61" s="210" t="s">
        <v>4774</v>
      </c>
      <c r="L61" s="2741"/>
      <c r="M61" s="2750"/>
      <c r="N61" s="2594"/>
      <c r="O61" s="3009"/>
      <c r="P61" s="2594"/>
      <c r="Q61" s="2982"/>
      <c r="R61" s="2983"/>
      <c r="T61" s="261" t="s">
        <v>4772</v>
      </c>
    </row>
    <row r="62" spans="2:26" ht="14.25" customHeight="1">
      <c r="B62" s="236" t="s">
        <v>4775</v>
      </c>
      <c r="C62" s="237" t="s">
        <v>374</v>
      </c>
      <c r="D62" s="238" t="s">
        <v>4770</v>
      </c>
      <c r="E62" s="238" t="s">
        <v>4758</v>
      </c>
      <c r="F62" s="238" t="s">
        <v>491</v>
      </c>
      <c r="G62" s="238" t="s">
        <v>4739</v>
      </c>
      <c r="H62" s="238" t="s">
        <v>4742</v>
      </c>
      <c r="I62" s="238" t="s">
        <v>3514</v>
      </c>
      <c r="J62" s="238" t="s">
        <v>12</v>
      </c>
      <c r="K62" s="238" t="s">
        <v>4774</v>
      </c>
      <c r="L62" s="2741"/>
      <c r="M62" s="2750"/>
      <c r="N62" s="2594"/>
      <c r="O62" s="3009"/>
      <c r="P62" s="2594"/>
      <c r="Q62" s="2982"/>
      <c r="R62" s="2983"/>
      <c r="T62" s="261" t="s">
        <v>4772</v>
      </c>
      <c r="V62" s="263"/>
      <c r="W62" s="179"/>
      <c r="X62" s="263"/>
      <c r="Y62" s="263"/>
      <c r="Z62" s="263"/>
    </row>
    <row r="63" spans="2:26" ht="14.25" customHeight="1">
      <c r="B63" s="208" t="s">
        <v>4776</v>
      </c>
      <c r="C63" s="209" t="s">
        <v>374</v>
      </c>
      <c r="D63" s="210" t="s">
        <v>4777</v>
      </c>
      <c r="E63" s="210" t="s">
        <v>4642</v>
      </c>
      <c r="F63" s="210" t="s">
        <v>491</v>
      </c>
      <c r="G63" s="210" t="s">
        <v>4754</v>
      </c>
      <c r="H63" s="210" t="s">
        <v>4609</v>
      </c>
      <c r="I63" s="210" t="s">
        <v>3514</v>
      </c>
      <c r="J63" s="210" t="s">
        <v>3241</v>
      </c>
      <c r="K63" s="210" t="s">
        <v>4778</v>
      </c>
      <c r="L63" s="2741"/>
      <c r="M63" s="2750"/>
      <c r="N63" s="2594"/>
      <c r="O63" s="3009"/>
      <c r="P63" s="2594"/>
      <c r="Q63" s="2982"/>
      <c r="R63" s="2983"/>
      <c r="T63" s="261" t="s">
        <v>4772</v>
      </c>
    </row>
    <row r="64" spans="2:26" ht="14.25" customHeight="1">
      <c r="B64" s="236" t="s">
        <v>4779</v>
      </c>
      <c r="C64" s="237" t="s">
        <v>374</v>
      </c>
      <c r="D64" s="238" t="s">
        <v>4780</v>
      </c>
      <c r="E64" s="238" t="s">
        <v>4758</v>
      </c>
      <c r="F64" s="238" t="s">
        <v>491</v>
      </c>
      <c r="G64" s="238" t="s">
        <v>4754</v>
      </c>
      <c r="H64" s="238" t="s">
        <v>4609</v>
      </c>
      <c r="I64" s="238" t="s">
        <v>3514</v>
      </c>
      <c r="J64" s="238" t="s">
        <v>4781</v>
      </c>
      <c r="K64" s="238" t="s">
        <v>4782</v>
      </c>
      <c r="L64" s="2741"/>
      <c r="M64" s="2750"/>
      <c r="N64" s="2594"/>
      <c r="O64" s="3009"/>
      <c r="P64" s="2594"/>
      <c r="Q64" s="2982"/>
      <c r="R64" s="2983"/>
      <c r="T64" s="261" t="s">
        <v>4783</v>
      </c>
    </row>
    <row r="65" spans="2:26" ht="14.25" customHeight="1">
      <c r="B65" s="208" t="s">
        <v>4784</v>
      </c>
      <c r="C65" s="209" t="s">
        <v>374</v>
      </c>
      <c r="D65" s="210" t="s">
        <v>4770</v>
      </c>
      <c r="E65" s="210" t="s">
        <v>4758</v>
      </c>
      <c r="F65" s="210" t="s">
        <v>491</v>
      </c>
      <c r="G65" s="210" t="s">
        <v>4739</v>
      </c>
      <c r="H65" s="210" t="s">
        <v>4700</v>
      </c>
      <c r="I65" s="210" t="s">
        <v>3514</v>
      </c>
      <c r="J65" s="210" t="s">
        <v>12</v>
      </c>
      <c r="K65" s="210" t="s">
        <v>4785</v>
      </c>
      <c r="L65" s="2741"/>
      <c r="M65" s="2750"/>
      <c r="N65" s="2594"/>
      <c r="O65" s="3009"/>
      <c r="P65" s="2594"/>
      <c r="Q65" s="2982"/>
      <c r="R65" s="2983"/>
      <c r="T65" s="261" t="s">
        <v>4772</v>
      </c>
    </row>
    <row r="66" spans="2:26" ht="14.25" customHeight="1">
      <c r="B66" s="236" t="s">
        <v>4786</v>
      </c>
      <c r="C66" s="237" t="s">
        <v>374</v>
      </c>
      <c r="D66" s="238" t="s">
        <v>4770</v>
      </c>
      <c r="E66" s="238" t="s">
        <v>4758</v>
      </c>
      <c r="F66" s="238" t="s">
        <v>491</v>
      </c>
      <c r="G66" s="238" t="s">
        <v>4533</v>
      </c>
      <c r="H66" s="238" t="s">
        <v>4666</v>
      </c>
      <c r="I66" s="238" t="s">
        <v>4679</v>
      </c>
      <c r="J66" s="238" t="s">
        <v>12</v>
      </c>
      <c r="K66" s="238" t="s">
        <v>4787</v>
      </c>
      <c r="L66" s="257" t="s">
        <v>4788</v>
      </c>
      <c r="M66" s="2751"/>
      <c r="N66" s="2595"/>
      <c r="O66" s="3010"/>
      <c r="P66" s="2595"/>
      <c r="Q66" s="2984"/>
      <c r="R66" s="2985"/>
      <c r="T66" s="261" t="s">
        <v>4772</v>
      </c>
    </row>
    <row r="67" spans="2:26" ht="14.25" customHeight="1">
      <c r="B67" s="265" t="s">
        <v>4789</v>
      </c>
      <c r="C67" s="266" t="s">
        <v>374</v>
      </c>
      <c r="D67" s="267" t="s">
        <v>4727</v>
      </c>
      <c r="E67" s="267" t="s">
        <v>3514</v>
      </c>
      <c r="F67" s="267" t="s">
        <v>522</v>
      </c>
      <c r="G67" s="267" t="s">
        <v>4790</v>
      </c>
      <c r="H67" s="267" t="s">
        <v>4714</v>
      </c>
      <c r="I67" s="267" t="s">
        <v>3514</v>
      </c>
      <c r="J67" s="267" t="s">
        <v>12</v>
      </c>
      <c r="K67" s="267" t="s">
        <v>4630</v>
      </c>
      <c r="L67" s="289" t="s">
        <v>4791</v>
      </c>
      <c r="M67" s="2752" t="s">
        <v>4792</v>
      </c>
      <c r="N67" s="2596" t="s">
        <v>4793</v>
      </c>
      <c r="Q67" s="2620" t="s">
        <v>4794</v>
      </c>
      <c r="R67" s="2621"/>
      <c r="T67" s="261" t="s">
        <v>4727</v>
      </c>
    </row>
    <row r="68" spans="2:26" ht="14.25" customHeight="1">
      <c r="B68" s="208" t="s">
        <v>4795</v>
      </c>
      <c r="C68" s="209" t="s">
        <v>374</v>
      </c>
      <c r="D68" s="210" t="s">
        <v>4727</v>
      </c>
      <c r="E68" s="210" t="s">
        <v>4733</v>
      </c>
      <c r="F68" s="210" t="s">
        <v>522</v>
      </c>
      <c r="G68" s="210" t="s">
        <v>4790</v>
      </c>
      <c r="H68" s="210" t="s">
        <v>4714</v>
      </c>
      <c r="I68" s="210" t="s">
        <v>4534</v>
      </c>
      <c r="J68" s="210" t="s">
        <v>12</v>
      </c>
      <c r="K68" s="210" t="s">
        <v>4796</v>
      </c>
      <c r="L68" s="248" t="s">
        <v>4637</v>
      </c>
      <c r="M68" s="2753"/>
      <c r="N68" s="2596"/>
      <c r="Q68" s="2622"/>
      <c r="R68" s="2623"/>
      <c r="T68" s="261" t="s">
        <v>4717</v>
      </c>
    </row>
    <row r="69" spans="2:26" ht="14.25" customHeight="1">
      <c r="B69" s="265" t="s">
        <v>4797</v>
      </c>
      <c r="C69" s="266" t="s">
        <v>374</v>
      </c>
      <c r="D69" s="267" t="s">
        <v>4798</v>
      </c>
      <c r="E69" s="267" t="s">
        <v>4799</v>
      </c>
      <c r="F69" s="267" t="s">
        <v>522</v>
      </c>
      <c r="G69" s="267" t="s">
        <v>4533</v>
      </c>
      <c r="H69" s="267" t="s">
        <v>4800</v>
      </c>
      <c r="I69" s="267" t="s">
        <v>4573</v>
      </c>
      <c r="J69" s="267" t="s">
        <v>12</v>
      </c>
      <c r="K69" s="267" t="s">
        <v>4801</v>
      </c>
      <c r="L69" s="289" t="s">
        <v>4802</v>
      </c>
      <c r="M69" s="2753"/>
      <c r="N69" s="2596"/>
      <c r="Q69" s="2622"/>
      <c r="R69" s="2623"/>
      <c r="T69" s="261" t="s">
        <v>4798</v>
      </c>
    </row>
    <row r="70" spans="2:26" ht="14.25" customHeight="1">
      <c r="B70" s="208" t="s">
        <v>4803</v>
      </c>
      <c r="C70" s="209" t="s">
        <v>374</v>
      </c>
      <c r="D70" s="210" t="s">
        <v>4732</v>
      </c>
      <c r="E70" s="210" t="s">
        <v>4733</v>
      </c>
      <c r="F70" s="210" t="s">
        <v>522</v>
      </c>
      <c r="G70" s="210" t="s">
        <v>4804</v>
      </c>
      <c r="H70" s="210" t="s">
        <v>4728</v>
      </c>
      <c r="I70" s="210" t="s">
        <v>4534</v>
      </c>
      <c r="J70" s="210" t="s">
        <v>12</v>
      </c>
      <c r="K70" s="210" t="s">
        <v>4805</v>
      </c>
      <c r="L70" s="248" t="s">
        <v>4806</v>
      </c>
      <c r="M70" s="2753"/>
      <c r="N70" s="2596"/>
      <c r="Q70" s="2622"/>
      <c r="R70" s="2623"/>
      <c r="T70" s="261" t="s">
        <v>4732</v>
      </c>
    </row>
    <row r="71" spans="2:26" ht="14.25" customHeight="1">
      <c r="B71" s="265" t="s">
        <v>4807</v>
      </c>
      <c r="C71" s="266" t="s">
        <v>374</v>
      </c>
      <c r="D71" s="267" t="s">
        <v>4717</v>
      </c>
      <c r="E71" s="267" t="s">
        <v>4733</v>
      </c>
      <c r="F71" s="267" t="s">
        <v>522</v>
      </c>
      <c r="G71" s="267" t="s">
        <v>4808</v>
      </c>
      <c r="H71" s="267" t="s">
        <v>4728</v>
      </c>
      <c r="I71" s="267" t="s">
        <v>4679</v>
      </c>
      <c r="J71" s="267" t="s">
        <v>12</v>
      </c>
      <c r="K71" s="267" t="s">
        <v>4809</v>
      </c>
      <c r="L71" s="289" t="s">
        <v>4810</v>
      </c>
      <c r="M71" s="2753"/>
      <c r="N71" s="2596"/>
      <c r="Q71" s="2622"/>
      <c r="R71" s="2623"/>
      <c r="T71" s="261" t="s">
        <v>4717</v>
      </c>
    </row>
    <row r="72" spans="2:26" ht="14.25" customHeight="1">
      <c r="B72" s="208" t="s">
        <v>4811</v>
      </c>
      <c r="C72" s="209" t="s">
        <v>374</v>
      </c>
      <c r="D72" s="210" t="s">
        <v>4717</v>
      </c>
      <c r="E72" s="210" t="s">
        <v>4733</v>
      </c>
      <c r="F72" s="210" t="s">
        <v>522</v>
      </c>
      <c r="G72" s="210" t="s">
        <v>4804</v>
      </c>
      <c r="H72" s="210" t="s">
        <v>4714</v>
      </c>
      <c r="I72" s="210" t="s">
        <v>4534</v>
      </c>
      <c r="J72" s="210" t="s">
        <v>12</v>
      </c>
      <c r="K72" s="210" t="s">
        <v>4778</v>
      </c>
      <c r="L72" s="248" t="s">
        <v>4812</v>
      </c>
      <c r="M72" s="2753"/>
      <c r="N72" s="2596"/>
      <c r="Q72" s="2622"/>
      <c r="R72" s="2623"/>
      <c r="T72" s="261" t="s">
        <v>4717</v>
      </c>
    </row>
    <row r="73" spans="2:26" ht="14.25" customHeight="1">
      <c r="B73" s="265" t="s">
        <v>4813</v>
      </c>
      <c r="C73" s="266" t="s">
        <v>374</v>
      </c>
      <c r="D73" s="267" t="s">
        <v>4717</v>
      </c>
      <c r="E73" s="267" t="s">
        <v>4738</v>
      </c>
      <c r="F73" s="267" t="s">
        <v>522</v>
      </c>
      <c r="G73" s="267" t="s">
        <v>4814</v>
      </c>
      <c r="H73" s="267" t="s">
        <v>4714</v>
      </c>
      <c r="I73" s="267" t="s">
        <v>4534</v>
      </c>
      <c r="J73" s="267" t="s">
        <v>12</v>
      </c>
      <c r="K73" s="267" t="s">
        <v>4778</v>
      </c>
      <c r="L73" s="289" t="s">
        <v>4815</v>
      </c>
      <c r="M73" s="2753"/>
      <c r="N73" s="2596"/>
      <c r="Q73" s="2622"/>
      <c r="R73" s="2623"/>
      <c r="T73" s="261" t="s">
        <v>4717</v>
      </c>
    </row>
    <row r="74" spans="2:26" ht="14.25" customHeight="1">
      <c r="B74" s="208" t="s">
        <v>4816</v>
      </c>
      <c r="C74" s="209" t="s">
        <v>374</v>
      </c>
      <c r="D74" s="210" t="s">
        <v>4717</v>
      </c>
      <c r="E74" s="210" t="s">
        <v>4733</v>
      </c>
      <c r="F74" s="210" t="s">
        <v>522</v>
      </c>
      <c r="G74" s="210" t="s">
        <v>4790</v>
      </c>
      <c r="H74" s="210" t="s">
        <v>4714</v>
      </c>
      <c r="I74" s="210" t="s">
        <v>4667</v>
      </c>
      <c r="J74" s="210" t="s">
        <v>12</v>
      </c>
      <c r="K74" s="210" t="s">
        <v>4817</v>
      </c>
      <c r="L74" s="248" t="s">
        <v>4818</v>
      </c>
      <c r="M74" s="2753"/>
      <c r="N74" s="2596"/>
      <c r="Q74" s="2622"/>
      <c r="R74" s="2623"/>
      <c r="T74" s="261" t="s">
        <v>4717</v>
      </c>
    </row>
    <row r="75" spans="2:26" ht="14.25" customHeight="1">
      <c r="B75" s="265" t="s">
        <v>4819</v>
      </c>
      <c r="C75" s="266" t="s">
        <v>374</v>
      </c>
      <c r="D75" s="267" t="s">
        <v>4717</v>
      </c>
      <c r="E75" s="267" t="s">
        <v>4733</v>
      </c>
      <c r="F75" s="267" t="s">
        <v>522</v>
      </c>
      <c r="G75" s="267" t="s">
        <v>4820</v>
      </c>
      <c r="H75" s="267" t="s">
        <v>4714</v>
      </c>
      <c r="I75" s="267" t="s">
        <v>4667</v>
      </c>
      <c r="J75" s="267" t="s">
        <v>12</v>
      </c>
      <c r="K75" s="267" t="s">
        <v>4821</v>
      </c>
      <c r="L75" s="289" t="s">
        <v>92</v>
      </c>
      <c r="M75" s="2754"/>
      <c r="N75" s="2597"/>
      <c r="Q75" s="2624"/>
      <c r="R75" s="2625"/>
      <c r="T75" s="261" t="s">
        <v>4717</v>
      </c>
      <c r="V75" s="263"/>
      <c r="W75" s="179"/>
      <c r="X75" s="263"/>
      <c r="Y75" s="263"/>
      <c r="Z75" s="263"/>
    </row>
    <row r="76" spans="2:26" ht="14.25" customHeight="1">
      <c r="B76" s="268" t="s">
        <v>4822</v>
      </c>
      <c r="C76" s="269" t="s">
        <v>2697</v>
      </c>
      <c r="D76" s="270" t="s">
        <v>405</v>
      </c>
      <c r="E76" s="270" t="s">
        <v>4728</v>
      </c>
      <c r="F76" s="270" t="s">
        <v>522</v>
      </c>
      <c r="G76" s="270" t="s">
        <v>4790</v>
      </c>
      <c r="H76" s="270" t="s">
        <v>4823</v>
      </c>
      <c r="I76" s="270" t="s">
        <v>4573</v>
      </c>
      <c r="J76" s="270" t="s">
        <v>3241</v>
      </c>
      <c r="K76" s="270" t="s">
        <v>4824</v>
      </c>
      <c r="L76" s="290" t="s">
        <v>4825</v>
      </c>
      <c r="M76" s="2755" t="s">
        <v>2697</v>
      </c>
      <c r="N76" s="2598" t="s">
        <v>4826</v>
      </c>
      <c r="O76" s="78"/>
      <c r="Q76" s="2620" t="s">
        <v>4827</v>
      </c>
      <c r="R76" s="2621"/>
      <c r="T76" s="261" t="s">
        <v>405</v>
      </c>
      <c r="V76" s="263"/>
      <c r="W76" s="179"/>
      <c r="X76" s="263"/>
      <c r="Y76" s="263"/>
      <c r="Z76" s="263"/>
    </row>
    <row r="77" spans="2:26" ht="14.25" customHeight="1">
      <c r="B77" s="208" t="s">
        <v>4828</v>
      </c>
      <c r="C77" s="209" t="s">
        <v>2697</v>
      </c>
      <c r="D77" s="210" t="s">
        <v>405</v>
      </c>
      <c r="E77" s="210" t="s">
        <v>4728</v>
      </c>
      <c r="F77" s="210" t="s">
        <v>522</v>
      </c>
      <c r="G77" s="210" t="s">
        <v>4790</v>
      </c>
      <c r="H77" s="210" t="s">
        <v>4829</v>
      </c>
      <c r="I77" s="210" t="s">
        <v>4534</v>
      </c>
      <c r="J77" s="210" t="s">
        <v>12</v>
      </c>
      <c r="K77" s="210" t="s">
        <v>4778</v>
      </c>
      <c r="L77" s="248" t="s">
        <v>4830</v>
      </c>
      <c r="M77" s="2755"/>
      <c r="N77" s="2599"/>
      <c r="O77" s="78"/>
      <c r="Q77" s="2622"/>
      <c r="R77" s="2623"/>
      <c r="T77" s="261" t="s">
        <v>405</v>
      </c>
      <c r="V77" s="263"/>
      <c r="W77" s="179"/>
      <c r="X77" s="263"/>
      <c r="Y77" s="263"/>
      <c r="Z77" s="263"/>
    </row>
    <row r="78" spans="2:26" ht="14.25" customHeight="1">
      <c r="B78" s="268" t="s">
        <v>4831</v>
      </c>
      <c r="C78" s="269" t="s">
        <v>2697</v>
      </c>
      <c r="D78" s="270" t="s">
        <v>405</v>
      </c>
      <c r="E78" s="270" t="s">
        <v>4662</v>
      </c>
      <c r="F78" s="270" t="s">
        <v>522</v>
      </c>
      <c r="G78" s="270" t="s">
        <v>4832</v>
      </c>
      <c r="H78" s="270" t="s">
        <v>4833</v>
      </c>
      <c r="I78" s="270" t="s">
        <v>4573</v>
      </c>
      <c r="J78" s="270" t="s">
        <v>12</v>
      </c>
      <c r="K78" s="270" t="s">
        <v>4834</v>
      </c>
      <c r="L78" s="290" t="s">
        <v>4835</v>
      </c>
      <c r="M78" s="2755"/>
      <c r="N78" s="2599"/>
      <c r="O78" s="78"/>
      <c r="Q78" s="2622"/>
      <c r="R78" s="2623"/>
      <c r="T78" s="261" t="s">
        <v>405</v>
      </c>
      <c r="V78" s="263"/>
      <c r="W78" s="179"/>
      <c r="X78" s="263"/>
      <c r="Y78" s="263"/>
      <c r="Z78" s="263"/>
    </row>
    <row r="79" spans="2:26" ht="14.25" customHeight="1">
      <c r="B79" s="208" t="s">
        <v>4836</v>
      </c>
      <c r="C79" s="209" t="s">
        <v>2697</v>
      </c>
      <c r="D79" s="210" t="s">
        <v>4661</v>
      </c>
      <c r="E79" s="210" t="s">
        <v>4662</v>
      </c>
      <c r="F79" s="210" t="s">
        <v>522</v>
      </c>
      <c r="G79" s="210" t="s">
        <v>4832</v>
      </c>
      <c r="H79" s="210" t="s">
        <v>4728</v>
      </c>
      <c r="I79" s="210" t="s">
        <v>4573</v>
      </c>
      <c r="J79" s="210" t="s">
        <v>12</v>
      </c>
      <c r="K79" s="210" t="s">
        <v>4778</v>
      </c>
      <c r="L79" s="248" t="s">
        <v>4837</v>
      </c>
      <c r="M79" s="2755"/>
      <c r="N79" s="2599"/>
      <c r="O79" s="78"/>
      <c r="Q79" s="2622"/>
      <c r="R79" s="2623"/>
      <c r="T79" s="261" t="s">
        <v>4661</v>
      </c>
    </row>
    <row r="80" spans="2:26" ht="14.25" customHeight="1">
      <c r="B80" s="268" t="s">
        <v>4227</v>
      </c>
      <c r="C80" s="269" t="s">
        <v>2697</v>
      </c>
      <c r="D80" s="270" t="s">
        <v>4697</v>
      </c>
      <c r="E80" s="270" t="s">
        <v>4728</v>
      </c>
      <c r="F80" s="270" t="s">
        <v>522</v>
      </c>
      <c r="G80" s="270" t="s">
        <v>4820</v>
      </c>
      <c r="H80" s="270" t="s">
        <v>4838</v>
      </c>
      <c r="I80" s="270" t="s">
        <v>4573</v>
      </c>
      <c r="J80" s="270" t="s">
        <v>3241</v>
      </c>
      <c r="K80" s="270" t="s">
        <v>4839</v>
      </c>
      <c r="L80" s="290" t="s">
        <v>4840</v>
      </c>
      <c r="M80" s="2755"/>
      <c r="N80" s="2599"/>
      <c r="O80" s="78"/>
      <c r="Q80" s="2622"/>
      <c r="R80" s="2623"/>
      <c r="T80" s="261" t="s">
        <v>4697</v>
      </c>
      <c r="V80" s="263"/>
      <c r="W80" s="179"/>
      <c r="X80" s="263"/>
      <c r="Y80" s="263"/>
      <c r="Z80" s="263"/>
    </row>
    <row r="81" spans="2:26" ht="14.25" customHeight="1">
      <c r="B81" s="268" t="s">
        <v>4841</v>
      </c>
      <c r="C81" s="269" t="s">
        <v>2697</v>
      </c>
      <c r="D81" s="270" t="s">
        <v>405</v>
      </c>
      <c r="E81" s="270" t="s">
        <v>4728</v>
      </c>
      <c r="F81" s="270" t="s">
        <v>522</v>
      </c>
      <c r="G81" s="270" t="s">
        <v>4790</v>
      </c>
      <c r="H81" s="270" t="s">
        <v>4833</v>
      </c>
      <c r="I81" s="270" t="s">
        <v>4679</v>
      </c>
      <c r="J81" s="270" t="s">
        <v>12</v>
      </c>
      <c r="K81" s="270" t="s">
        <v>4796</v>
      </c>
      <c r="L81" s="290" t="s">
        <v>4806</v>
      </c>
      <c r="M81" s="2755"/>
      <c r="N81" s="2600"/>
      <c r="O81" s="297"/>
      <c r="Q81" s="2622"/>
      <c r="R81" s="2623"/>
      <c r="T81" s="261" t="s">
        <v>405</v>
      </c>
      <c r="V81" s="263"/>
      <c r="W81" s="179"/>
      <c r="X81" s="263"/>
      <c r="Y81" s="263"/>
      <c r="Z81" s="263"/>
    </row>
    <row r="82" spans="2:26" ht="14.25" customHeight="1">
      <c r="B82" s="271" t="s">
        <v>4842</v>
      </c>
      <c r="C82" s="272" t="s">
        <v>2728</v>
      </c>
      <c r="D82" s="273" t="s">
        <v>4732</v>
      </c>
      <c r="E82" s="273" t="s">
        <v>3514</v>
      </c>
      <c r="F82" s="273" t="s">
        <v>522</v>
      </c>
      <c r="G82" s="273" t="s">
        <v>4843</v>
      </c>
      <c r="H82" s="273" t="s">
        <v>4730</v>
      </c>
      <c r="I82" s="273" t="s">
        <v>4573</v>
      </c>
      <c r="J82" s="273" t="s">
        <v>4781</v>
      </c>
      <c r="K82" s="273" t="s">
        <v>4844</v>
      </c>
      <c r="L82" s="291" t="s">
        <v>4845</v>
      </c>
      <c r="M82" s="2756" t="s">
        <v>2728</v>
      </c>
      <c r="N82" s="2601" t="s">
        <v>4846</v>
      </c>
      <c r="O82" s="2616" t="s">
        <v>4847</v>
      </c>
      <c r="P82" s="2617"/>
      <c r="Q82" s="2622"/>
      <c r="R82" s="2623"/>
      <c r="T82" s="261" t="s">
        <v>4732</v>
      </c>
      <c r="V82" s="263"/>
      <c r="W82" s="179"/>
      <c r="X82" s="263"/>
      <c r="Y82" s="263"/>
      <c r="Z82" s="263"/>
    </row>
    <row r="83" spans="2:26" ht="14.25" customHeight="1">
      <c r="B83" s="174" t="s">
        <v>4848</v>
      </c>
      <c r="C83" s="242" t="s">
        <v>2728</v>
      </c>
      <c r="D83" s="175" t="s">
        <v>4732</v>
      </c>
      <c r="E83" s="175" t="s">
        <v>4738</v>
      </c>
      <c r="F83" s="175" t="s">
        <v>522</v>
      </c>
      <c r="G83" s="175" t="s">
        <v>4790</v>
      </c>
      <c r="H83" s="175" t="s">
        <v>4728</v>
      </c>
      <c r="I83" s="175" t="s">
        <v>3514</v>
      </c>
      <c r="J83" s="175" t="s">
        <v>3241</v>
      </c>
      <c r="K83" s="175" t="s">
        <v>4849</v>
      </c>
      <c r="L83" s="191" t="s">
        <v>4825</v>
      </c>
      <c r="M83" s="2757"/>
      <c r="N83" s="2602"/>
      <c r="O83" s="2618"/>
      <c r="P83" s="2617"/>
      <c r="Q83" s="2622"/>
      <c r="R83" s="2623"/>
      <c r="T83" s="261" t="s">
        <v>4732</v>
      </c>
      <c r="V83" s="263"/>
      <c r="W83" s="179"/>
      <c r="X83" s="263"/>
      <c r="Y83" s="263"/>
      <c r="Z83" s="263"/>
    </row>
    <row r="84" spans="2:26" ht="14.25" customHeight="1">
      <c r="B84" s="271" t="s">
        <v>4850</v>
      </c>
      <c r="C84" s="272" t="s">
        <v>2728</v>
      </c>
      <c r="D84" s="273" t="s">
        <v>4732</v>
      </c>
      <c r="E84" s="273" t="s">
        <v>3521</v>
      </c>
      <c r="F84" s="273" t="s">
        <v>522</v>
      </c>
      <c r="G84" s="273" t="s">
        <v>4843</v>
      </c>
      <c r="H84" s="273" t="s">
        <v>4799</v>
      </c>
      <c r="I84" s="273" t="s">
        <v>4573</v>
      </c>
      <c r="J84" s="273" t="s">
        <v>3241</v>
      </c>
      <c r="K84" s="273" t="s">
        <v>4851</v>
      </c>
      <c r="L84" s="291" t="s">
        <v>4852</v>
      </c>
      <c r="M84" s="2757"/>
      <c r="N84" s="2602"/>
      <c r="O84" s="2618"/>
      <c r="P84" s="2617"/>
      <c r="Q84" s="2622"/>
      <c r="R84" s="2623"/>
      <c r="T84" s="261" t="s">
        <v>4732</v>
      </c>
      <c r="V84" s="263"/>
      <c r="W84" s="179"/>
      <c r="X84" s="263"/>
      <c r="Y84" s="263"/>
      <c r="Z84" s="263"/>
    </row>
    <row r="85" spans="2:26" ht="14.25" customHeight="1">
      <c r="B85" s="174" t="s">
        <v>4853</v>
      </c>
      <c r="C85" s="242" t="s">
        <v>2728</v>
      </c>
      <c r="D85" s="175" t="s">
        <v>4732</v>
      </c>
      <c r="E85" s="175" t="s">
        <v>4733</v>
      </c>
      <c r="F85" s="175" t="s">
        <v>522</v>
      </c>
      <c r="G85" s="175" t="s">
        <v>4820</v>
      </c>
      <c r="H85" s="175" t="s">
        <v>4854</v>
      </c>
      <c r="I85" s="175" t="s">
        <v>4573</v>
      </c>
      <c r="J85" s="175" t="s">
        <v>3241</v>
      </c>
      <c r="K85" s="175" t="s">
        <v>4855</v>
      </c>
      <c r="L85" s="191" t="s">
        <v>4840</v>
      </c>
      <c r="M85" s="2757"/>
      <c r="N85" s="2602"/>
      <c r="O85" s="2618"/>
      <c r="P85" s="2617"/>
      <c r="Q85" s="2622"/>
      <c r="R85" s="2623"/>
      <c r="T85" s="261" t="s">
        <v>4732</v>
      </c>
      <c r="V85" s="263"/>
      <c r="W85" s="179"/>
      <c r="X85" s="263"/>
      <c r="Y85" s="263"/>
      <c r="Z85" s="263"/>
    </row>
    <row r="86" spans="2:26" ht="14.25" customHeight="1">
      <c r="B86" s="271" t="s">
        <v>4856</v>
      </c>
      <c r="C86" s="272" t="s">
        <v>2728</v>
      </c>
      <c r="D86" s="273" t="s">
        <v>4732</v>
      </c>
      <c r="E86" s="273" t="s">
        <v>4733</v>
      </c>
      <c r="F86" s="273" t="s">
        <v>522</v>
      </c>
      <c r="G86" s="273" t="s">
        <v>4843</v>
      </c>
      <c r="H86" s="273" t="s">
        <v>4857</v>
      </c>
      <c r="I86" s="273" t="s">
        <v>4573</v>
      </c>
      <c r="J86" s="273" t="s">
        <v>3241</v>
      </c>
      <c r="K86" s="273" t="s">
        <v>4858</v>
      </c>
      <c r="L86" s="291" t="s">
        <v>4859</v>
      </c>
      <c r="M86" s="2757"/>
      <c r="N86" s="2603" t="s">
        <v>4860</v>
      </c>
      <c r="O86" s="2618"/>
      <c r="P86" s="2617"/>
      <c r="Q86" s="2622"/>
      <c r="R86" s="2623"/>
      <c r="T86" s="261" t="s">
        <v>4732</v>
      </c>
      <c r="V86" s="263"/>
      <c r="W86" s="179"/>
      <c r="X86" s="263"/>
      <c r="Y86" s="263"/>
      <c r="Z86" s="263"/>
    </row>
    <row r="87" spans="2:26" ht="14.25" customHeight="1">
      <c r="B87" s="274" t="s">
        <v>4861</v>
      </c>
      <c r="C87" s="275" t="s">
        <v>2728</v>
      </c>
      <c r="D87" s="276" t="s">
        <v>4732</v>
      </c>
      <c r="E87" s="276" t="s">
        <v>4730</v>
      </c>
      <c r="F87" s="276" t="s">
        <v>522</v>
      </c>
      <c r="G87" s="276" t="s">
        <v>4843</v>
      </c>
      <c r="H87" s="276" t="s">
        <v>4862</v>
      </c>
      <c r="I87" s="276" t="s">
        <v>4679</v>
      </c>
      <c r="J87" s="276" t="s">
        <v>12</v>
      </c>
      <c r="K87" s="276" t="s">
        <v>4778</v>
      </c>
      <c r="L87" s="292" t="s">
        <v>4863</v>
      </c>
      <c r="M87" s="2757"/>
      <c r="N87" s="2602"/>
      <c r="O87" s="2618"/>
      <c r="P87" s="2617"/>
      <c r="Q87" s="2622"/>
      <c r="R87" s="2623"/>
      <c r="T87" s="261" t="s">
        <v>4732</v>
      </c>
      <c r="V87" s="263"/>
      <c r="W87" s="179"/>
      <c r="X87" s="263"/>
      <c r="Y87" s="263"/>
      <c r="Z87" s="263"/>
    </row>
    <row r="88" spans="2:26" ht="14.25" customHeight="1">
      <c r="B88" s="174" t="s">
        <v>4864</v>
      </c>
      <c r="C88" s="242" t="s">
        <v>2728</v>
      </c>
      <c r="D88" s="175" t="s">
        <v>4717</v>
      </c>
      <c r="E88" s="175" t="s">
        <v>4733</v>
      </c>
      <c r="F88" s="175" t="s">
        <v>522</v>
      </c>
      <c r="G88" s="175" t="s">
        <v>4843</v>
      </c>
      <c r="H88" s="175" t="s">
        <v>4865</v>
      </c>
      <c r="I88" s="175" t="s">
        <v>4667</v>
      </c>
      <c r="J88" s="175" t="s">
        <v>12</v>
      </c>
      <c r="K88" s="175" t="s">
        <v>4778</v>
      </c>
      <c r="L88" s="191" t="s">
        <v>4705</v>
      </c>
      <c r="M88" s="2757"/>
      <c r="N88" s="2602"/>
      <c r="O88" s="2618"/>
      <c r="P88" s="2617"/>
      <c r="Q88" s="2622"/>
      <c r="R88" s="2623"/>
      <c r="T88" s="261" t="s">
        <v>4717</v>
      </c>
      <c r="V88" s="263"/>
      <c r="W88" s="263"/>
      <c r="X88" s="263"/>
      <c r="Y88" s="263"/>
      <c r="Z88" s="263"/>
    </row>
    <row r="89" spans="2:26" ht="14.25" customHeight="1">
      <c r="B89" s="271" t="s">
        <v>4866</v>
      </c>
      <c r="C89" s="272" t="s">
        <v>2728</v>
      </c>
      <c r="D89" s="273" t="s">
        <v>4732</v>
      </c>
      <c r="E89" s="273" t="s">
        <v>4733</v>
      </c>
      <c r="F89" s="273" t="s">
        <v>522</v>
      </c>
      <c r="G89" s="273" t="s">
        <v>4843</v>
      </c>
      <c r="H89" s="273" t="s">
        <v>4799</v>
      </c>
      <c r="I89" s="273" t="s">
        <v>4667</v>
      </c>
      <c r="J89" s="273" t="s">
        <v>3241</v>
      </c>
      <c r="K89" s="273" t="s">
        <v>4778</v>
      </c>
      <c r="L89" s="291" t="s">
        <v>4601</v>
      </c>
      <c r="M89" s="2757"/>
      <c r="N89" s="2602"/>
      <c r="O89" s="2618"/>
      <c r="P89" s="2619"/>
      <c r="Q89" s="2624"/>
      <c r="R89" s="2625"/>
      <c r="T89" s="261" t="s">
        <v>4732</v>
      </c>
      <c r="V89" s="263"/>
      <c r="W89" s="263"/>
      <c r="X89" s="263"/>
      <c r="Y89" s="263"/>
      <c r="Z89" s="263"/>
    </row>
    <row r="90" spans="2:26" ht="14.25" customHeight="1">
      <c r="B90" s="277" t="s">
        <v>4867</v>
      </c>
      <c r="C90" s="242" t="s">
        <v>137</v>
      </c>
      <c r="D90" s="175" t="s">
        <v>4868</v>
      </c>
      <c r="E90" s="175" t="s">
        <v>4869</v>
      </c>
      <c r="F90" s="175" t="s">
        <v>522</v>
      </c>
      <c r="G90" s="175" t="s">
        <v>4572</v>
      </c>
      <c r="H90" s="175" t="s">
        <v>4610</v>
      </c>
      <c r="I90" s="175" t="s">
        <v>4556</v>
      </c>
      <c r="J90" s="175" t="s">
        <v>4535</v>
      </c>
      <c r="K90" s="175" t="s">
        <v>4778</v>
      </c>
      <c r="L90" s="191" t="s">
        <v>4736</v>
      </c>
      <c r="M90" s="2758" t="s">
        <v>4870</v>
      </c>
      <c r="N90" s="2833" t="s">
        <v>4871</v>
      </c>
      <c r="O90" s="2834"/>
      <c r="P90" s="2999" t="s">
        <v>4872</v>
      </c>
      <c r="Q90" s="3000"/>
      <c r="R90" s="3001"/>
      <c r="T90" s="261" t="s">
        <v>4717</v>
      </c>
      <c r="V90" s="263"/>
      <c r="W90" s="263"/>
      <c r="X90" s="263"/>
      <c r="Y90" s="263"/>
      <c r="Z90" s="263"/>
    </row>
    <row r="91" spans="2:26" ht="14.25" customHeight="1">
      <c r="B91" s="208" t="s">
        <v>4873</v>
      </c>
      <c r="C91" s="209" t="s">
        <v>133</v>
      </c>
      <c r="D91" s="210" t="s">
        <v>4874</v>
      </c>
      <c r="E91" s="210" t="s">
        <v>4646</v>
      </c>
      <c r="F91" s="210" t="s">
        <v>522</v>
      </c>
      <c r="G91" s="210" t="s">
        <v>4572</v>
      </c>
      <c r="H91" s="210" t="s">
        <v>4533</v>
      </c>
      <c r="I91" s="210" t="s">
        <v>3514</v>
      </c>
      <c r="J91" s="210" t="s">
        <v>4535</v>
      </c>
      <c r="K91" s="210" t="s">
        <v>4875</v>
      </c>
      <c r="L91" s="248" t="s">
        <v>92</v>
      </c>
      <c r="M91" s="2758"/>
      <c r="N91" s="2834"/>
      <c r="O91" s="2834"/>
      <c r="P91" s="3002"/>
      <c r="Q91" s="3003"/>
      <c r="R91" s="3004"/>
      <c r="T91" s="261" t="s">
        <v>4876</v>
      </c>
      <c r="V91" s="263"/>
      <c r="W91" s="263"/>
      <c r="X91" s="263"/>
      <c r="Y91" s="263"/>
      <c r="Z91" s="263"/>
    </row>
    <row r="92" spans="2:26" ht="14.25" customHeight="1">
      <c r="B92" s="277" t="s">
        <v>4877</v>
      </c>
      <c r="C92" s="209" t="s">
        <v>2741</v>
      </c>
      <c r="D92" s="210" t="s">
        <v>4878</v>
      </c>
      <c r="E92" s="210" t="s">
        <v>4728</v>
      </c>
      <c r="F92" s="210" t="s">
        <v>522</v>
      </c>
      <c r="G92" s="210" t="s">
        <v>4723</v>
      </c>
      <c r="H92" s="210" t="s">
        <v>4533</v>
      </c>
      <c r="I92" s="210" t="s">
        <v>4667</v>
      </c>
      <c r="J92" s="210" t="s">
        <v>12</v>
      </c>
      <c r="K92" s="210" t="s">
        <v>4778</v>
      </c>
      <c r="L92" s="252" t="s">
        <v>4837</v>
      </c>
      <c r="M92" s="2759"/>
      <c r="N92" s="2834"/>
      <c r="O92" s="2834"/>
      <c r="P92" s="3002"/>
      <c r="Q92" s="3003"/>
      <c r="R92" s="3004"/>
      <c r="T92" s="261" t="s">
        <v>4879</v>
      </c>
      <c r="V92" s="263"/>
      <c r="W92" s="263"/>
      <c r="X92" s="263"/>
      <c r="Y92" s="263"/>
      <c r="Z92" s="263"/>
    </row>
    <row r="93" spans="2:26" ht="14.25" customHeight="1">
      <c r="B93" s="278" t="s">
        <v>4880</v>
      </c>
      <c r="C93" s="279" t="s">
        <v>137</v>
      </c>
      <c r="D93" s="280" t="s">
        <v>4881</v>
      </c>
      <c r="E93" s="280" t="s">
        <v>4882</v>
      </c>
      <c r="F93" s="280" t="s">
        <v>522</v>
      </c>
      <c r="G93" s="280" t="s">
        <v>4572</v>
      </c>
      <c r="H93" s="280" t="s">
        <v>4610</v>
      </c>
      <c r="I93" s="280" t="s">
        <v>4667</v>
      </c>
      <c r="J93" s="280" t="s">
        <v>4535</v>
      </c>
      <c r="K93" s="280" t="s">
        <v>4883</v>
      </c>
      <c r="L93" s="293" t="s">
        <v>92</v>
      </c>
      <c r="M93" s="2758"/>
      <c r="N93" s="2834"/>
      <c r="O93" s="2834"/>
      <c r="P93" s="3002"/>
      <c r="Q93" s="3003"/>
      <c r="R93" s="3004"/>
      <c r="T93" s="261" t="s">
        <v>1598</v>
      </c>
      <c r="V93" s="263"/>
      <c r="W93" s="263"/>
      <c r="X93" s="263"/>
      <c r="Y93" s="263"/>
      <c r="Z93" s="263"/>
    </row>
    <row r="94" spans="2:26" ht="14.25" customHeight="1">
      <c r="B94" s="277" t="s">
        <v>4884</v>
      </c>
      <c r="C94" s="209" t="s">
        <v>111</v>
      </c>
      <c r="D94" s="210" t="s">
        <v>4885</v>
      </c>
      <c r="E94" s="210" t="s">
        <v>4778</v>
      </c>
      <c r="F94" s="210" t="s">
        <v>522</v>
      </c>
      <c r="G94" s="210" t="s">
        <v>4778</v>
      </c>
      <c r="H94" s="210" t="s">
        <v>4610</v>
      </c>
      <c r="I94" s="210" t="s">
        <v>3514</v>
      </c>
      <c r="J94" s="210" t="s">
        <v>4535</v>
      </c>
      <c r="K94" s="210" t="s">
        <v>4886</v>
      </c>
      <c r="L94" s="252" t="s">
        <v>4887</v>
      </c>
      <c r="M94" s="2758"/>
      <c r="N94" s="2834"/>
      <c r="O94" s="2834"/>
      <c r="P94" s="3002"/>
      <c r="Q94" s="3003"/>
      <c r="R94" s="3004"/>
      <c r="T94" s="261" t="s">
        <v>1703</v>
      </c>
      <c r="V94" s="263"/>
      <c r="W94" s="263"/>
      <c r="X94" s="263"/>
      <c r="Y94" s="263"/>
      <c r="Z94" s="263"/>
    </row>
    <row r="95" spans="2:26" ht="14.25" customHeight="1">
      <c r="B95" s="281" t="s">
        <v>4888</v>
      </c>
      <c r="C95" s="212" t="s">
        <v>145</v>
      </c>
      <c r="D95" s="213" t="s">
        <v>4889</v>
      </c>
      <c r="E95" s="213" t="s">
        <v>4890</v>
      </c>
      <c r="F95" s="213" t="s">
        <v>522</v>
      </c>
      <c r="G95" s="213" t="s">
        <v>4891</v>
      </c>
      <c r="H95" s="213" t="s">
        <v>4610</v>
      </c>
      <c r="I95" s="213" t="s">
        <v>4556</v>
      </c>
      <c r="J95" s="213" t="s">
        <v>4535</v>
      </c>
      <c r="K95" s="213" t="s">
        <v>4778</v>
      </c>
      <c r="L95" s="248" t="s">
        <v>4892</v>
      </c>
      <c r="M95" s="2758"/>
      <c r="N95" s="2834"/>
      <c r="O95" s="2834"/>
      <c r="P95" s="3002"/>
      <c r="Q95" s="3003"/>
      <c r="R95" s="3004"/>
      <c r="T95" s="261" t="s">
        <v>405</v>
      </c>
      <c r="V95" s="263"/>
      <c r="W95" s="263"/>
      <c r="X95" s="263"/>
      <c r="Y95" s="263"/>
      <c r="Z95" s="263"/>
    </row>
    <row r="96" spans="2:26" ht="14.25" customHeight="1">
      <c r="B96" s="277" t="s">
        <v>4893</v>
      </c>
      <c r="C96" s="209" t="s">
        <v>145</v>
      </c>
      <c r="D96" s="210" t="s">
        <v>4894</v>
      </c>
      <c r="E96" s="210" t="s">
        <v>4890</v>
      </c>
      <c r="F96" s="210" t="s">
        <v>522</v>
      </c>
      <c r="G96" s="210" t="s">
        <v>4891</v>
      </c>
      <c r="H96" s="210" t="s">
        <v>4610</v>
      </c>
      <c r="I96" s="210" t="s">
        <v>4667</v>
      </c>
      <c r="J96" s="210" t="s">
        <v>12</v>
      </c>
      <c r="K96" s="210" t="s">
        <v>4778</v>
      </c>
      <c r="L96" s="252" t="s">
        <v>4895</v>
      </c>
      <c r="M96" s="2758"/>
      <c r="N96" s="2834"/>
      <c r="O96" s="2834"/>
      <c r="P96" s="3002"/>
      <c r="Q96" s="3003"/>
      <c r="R96" s="3004"/>
      <c r="T96" s="261" t="s">
        <v>4896</v>
      </c>
      <c r="V96" s="263"/>
      <c r="W96" s="263"/>
      <c r="X96" s="263"/>
      <c r="Y96" s="263"/>
      <c r="Z96" s="263"/>
    </row>
    <row r="97" spans="1:26" ht="14.25" customHeight="1">
      <c r="B97" s="278" t="s">
        <v>4897</v>
      </c>
      <c r="C97" s="279" t="s">
        <v>137</v>
      </c>
      <c r="D97" s="280" t="s">
        <v>4881</v>
      </c>
      <c r="E97" s="280" t="s">
        <v>4882</v>
      </c>
      <c r="F97" s="280" t="s">
        <v>522</v>
      </c>
      <c r="G97" s="280" t="s">
        <v>4572</v>
      </c>
      <c r="H97" s="280" t="s">
        <v>4610</v>
      </c>
      <c r="I97" s="280" t="s">
        <v>4667</v>
      </c>
      <c r="J97" s="280" t="s">
        <v>4535</v>
      </c>
      <c r="K97" s="280" t="s">
        <v>4778</v>
      </c>
      <c r="L97" s="293" t="s">
        <v>4898</v>
      </c>
      <c r="M97" s="2758"/>
      <c r="N97" s="2834"/>
      <c r="O97" s="2834"/>
      <c r="P97" s="3005"/>
      <c r="Q97" s="3006"/>
      <c r="R97" s="3007"/>
      <c r="T97" s="261" t="s">
        <v>1598</v>
      </c>
      <c r="V97" s="263"/>
      <c r="W97" s="263"/>
      <c r="X97" s="263"/>
      <c r="Y97" s="263"/>
      <c r="Z97" s="263"/>
    </row>
    <row r="98" spans="1:26" ht="14.25" customHeight="1">
      <c r="B98" s="277" t="s">
        <v>4899</v>
      </c>
      <c r="C98" s="209" t="s">
        <v>152</v>
      </c>
      <c r="D98" s="210" t="s">
        <v>4900</v>
      </c>
      <c r="E98" s="210" t="s">
        <v>4901</v>
      </c>
      <c r="F98" s="210" t="s">
        <v>522</v>
      </c>
      <c r="G98" s="210" t="s">
        <v>4609</v>
      </c>
      <c r="H98" s="210" t="s">
        <v>4902</v>
      </c>
      <c r="I98" s="210" t="s">
        <v>3514</v>
      </c>
      <c r="J98" s="210" t="s">
        <v>12</v>
      </c>
      <c r="K98" s="210" t="s">
        <v>4778</v>
      </c>
      <c r="L98" s="248" t="s">
        <v>4698</v>
      </c>
      <c r="M98" s="2758"/>
      <c r="N98" s="2800" t="s">
        <v>4903</v>
      </c>
      <c r="O98" s="2801"/>
      <c r="P98" s="298" t="s">
        <v>4904</v>
      </c>
      <c r="Q98" s="2800" t="s">
        <v>4905</v>
      </c>
      <c r="R98" s="2801"/>
      <c r="T98" s="261" t="s">
        <v>4896</v>
      </c>
      <c r="V98" s="263"/>
      <c r="W98" s="263"/>
      <c r="X98" s="263"/>
      <c r="Y98" s="263"/>
      <c r="Z98" s="263"/>
    </row>
    <row r="99" spans="1:26" ht="14.25" customHeight="1">
      <c r="B99" s="282" t="s">
        <v>4906</v>
      </c>
      <c r="C99" s="222" t="s">
        <v>152</v>
      </c>
      <c r="D99" s="223" t="s">
        <v>4907</v>
      </c>
      <c r="E99" s="223" t="s">
        <v>4901</v>
      </c>
      <c r="F99" s="223" t="s">
        <v>522</v>
      </c>
      <c r="G99" s="223" t="s">
        <v>4647</v>
      </c>
      <c r="H99" s="223" t="s">
        <v>4902</v>
      </c>
      <c r="I99" s="223" t="s">
        <v>4667</v>
      </c>
      <c r="J99" s="223" t="s">
        <v>4535</v>
      </c>
      <c r="K99" s="223" t="s">
        <v>4908</v>
      </c>
      <c r="L99" s="252" t="s">
        <v>4909</v>
      </c>
      <c r="M99" s="2758"/>
      <c r="N99" s="2612"/>
      <c r="O99" s="2613"/>
      <c r="P99" s="298" t="s">
        <v>4910</v>
      </c>
      <c r="Q99" s="2612"/>
      <c r="R99" s="2613"/>
      <c r="T99" s="261" t="s">
        <v>4911</v>
      </c>
      <c r="V99" s="263"/>
      <c r="W99" s="263"/>
      <c r="X99" s="263"/>
      <c r="Y99" s="263"/>
      <c r="Z99" s="263"/>
    </row>
    <row r="100" spans="1:26" ht="14.25" customHeight="1">
      <c r="B100" s="277" t="s">
        <v>4912</v>
      </c>
      <c r="C100" s="209" t="s">
        <v>152</v>
      </c>
      <c r="D100" s="210" t="s">
        <v>4907</v>
      </c>
      <c r="E100" s="210" t="s">
        <v>4913</v>
      </c>
      <c r="F100" s="210" t="s">
        <v>522</v>
      </c>
      <c r="G100" s="210" t="s">
        <v>4533</v>
      </c>
      <c r="H100" s="210" t="s">
        <v>4902</v>
      </c>
      <c r="I100" s="210" t="s">
        <v>3514</v>
      </c>
      <c r="J100" s="210" t="s">
        <v>12</v>
      </c>
      <c r="K100" s="210" t="s">
        <v>4778</v>
      </c>
      <c r="L100" s="248" t="s">
        <v>4852</v>
      </c>
      <c r="M100" s="2758"/>
      <c r="N100" s="2612"/>
      <c r="O100" s="2613"/>
      <c r="P100" s="298" t="s">
        <v>1598</v>
      </c>
      <c r="Q100" s="2612"/>
      <c r="R100" s="2613"/>
      <c r="T100" s="261" t="s">
        <v>4914</v>
      </c>
      <c r="V100" s="263"/>
      <c r="W100" s="263"/>
      <c r="X100" s="263"/>
      <c r="Y100" s="263"/>
      <c r="Z100" s="263"/>
    </row>
    <row r="101" spans="1:26" ht="14.25" customHeight="1">
      <c r="B101" s="282" t="s">
        <v>4915</v>
      </c>
      <c r="C101" s="222" t="s">
        <v>152</v>
      </c>
      <c r="D101" s="223" t="s">
        <v>4916</v>
      </c>
      <c r="E101" s="223" t="s">
        <v>4917</v>
      </c>
      <c r="F101" s="223" t="s">
        <v>522</v>
      </c>
      <c r="G101" s="223">
        <v>1</v>
      </c>
      <c r="H101" s="223" t="s">
        <v>4918</v>
      </c>
      <c r="I101" s="223" t="s">
        <v>4679</v>
      </c>
      <c r="J101" s="223" t="s">
        <v>12</v>
      </c>
      <c r="K101" s="223" t="s">
        <v>4778</v>
      </c>
      <c r="L101" s="252" t="s">
        <v>4919</v>
      </c>
      <c r="M101" s="2758"/>
      <c r="N101" s="2612"/>
      <c r="O101" s="2613"/>
      <c r="P101" s="298" t="s">
        <v>1703</v>
      </c>
      <c r="Q101" s="2612"/>
      <c r="R101" s="2613"/>
      <c r="T101" s="261" t="s">
        <v>4920</v>
      </c>
      <c r="V101" s="263"/>
      <c r="W101" s="263"/>
      <c r="X101" s="263"/>
      <c r="Y101" s="263"/>
      <c r="Z101" s="263"/>
    </row>
    <row r="102" spans="1:26" ht="14.25" customHeight="1">
      <c r="B102" s="277" t="s">
        <v>4921</v>
      </c>
      <c r="C102" s="209" t="s">
        <v>145</v>
      </c>
      <c r="D102" s="210" t="s">
        <v>4922</v>
      </c>
      <c r="E102" s="210" t="s">
        <v>4890</v>
      </c>
      <c r="F102" s="210" t="s">
        <v>522</v>
      </c>
      <c r="G102" s="210" t="s">
        <v>4923</v>
      </c>
      <c r="H102" s="210" t="s">
        <v>4610</v>
      </c>
      <c r="I102" s="210" t="s">
        <v>4667</v>
      </c>
      <c r="J102" s="210" t="s">
        <v>4535</v>
      </c>
      <c r="K102" s="210" t="s">
        <v>4778</v>
      </c>
      <c r="L102" s="248" t="s">
        <v>4924</v>
      </c>
      <c r="M102" s="2758"/>
      <c r="N102" s="2612"/>
      <c r="O102" s="2613"/>
      <c r="P102" s="298" t="s">
        <v>405</v>
      </c>
      <c r="Q102" s="2612" t="s">
        <v>4925</v>
      </c>
      <c r="R102" s="2613"/>
      <c r="T102" s="261" t="s">
        <v>1598</v>
      </c>
      <c r="V102" s="263"/>
      <c r="W102" s="263"/>
      <c r="X102" s="263"/>
      <c r="Y102" s="263"/>
      <c r="Z102" s="263"/>
    </row>
    <row r="103" spans="1:26" ht="14.25" customHeight="1">
      <c r="B103" s="282" t="s">
        <v>4926</v>
      </c>
      <c r="C103" s="283" t="s">
        <v>145</v>
      </c>
      <c r="D103" s="284" t="s">
        <v>4927</v>
      </c>
      <c r="E103" s="284" t="s">
        <v>4890</v>
      </c>
      <c r="F103" s="284" t="s">
        <v>522</v>
      </c>
      <c r="G103" s="284" t="s">
        <v>4923</v>
      </c>
      <c r="H103" s="284" t="s">
        <v>4610</v>
      </c>
      <c r="I103" s="284" t="s">
        <v>4667</v>
      </c>
      <c r="J103" s="284" t="s">
        <v>12</v>
      </c>
      <c r="K103" s="284" t="s">
        <v>4778</v>
      </c>
      <c r="L103" s="294" t="s">
        <v>4719</v>
      </c>
      <c r="M103" s="2758"/>
      <c r="N103" s="2612" t="s">
        <v>4928</v>
      </c>
      <c r="O103" s="2613"/>
      <c r="P103" s="298" t="s">
        <v>4661</v>
      </c>
      <c r="Q103" s="2612"/>
      <c r="R103" s="2613"/>
      <c r="T103" s="261" t="s">
        <v>4929</v>
      </c>
      <c r="V103" s="263"/>
      <c r="W103" s="263"/>
      <c r="X103" s="263"/>
      <c r="Y103" s="263"/>
      <c r="Z103" s="263"/>
    </row>
    <row r="104" spans="1:26" ht="14.25" customHeight="1">
      <c r="B104" s="277" t="s">
        <v>4930</v>
      </c>
      <c r="C104" s="209" t="s">
        <v>2716</v>
      </c>
      <c r="D104" s="210" t="s">
        <v>4868</v>
      </c>
      <c r="E104" s="210" t="s">
        <v>4931</v>
      </c>
      <c r="F104" s="210" t="s">
        <v>522</v>
      </c>
      <c r="G104" s="210" t="s">
        <v>4533</v>
      </c>
      <c r="H104" s="210" t="s">
        <v>4932</v>
      </c>
      <c r="I104" s="210" t="s">
        <v>4933</v>
      </c>
      <c r="J104" s="210" t="s">
        <v>4535</v>
      </c>
      <c r="K104" s="210" t="s">
        <v>4778</v>
      </c>
      <c r="L104" s="248" t="s">
        <v>4934</v>
      </c>
      <c r="M104" s="2758"/>
      <c r="N104" s="2612"/>
      <c r="O104" s="2613"/>
      <c r="P104" s="298" t="s">
        <v>4554</v>
      </c>
      <c r="Q104" s="2612"/>
      <c r="R104" s="2613"/>
      <c r="T104" s="261" t="s">
        <v>4717</v>
      </c>
      <c r="V104" s="263"/>
      <c r="W104" s="263"/>
      <c r="X104" s="263"/>
      <c r="Y104" s="263"/>
      <c r="Z104" s="263"/>
    </row>
    <row r="105" spans="1:26" ht="17" customHeight="1">
      <c r="A105" s="159"/>
      <c r="B105" s="285" t="s">
        <v>4935</v>
      </c>
      <c r="C105" s="286" t="s">
        <v>2741</v>
      </c>
      <c r="D105" s="287" t="s">
        <v>4936</v>
      </c>
      <c r="E105" s="287" t="s">
        <v>4937</v>
      </c>
      <c r="F105" s="287" t="s">
        <v>522</v>
      </c>
      <c r="G105" s="287" t="s">
        <v>4533</v>
      </c>
      <c r="H105" s="287" t="s">
        <v>4533</v>
      </c>
      <c r="I105" s="287" t="s">
        <v>4679</v>
      </c>
      <c r="J105" s="287" t="s">
        <v>12</v>
      </c>
      <c r="K105" s="287" t="s">
        <v>4778</v>
      </c>
      <c r="L105" s="295" t="s">
        <v>4863</v>
      </c>
      <c r="M105" s="2759"/>
      <c r="N105" s="2614"/>
      <c r="O105" s="2615"/>
      <c r="P105" s="298" t="s">
        <v>4938</v>
      </c>
      <c r="Q105" s="2614"/>
      <c r="R105" s="2615"/>
      <c r="T105" s="261" t="s">
        <v>4939</v>
      </c>
      <c r="V105" s="263"/>
      <c r="W105" s="263"/>
      <c r="X105" s="263"/>
      <c r="Y105" s="263"/>
      <c r="Z105" s="263"/>
    </row>
    <row r="106" spans="1:26">
      <c r="A106" s="159"/>
      <c r="B106" s="159"/>
      <c r="C106" s="159"/>
      <c r="N106" s="2566" t="s">
        <v>4940</v>
      </c>
      <c r="O106" s="2567"/>
      <c r="P106" s="2567"/>
      <c r="Q106" s="2567"/>
      <c r="R106" s="2568"/>
    </row>
    <row r="107" spans="1:26" ht="17">
      <c r="A107" s="159"/>
      <c r="B107" s="2569" t="s">
        <v>4941</v>
      </c>
      <c r="C107" s="2570"/>
      <c r="D107" s="2570"/>
      <c r="E107" s="2570"/>
      <c r="F107" s="2570"/>
      <c r="G107" s="2570"/>
      <c r="H107" s="2570"/>
      <c r="I107" s="2570"/>
      <c r="J107" s="2570"/>
      <c r="K107" s="2570"/>
      <c r="L107" s="2571"/>
      <c r="M107" s="170"/>
      <c r="N107" s="170"/>
      <c r="O107" s="170"/>
      <c r="P107" s="170"/>
      <c r="Q107" s="170"/>
      <c r="R107" s="170"/>
      <c r="S107" s="170"/>
      <c r="T107" s="170"/>
    </row>
    <row r="108" spans="1:26" ht="15" customHeight="1">
      <c r="A108" s="159"/>
      <c r="B108" s="2572" t="s">
        <v>4942</v>
      </c>
      <c r="C108" s="2573"/>
      <c r="D108" s="2573"/>
      <c r="E108" s="2573"/>
      <c r="F108" s="2573"/>
      <c r="G108" s="2573"/>
      <c r="H108" s="2573"/>
      <c r="I108" s="2573"/>
      <c r="J108" s="2573"/>
      <c r="K108" s="2573"/>
      <c r="L108" s="2574"/>
      <c r="M108" s="170"/>
      <c r="N108" s="2575" t="s">
        <v>4943</v>
      </c>
      <c r="O108" s="2576"/>
      <c r="P108" s="2576"/>
      <c r="Q108" s="2576"/>
      <c r="R108" s="2577"/>
      <c r="S108" s="170"/>
      <c r="T108" s="170"/>
    </row>
    <row r="109" spans="1:26" ht="17">
      <c r="A109" s="159"/>
      <c r="B109" s="2578" t="s">
        <v>4944</v>
      </c>
      <c r="C109" s="2579"/>
      <c r="D109" s="2579"/>
      <c r="E109" s="2579"/>
      <c r="F109" s="2579"/>
      <c r="G109" s="2579"/>
      <c r="H109" s="2579"/>
      <c r="I109" s="2579"/>
      <c r="J109" s="2579"/>
      <c r="K109" s="2579"/>
      <c r="L109" s="2580"/>
      <c r="M109" s="170"/>
      <c r="N109" s="2581" t="s">
        <v>4945</v>
      </c>
      <c r="O109" s="2582"/>
      <c r="P109" s="299" t="s">
        <v>4946</v>
      </c>
      <c r="Q109" s="2583" t="s">
        <v>4947</v>
      </c>
      <c r="R109" s="2584"/>
      <c r="S109" s="170"/>
      <c r="T109" s="170"/>
    </row>
    <row r="110" spans="1:26" ht="17">
      <c r="A110" s="159"/>
      <c r="B110" s="2578" t="s">
        <v>4948</v>
      </c>
      <c r="C110" s="2579"/>
      <c r="D110" s="2579"/>
      <c r="E110" s="2579"/>
      <c r="F110" s="2579"/>
      <c r="G110" s="2579"/>
      <c r="H110" s="2579"/>
      <c r="I110" s="2579"/>
      <c r="J110" s="2579"/>
      <c r="K110" s="2579"/>
      <c r="L110" s="2580"/>
      <c r="M110" s="170"/>
      <c r="N110" s="2835" t="s">
        <v>4949</v>
      </c>
      <c r="O110" s="2836"/>
      <c r="P110" s="300" t="s">
        <v>4950</v>
      </c>
      <c r="Q110" s="2678" t="s">
        <v>4951</v>
      </c>
      <c r="R110" s="2639"/>
      <c r="S110" s="170"/>
      <c r="T110" s="170"/>
    </row>
    <row r="111" spans="1:26" ht="16" customHeight="1">
      <c r="A111" s="159"/>
      <c r="B111" s="2626" t="s">
        <v>4952</v>
      </c>
      <c r="C111" s="2627"/>
      <c r="D111" s="2627"/>
      <c r="E111" s="2627"/>
      <c r="F111" s="2627"/>
      <c r="G111" s="2627"/>
      <c r="H111" s="2627"/>
      <c r="I111" s="2627"/>
      <c r="J111" s="2627"/>
      <c r="K111" s="2627"/>
      <c r="L111" s="2628"/>
      <c r="M111" s="170"/>
      <c r="N111" s="2766"/>
      <c r="O111" s="2702"/>
      <c r="P111" s="301" t="s">
        <v>4953</v>
      </c>
      <c r="Q111" s="2638"/>
      <c r="R111" s="2639"/>
      <c r="S111" s="170"/>
      <c r="T111" s="170"/>
    </row>
    <row r="112" spans="1:26" ht="17">
      <c r="A112" s="159"/>
      <c r="B112" s="2629" t="s">
        <v>4954</v>
      </c>
      <c r="C112" s="2630"/>
      <c r="D112" s="2630"/>
      <c r="E112" s="2630"/>
      <c r="F112" s="2630"/>
      <c r="G112" s="2630"/>
      <c r="H112" s="2630"/>
      <c r="I112" s="2630"/>
      <c r="J112" s="2630"/>
      <c r="K112" s="2630"/>
      <c r="L112" s="2631"/>
      <c r="M112" s="170"/>
      <c r="N112" s="302"/>
      <c r="P112" s="301"/>
      <c r="Q112" s="2678" t="s">
        <v>4955</v>
      </c>
      <c r="R112" s="2639"/>
      <c r="S112" s="170"/>
      <c r="T112" s="170"/>
    </row>
    <row r="113" spans="1:20" ht="17">
      <c r="A113" s="159"/>
      <c r="B113" s="2629" t="s">
        <v>4956</v>
      </c>
      <c r="C113" s="2630"/>
      <c r="D113" s="2630"/>
      <c r="E113" s="2630"/>
      <c r="F113" s="2630"/>
      <c r="G113" s="2630"/>
      <c r="H113" s="2630"/>
      <c r="I113" s="2630"/>
      <c r="J113" s="2630"/>
      <c r="K113" s="2630"/>
      <c r="L113" s="2631"/>
      <c r="M113" s="170"/>
      <c r="N113" s="302"/>
      <c r="P113" s="301" t="s">
        <v>4957</v>
      </c>
      <c r="Q113" s="2638"/>
      <c r="R113" s="2639"/>
      <c r="S113" s="170"/>
      <c r="T113" s="170"/>
    </row>
    <row r="114" spans="1:20" ht="17">
      <c r="A114" s="159"/>
      <c r="B114" s="2632" t="s">
        <v>4958</v>
      </c>
      <c r="C114" s="2633"/>
      <c r="D114" s="2633"/>
      <c r="E114" s="2633"/>
      <c r="F114" s="2633"/>
      <c r="G114" s="2633"/>
      <c r="H114" s="2633"/>
      <c r="I114" s="2633"/>
      <c r="J114" s="2633"/>
      <c r="K114" s="2633"/>
      <c r="L114" s="2634"/>
      <c r="M114" s="170"/>
      <c r="N114" s="302"/>
      <c r="P114" s="301" t="s">
        <v>4959</v>
      </c>
      <c r="Q114" s="2678" t="s">
        <v>4960</v>
      </c>
      <c r="R114" s="2639"/>
      <c r="S114" s="170"/>
      <c r="T114" s="170"/>
    </row>
    <row r="115" spans="1:20" ht="17">
      <c r="A115" s="159"/>
      <c r="B115" s="2626" t="s">
        <v>4961</v>
      </c>
      <c r="C115" s="2627"/>
      <c r="D115" s="2627"/>
      <c r="E115" s="2627"/>
      <c r="F115" s="2627"/>
      <c r="G115" s="2627"/>
      <c r="H115" s="2627"/>
      <c r="I115" s="2627"/>
      <c r="J115" s="2627"/>
      <c r="K115" s="2627"/>
      <c r="L115" s="2628"/>
      <c r="M115" s="170"/>
      <c r="N115" s="2701" t="s">
        <v>4962</v>
      </c>
      <c r="O115" s="2702"/>
      <c r="P115" s="301"/>
      <c r="Q115" s="2638"/>
      <c r="R115" s="2639"/>
      <c r="S115" s="170"/>
      <c r="T115" s="170"/>
    </row>
    <row r="116" spans="1:20" ht="17">
      <c r="A116" s="159"/>
      <c r="B116" s="2635" t="s">
        <v>4963</v>
      </c>
      <c r="C116" s="2636"/>
      <c r="D116" s="2636"/>
      <c r="E116" s="2636"/>
      <c r="F116" s="2636"/>
      <c r="G116" s="2636"/>
      <c r="H116" s="2636"/>
      <c r="I116" s="2636"/>
      <c r="J116" s="2636"/>
      <c r="K116" s="2636"/>
      <c r="L116" s="2637"/>
      <c r="M116" s="170"/>
      <c r="N116" s="2766"/>
      <c r="O116" s="2702"/>
      <c r="P116" s="301" t="s">
        <v>4964</v>
      </c>
      <c r="Q116" s="2638" t="s">
        <v>4965</v>
      </c>
      <c r="R116" s="2639"/>
      <c r="S116" s="170"/>
      <c r="T116" s="170"/>
    </row>
    <row r="117" spans="1:20" ht="17">
      <c r="A117" s="159"/>
      <c r="B117" s="2629" t="s">
        <v>4966</v>
      </c>
      <c r="C117" s="2630"/>
      <c r="D117" s="2630"/>
      <c r="E117" s="2630"/>
      <c r="F117" s="2630"/>
      <c r="G117" s="2630"/>
      <c r="H117" s="2630"/>
      <c r="I117" s="2630"/>
      <c r="J117" s="2630"/>
      <c r="K117" s="2630"/>
      <c r="L117" s="2631"/>
      <c r="M117" s="170"/>
      <c r="N117" s="303"/>
      <c r="O117" s="170"/>
      <c r="P117" s="301" t="s">
        <v>4967</v>
      </c>
      <c r="Q117" s="2638" t="s">
        <v>4968</v>
      </c>
      <c r="R117" s="2639"/>
      <c r="S117" s="170"/>
      <c r="T117" s="170"/>
    </row>
    <row r="118" spans="1:20" ht="17">
      <c r="A118" s="159"/>
      <c r="B118" s="2635" t="s">
        <v>4969</v>
      </c>
      <c r="C118" s="2636"/>
      <c r="D118" s="2636"/>
      <c r="E118" s="2636"/>
      <c r="F118" s="2636"/>
      <c r="G118" s="2636"/>
      <c r="H118" s="2636"/>
      <c r="I118" s="2636"/>
      <c r="J118" s="2636"/>
      <c r="K118" s="2636"/>
      <c r="L118" s="2637"/>
      <c r="M118" s="170"/>
      <c r="N118" s="2654"/>
      <c r="O118" s="2655"/>
      <c r="P118" s="304"/>
      <c r="Q118" s="2678" t="s">
        <v>4970</v>
      </c>
      <c r="R118" s="2679"/>
      <c r="S118" s="170"/>
      <c r="T118" s="170"/>
    </row>
    <row r="119" spans="1:20" ht="17">
      <c r="A119" s="159"/>
      <c r="B119" s="2640" t="s">
        <v>4971</v>
      </c>
      <c r="C119" s="2641"/>
      <c r="D119" s="2641"/>
      <c r="E119" s="2641"/>
      <c r="F119" s="2641"/>
      <c r="G119" s="2641"/>
      <c r="H119" s="2641"/>
      <c r="I119" s="2641"/>
      <c r="J119" s="2641"/>
      <c r="K119" s="2641"/>
      <c r="L119" s="2642"/>
      <c r="M119" s="170"/>
      <c r="N119" s="2654"/>
      <c r="O119" s="2655"/>
      <c r="P119" s="304"/>
      <c r="Q119" s="2678"/>
      <c r="R119" s="2679"/>
      <c r="S119" s="170"/>
      <c r="T119" s="170"/>
    </row>
    <row r="120" spans="1:20" ht="17">
      <c r="A120" s="159"/>
      <c r="B120" s="202"/>
      <c r="C120" s="202"/>
      <c r="D120" s="160"/>
      <c r="E120" s="160"/>
      <c r="F120" s="160"/>
      <c r="G120" s="160"/>
      <c r="H120" s="160"/>
      <c r="I120" s="160"/>
      <c r="J120" s="160"/>
      <c r="K120" s="170"/>
      <c r="L120" s="170"/>
      <c r="M120" s="170"/>
      <c r="N120" s="2701" t="s">
        <v>4972</v>
      </c>
      <c r="O120" s="2702"/>
      <c r="P120" s="304"/>
      <c r="Q120" s="2678" t="s">
        <v>4973</v>
      </c>
      <c r="R120" s="2679"/>
      <c r="S120" s="170"/>
      <c r="T120" s="170"/>
    </row>
    <row r="121" spans="1:20" ht="17">
      <c r="A121" s="159"/>
      <c r="B121" s="2569" t="s">
        <v>4974</v>
      </c>
      <c r="C121" s="2665" t="s">
        <v>4975</v>
      </c>
      <c r="D121" s="2666"/>
      <c r="E121" s="2975" t="s">
        <v>4976</v>
      </c>
      <c r="F121" s="2976"/>
      <c r="G121" s="2976"/>
      <c r="H121" s="2976"/>
      <c r="I121" s="2976"/>
      <c r="J121" s="2976"/>
      <c r="K121" s="2976"/>
      <c r="L121" s="2977"/>
      <c r="M121" s="170"/>
      <c r="N121" s="2703"/>
      <c r="O121" s="2704"/>
      <c r="P121" s="305"/>
      <c r="Q121" s="2828"/>
      <c r="R121" s="2829"/>
      <c r="S121" s="170"/>
      <c r="T121" s="170"/>
    </row>
    <row r="122" spans="1:20" ht="17">
      <c r="A122" s="159"/>
      <c r="B122" s="2726"/>
      <c r="C122" s="2667"/>
      <c r="D122" s="2667"/>
      <c r="E122" s="2978"/>
      <c r="F122" s="2978"/>
      <c r="G122" s="2978"/>
      <c r="H122" s="2978"/>
      <c r="I122" s="2978"/>
      <c r="J122" s="2978"/>
      <c r="K122" s="2978"/>
      <c r="L122" s="2979"/>
      <c r="M122" s="170"/>
      <c r="N122" s="170"/>
      <c r="O122" s="170"/>
      <c r="P122" s="170"/>
      <c r="Q122" s="170"/>
      <c r="R122" s="170"/>
      <c r="S122" s="170"/>
      <c r="T122" s="170"/>
    </row>
    <row r="123" spans="1:20" ht="17">
      <c r="A123" s="159"/>
      <c r="B123" s="2578" t="s">
        <v>4977</v>
      </c>
      <c r="C123" s="2630" t="s">
        <v>4632</v>
      </c>
      <c r="D123" s="2630"/>
      <c r="E123" s="2652" t="s">
        <v>4978</v>
      </c>
      <c r="F123" s="2652"/>
      <c r="G123" s="2652"/>
      <c r="H123" s="2652"/>
      <c r="I123" s="2652"/>
      <c r="J123" s="2652"/>
      <c r="K123" s="2652"/>
      <c r="L123" s="2653"/>
      <c r="M123" s="170"/>
      <c r="N123" s="2575" t="s">
        <v>4979</v>
      </c>
      <c r="O123" s="2643"/>
      <c r="P123" s="2643"/>
      <c r="Q123" s="2643"/>
      <c r="R123" s="2643"/>
      <c r="S123" s="2643"/>
      <c r="T123" s="2644"/>
    </row>
    <row r="124" spans="1:20" ht="17">
      <c r="A124" s="159"/>
      <c r="B124" s="2578"/>
      <c r="C124" s="2630"/>
      <c r="D124" s="2630"/>
      <c r="E124" s="2652"/>
      <c r="F124" s="2652"/>
      <c r="G124" s="2652"/>
      <c r="H124" s="2652"/>
      <c r="I124" s="2652"/>
      <c r="J124" s="2652"/>
      <c r="K124" s="2652"/>
      <c r="L124" s="2653"/>
      <c r="M124" s="170"/>
      <c r="N124" s="2839" t="s">
        <v>4980</v>
      </c>
      <c r="O124" s="2969" t="s">
        <v>4981</v>
      </c>
      <c r="P124" s="2970"/>
      <c r="Q124" s="2970"/>
      <c r="R124" s="2970"/>
      <c r="S124" s="2970"/>
      <c r="T124" s="2971"/>
    </row>
    <row r="125" spans="1:20" ht="17">
      <c r="A125" s="159"/>
      <c r="B125" s="2578"/>
      <c r="C125" s="2630"/>
      <c r="D125" s="2630"/>
      <c r="E125" s="2652"/>
      <c r="F125" s="2652"/>
      <c r="G125" s="2652"/>
      <c r="H125" s="2652"/>
      <c r="I125" s="2652"/>
      <c r="J125" s="2652"/>
      <c r="K125" s="2652"/>
      <c r="L125" s="2653"/>
      <c r="M125" s="170"/>
      <c r="N125" s="2840"/>
      <c r="O125" s="2972"/>
      <c r="P125" s="2973"/>
      <c r="Q125" s="2973"/>
      <c r="R125" s="2973"/>
      <c r="S125" s="2973"/>
      <c r="T125" s="2974"/>
    </row>
    <row r="126" spans="1:20" ht="17">
      <c r="A126" s="159"/>
      <c r="B126" s="2727" t="s">
        <v>4982</v>
      </c>
      <c r="C126" s="2673" t="s">
        <v>4554</v>
      </c>
      <c r="D126" s="2674"/>
      <c r="E126" s="2986" t="s">
        <v>4983</v>
      </c>
      <c r="F126" s="2987"/>
      <c r="G126" s="2987"/>
      <c r="H126" s="2987"/>
      <c r="I126" s="2987"/>
      <c r="J126" s="2987"/>
      <c r="K126" s="2987"/>
      <c r="L126" s="2988"/>
      <c r="M126" s="170"/>
      <c r="N126" s="2695" t="s">
        <v>4984</v>
      </c>
      <c r="O126" s="2830" t="s">
        <v>4985</v>
      </c>
      <c r="P126" s="2831"/>
      <c r="Q126" s="2831"/>
      <c r="R126" s="2831"/>
      <c r="S126" s="2831"/>
      <c r="T126" s="2832"/>
    </row>
    <row r="127" spans="1:20" ht="17">
      <c r="A127" s="159"/>
      <c r="B127" s="2728"/>
      <c r="C127" s="2674"/>
      <c r="D127" s="2674"/>
      <c r="E127" s="2987"/>
      <c r="F127" s="2987"/>
      <c r="G127" s="2987"/>
      <c r="H127" s="2987"/>
      <c r="I127" s="2987"/>
      <c r="J127" s="2987"/>
      <c r="K127" s="2987"/>
      <c r="L127" s="2988"/>
      <c r="M127" s="170"/>
      <c r="N127" s="2696"/>
      <c r="O127" s="2989"/>
      <c r="P127" s="2990"/>
      <c r="Q127" s="2990"/>
      <c r="R127" s="2990"/>
      <c r="S127" s="2990"/>
      <c r="T127" s="2991"/>
    </row>
    <row r="128" spans="1:20" ht="17">
      <c r="A128" s="159"/>
      <c r="B128" s="2728"/>
      <c r="C128" s="2674"/>
      <c r="D128" s="2674"/>
      <c r="E128" s="2987"/>
      <c r="F128" s="2987"/>
      <c r="G128" s="2987"/>
      <c r="H128" s="2987"/>
      <c r="I128" s="2987"/>
      <c r="J128" s="2987"/>
      <c r="K128" s="2987"/>
      <c r="L128" s="2988"/>
      <c r="M128" s="170"/>
      <c r="N128" s="2697" t="s">
        <v>4986</v>
      </c>
      <c r="O128" s="2992" t="s">
        <v>4987</v>
      </c>
      <c r="P128" s="2993"/>
      <c r="Q128" s="2993"/>
      <c r="R128" s="2993"/>
      <c r="S128" s="2993"/>
      <c r="T128" s="2994"/>
    </row>
    <row r="129" spans="1:20" ht="17">
      <c r="A129" s="159"/>
      <c r="B129" s="2578" t="s">
        <v>4988</v>
      </c>
      <c r="C129" s="2630" t="s">
        <v>405</v>
      </c>
      <c r="D129" s="2630"/>
      <c r="E129" s="2573" t="s">
        <v>4989</v>
      </c>
      <c r="F129" s="2573"/>
      <c r="G129" s="2573"/>
      <c r="H129" s="2573"/>
      <c r="I129" s="2573"/>
      <c r="J129" s="2573"/>
      <c r="K129" s="2573"/>
      <c r="L129" s="2574"/>
      <c r="M129" s="170"/>
      <c r="N129" s="2698"/>
      <c r="O129" s="2995"/>
      <c r="P129" s="2993"/>
      <c r="Q129" s="2993"/>
      <c r="R129" s="2993"/>
      <c r="S129" s="2993"/>
      <c r="T129" s="2994"/>
    </row>
    <row r="130" spans="1:20" ht="17">
      <c r="A130" s="159"/>
      <c r="B130" s="2578"/>
      <c r="C130" s="2630"/>
      <c r="D130" s="2630"/>
      <c r="E130" s="2573"/>
      <c r="F130" s="2573"/>
      <c r="G130" s="2573"/>
      <c r="H130" s="2573"/>
      <c r="I130" s="2573"/>
      <c r="J130" s="2573"/>
      <c r="K130" s="2573"/>
      <c r="L130" s="2574"/>
      <c r="M130" s="170"/>
      <c r="N130" s="2698"/>
      <c r="O130" s="2995"/>
      <c r="P130" s="2993"/>
      <c r="Q130" s="2993"/>
      <c r="R130" s="2993"/>
      <c r="S130" s="2993"/>
      <c r="T130" s="2994"/>
    </row>
    <row r="131" spans="1:20" ht="17">
      <c r="A131" s="159"/>
      <c r="B131" s="2578"/>
      <c r="C131" s="2630"/>
      <c r="D131" s="2630"/>
      <c r="E131" s="2573"/>
      <c r="F131" s="2573"/>
      <c r="G131" s="2573"/>
      <c r="H131" s="2573"/>
      <c r="I131" s="2573"/>
      <c r="J131" s="2573"/>
      <c r="K131" s="2573"/>
      <c r="L131" s="2574"/>
      <c r="M131" s="170"/>
      <c r="N131" s="2698"/>
      <c r="O131" s="2995"/>
      <c r="P131" s="2993"/>
      <c r="Q131" s="2993"/>
      <c r="R131" s="2993"/>
      <c r="S131" s="2993"/>
      <c r="T131" s="2994"/>
    </row>
    <row r="132" spans="1:20" ht="17">
      <c r="A132" s="159"/>
      <c r="B132" s="2729" t="s">
        <v>4990</v>
      </c>
      <c r="C132" s="2673" t="s">
        <v>1703</v>
      </c>
      <c r="D132" s="2962"/>
      <c r="E132" s="2660" t="s">
        <v>4991</v>
      </c>
      <c r="F132" s="2661"/>
      <c r="G132" s="2661"/>
      <c r="H132" s="2661"/>
      <c r="I132" s="2661"/>
      <c r="J132" s="2661"/>
      <c r="K132" s="2661"/>
      <c r="L132" s="2662"/>
      <c r="M132" s="170"/>
      <c r="N132" s="2699"/>
      <c r="O132" s="2996"/>
      <c r="P132" s="2997"/>
      <c r="Q132" s="2997"/>
      <c r="R132" s="2997"/>
      <c r="S132" s="2997"/>
      <c r="T132" s="2998"/>
    </row>
    <row r="133" spans="1:20" ht="17">
      <c r="A133" s="159"/>
      <c r="B133" s="2730"/>
      <c r="C133" s="2962"/>
      <c r="D133" s="2962"/>
      <c r="E133" s="2661"/>
      <c r="F133" s="2661"/>
      <c r="G133" s="2661"/>
      <c r="H133" s="2661"/>
      <c r="I133" s="2661"/>
      <c r="J133" s="2661"/>
      <c r="K133" s="2661"/>
      <c r="L133" s="2662"/>
      <c r="M133" s="170"/>
      <c r="N133" s="2700" t="s">
        <v>4992</v>
      </c>
      <c r="O133" s="2830" t="s">
        <v>4993</v>
      </c>
      <c r="P133" s="2831"/>
      <c r="Q133" s="2831"/>
      <c r="R133" s="2831"/>
      <c r="S133" s="2831"/>
      <c r="T133" s="2832"/>
    </row>
    <row r="134" spans="1:20" ht="17">
      <c r="A134" s="159"/>
      <c r="B134" s="2730"/>
      <c r="C134" s="2962"/>
      <c r="D134" s="2962"/>
      <c r="E134" s="2661"/>
      <c r="F134" s="2661"/>
      <c r="G134" s="2661"/>
      <c r="H134" s="2661"/>
      <c r="I134" s="2661"/>
      <c r="J134" s="2661"/>
      <c r="K134" s="2661"/>
      <c r="L134" s="2662"/>
      <c r="M134" s="170"/>
      <c r="N134" s="2700"/>
      <c r="O134" s="2830"/>
      <c r="P134" s="2831"/>
      <c r="Q134" s="2831"/>
      <c r="R134" s="2831"/>
      <c r="S134" s="2831"/>
      <c r="T134" s="2832"/>
    </row>
    <row r="135" spans="1:20" ht="17">
      <c r="A135" s="159"/>
      <c r="B135" s="2629" t="s">
        <v>4994</v>
      </c>
      <c r="C135" s="2630" t="s">
        <v>1598</v>
      </c>
      <c r="D135" s="2630"/>
      <c r="E135" s="2656" t="s">
        <v>4995</v>
      </c>
      <c r="F135" s="2656"/>
      <c r="G135" s="2656"/>
      <c r="H135" s="2656"/>
      <c r="I135" s="2656"/>
      <c r="J135" s="2656"/>
      <c r="K135" s="2656"/>
      <c r="L135" s="2657"/>
      <c r="M135" s="170"/>
      <c r="N135" s="2700"/>
      <c r="O135" s="2830"/>
      <c r="P135" s="2831"/>
      <c r="Q135" s="2831"/>
      <c r="R135" s="2831"/>
      <c r="S135" s="2831"/>
      <c r="T135" s="2832"/>
    </row>
    <row r="136" spans="1:20" ht="17">
      <c r="A136" s="159"/>
      <c r="B136" s="2629"/>
      <c r="C136" s="2630"/>
      <c r="D136" s="2630"/>
      <c r="E136" s="2656"/>
      <c r="F136" s="2656"/>
      <c r="G136" s="2656"/>
      <c r="H136" s="2656"/>
      <c r="I136" s="2656"/>
      <c r="J136" s="2656"/>
      <c r="K136" s="2656"/>
      <c r="L136" s="2657"/>
      <c r="M136" s="170"/>
      <c r="N136" s="2700"/>
      <c r="O136" s="2830"/>
      <c r="P136" s="2831"/>
      <c r="Q136" s="2831"/>
      <c r="R136" s="2831"/>
      <c r="S136" s="2831"/>
      <c r="T136" s="2832"/>
    </row>
    <row r="137" spans="1:20" ht="17">
      <c r="A137" s="159"/>
      <c r="B137" s="2629"/>
      <c r="C137" s="2630"/>
      <c r="D137" s="2630"/>
      <c r="E137" s="2656"/>
      <c r="F137" s="2656"/>
      <c r="G137" s="2656"/>
      <c r="H137" s="2656"/>
      <c r="I137" s="2656"/>
      <c r="J137" s="2656"/>
      <c r="K137" s="2656"/>
      <c r="L137" s="2657"/>
      <c r="M137" s="170"/>
      <c r="N137" s="2700"/>
      <c r="O137" s="2830"/>
      <c r="P137" s="2831"/>
      <c r="Q137" s="2831"/>
      <c r="R137" s="2831"/>
      <c r="S137" s="2831"/>
      <c r="T137" s="2832"/>
    </row>
    <row r="138" spans="1:20" ht="17">
      <c r="A138" s="159"/>
      <c r="B138" s="2729" t="s">
        <v>4996</v>
      </c>
      <c r="C138" s="2673" t="s">
        <v>4910</v>
      </c>
      <c r="D138" s="2674"/>
      <c r="E138" s="2660" t="s">
        <v>4997</v>
      </c>
      <c r="F138" s="2661"/>
      <c r="G138" s="2661"/>
      <c r="H138" s="2661"/>
      <c r="I138" s="2661"/>
      <c r="J138" s="2661"/>
      <c r="K138" s="2661"/>
      <c r="L138" s="2662"/>
      <c r="M138" s="170"/>
      <c r="N138" s="2700"/>
      <c r="O138" s="2830"/>
      <c r="P138" s="2831"/>
      <c r="Q138" s="2831"/>
      <c r="R138" s="2831"/>
      <c r="S138" s="2831"/>
      <c r="T138" s="2832"/>
    </row>
    <row r="139" spans="1:20" ht="17">
      <c r="A139" s="159"/>
      <c r="B139" s="2731"/>
      <c r="C139" s="2674"/>
      <c r="D139" s="2674"/>
      <c r="E139" s="2661"/>
      <c r="F139" s="2661"/>
      <c r="G139" s="2661"/>
      <c r="H139" s="2661"/>
      <c r="I139" s="2661"/>
      <c r="J139" s="2661"/>
      <c r="K139" s="2661"/>
      <c r="L139" s="2662"/>
      <c r="M139" s="170"/>
      <c r="N139" s="2700"/>
      <c r="O139" s="2830"/>
      <c r="P139" s="2831"/>
      <c r="Q139" s="2831"/>
      <c r="R139" s="2831"/>
      <c r="S139" s="2831"/>
      <c r="T139" s="2832"/>
    </row>
    <row r="140" spans="1:20" ht="17">
      <c r="A140" s="159"/>
      <c r="B140" s="2732"/>
      <c r="C140" s="2675"/>
      <c r="D140" s="2675"/>
      <c r="E140" s="2663"/>
      <c r="F140" s="2663"/>
      <c r="G140" s="2663"/>
      <c r="H140" s="2663"/>
      <c r="I140" s="2663"/>
      <c r="J140" s="2663"/>
      <c r="K140" s="2663"/>
      <c r="L140" s="2664"/>
      <c r="M140" s="170"/>
      <c r="N140" s="2700"/>
      <c r="O140" s="2830"/>
      <c r="P140" s="2831"/>
      <c r="Q140" s="2831"/>
      <c r="R140" s="2831"/>
      <c r="S140" s="2831"/>
      <c r="T140" s="2832"/>
    </row>
    <row r="141" spans="1:20">
      <c r="A141" s="159"/>
      <c r="N141" s="314"/>
      <c r="O141" s="314"/>
      <c r="P141" s="314"/>
      <c r="Q141" s="314"/>
      <c r="R141" s="314"/>
      <c r="S141" s="314"/>
      <c r="T141" s="314"/>
    </row>
    <row r="142" spans="1:20">
      <c r="A142" s="159"/>
      <c r="B142" s="2680" t="s">
        <v>4998</v>
      </c>
      <c r="C142" s="2681"/>
      <c r="D142" s="2681"/>
      <c r="E142" s="2681"/>
      <c r="F142" s="2681"/>
      <c r="G142" s="2681"/>
      <c r="H142" s="2681"/>
      <c r="I142" s="2681"/>
      <c r="J142" s="2681"/>
      <c r="K142" s="2681"/>
      <c r="L142" s="2681"/>
      <c r="M142" s="2681"/>
      <c r="N142" s="2681"/>
      <c r="O142" s="2681"/>
      <c r="P142" s="2681"/>
      <c r="Q142" s="2681"/>
      <c r="R142" s="2681"/>
      <c r="S142" s="2681"/>
      <c r="T142" s="2682"/>
    </row>
    <row r="143" spans="1:20">
      <c r="A143" s="159"/>
      <c r="B143" s="2683"/>
      <c r="C143" s="2684"/>
      <c r="D143" s="2684"/>
      <c r="E143" s="2684"/>
      <c r="F143" s="2684"/>
      <c r="G143" s="2684"/>
      <c r="H143" s="2684"/>
      <c r="I143" s="2684"/>
      <c r="J143" s="2684"/>
      <c r="K143" s="2684"/>
      <c r="L143" s="2684"/>
      <c r="M143" s="2684"/>
      <c r="N143" s="2684"/>
      <c r="O143" s="2684"/>
      <c r="P143" s="2684"/>
      <c r="Q143" s="2684"/>
      <c r="R143" s="2684"/>
      <c r="S143" s="2684"/>
      <c r="T143" s="2685"/>
    </row>
    <row r="144" spans="1:20">
      <c r="A144" s="159"/>
      <c r="B144" s="2686"/>
      <c r="C144" s="2687"/>
      <c r="D144" s="2687"/>
      <c r="E144" s="2687"/>
      <c r="F144" s="2687"/>
      <c r="G144" s="2687"/>
      <c r="H144" s="2687"/>
      <c r="I144" s="2687"/>
      <c r="J144" s="2687"/>
      <c r="K144" s="2687"/>
      <c r="L144" s="2687"/>
      <c r="M144" s="2687"/>
      <c r="N144" s="2687"/>
      <c r="O144" s="2687"/>
      <c r="P144" s="2687"/>
      <c r="Q144" s="2687"/>
      <c r="R144" s="2687"/>
      <c r="S144" s="2687"/>
      <c r="T144" s="2688"/>
    </row>
    <row r="145" spans="1:21" ht="17">
      <c r="A145" s="159"/>
      <c r="B145" s="202"/>
      <c r="C145" s="202"/>
      <c r="D145" s="202"/>
      <c r="E145" s="202"/>
      <c r="F145" s="202"/>
      <c r="G145" s="202"/>
      <c r="H145" s="160"/>
      <c r="I145" s="160"/>
      <c r="J145" s="160"/>
      <c r="K145" s="170"/>
      <c r="L145" s="170"/>
      <c r="M145" s="170"/>
      <c r="N145" s="170"/>
      <c r="O145" s="170"/>
      <c r="P145" s="170"/>
      <c r="Q145" s="170"/>
      <c r="R145" s="170"/>
      <c r="S145" s="170"/>
      <c r="T145" s="170"/>
    </row>
    <row r="146" spans="1:21" ht="23" customHeight="1">
      <c r="A146" s="159"/>
      <c r="B146" s="306" t="s">
        <v>4999</v>
      </c>
      <c r="C146" s="202"/>
      <c r="D146" s="2645" t="s">
        <v>5000</v>
      </c>
      <c r="E146" s="2646"/>
      <c r="F146" s="2645" t="s">
        <v>5001</v>
      </c>
      <c r="G146" s="2647"/>
      <c r="H146" s="2647"/>
      <c r="I146" s="2646"/>
      <c r="J146" s="160"/>
      <c r="K146" s="2648" t="s">
        <v>5002</v>
      </c>
      <c r="L146" s="2649"/>
      <c r="M146" s="2650"/>
      <c r="N146" s="170"/>
      <c r="O146" s="2648" t="s">
        <v>5003</v>
      </c>
      <c r="P146" s="2650"/>
      <c r="Q146" s="170"/>
      <c r="R146" s="2648" t="s">
        <v>5004</v>
      </c>
      <c r="S146" s="2649"/>
      <c r="T146" s="2650"/>
    </row>
    <row r="147" spans="1:21" ht="17">
      <c r="A147" s="159"/>
      <c r="B147" s="2733" t="s">
        <v>5005</v>
      </c>
      <c r="C147" s="307"/>
      <c r="D147" s="2668" t="s">
        <v>5006</v>
      </c>
      <c r="E147" s="2669"/>
      <c r="F147" s="2668" t="s">
        <v>5007</v>
      </c>
      <c r="G147" s="2676"/>
      <c r="H147" s="2676"/>
      <c r="I147" s="2669"/>
      <c r="J147" s="307"/>
      <c r="K147" s="2841" t="s">
        <v>5008</v>
      </c>
      <c r="L147" s="2831"/>
      <c r="M147" s="2832"/>
      <c r="N147" s="315"/>
      <c r="O147" s="2841" t="s">
        <v>5009</v>
      </c>
      <c r="P147" s="2832"/>
      <c r="Q147" s="315"/>
      <c r="R147" s="2963" t="s">
        <v>5010</v>
      </c>
      <c r="S147" s="2964"/>
      <c r="T147" s="2965"/>
    </row>
    <row r="148" spans="1:21" ht="17">
      <c r="A148" s="159"/>
      <c r="B148" s="2733"/>
      <c r="C148" s="307"/>
      <c r="D148" s="2668"/>
      <c r="E148" s="2669"/>
      <c r="F148" s="2668"/>
      <c r="G148" s="2676"/>
      <c r="H148" s="2676"/>
      <c r="I148" s="2669"/>
      <c r="J148" s="307"/>
      <c r="K148" s="2841"/>
      <c r="L148" s="2831"/>
      <c r="M148" s="2832"/>
      <c r="N148" s="315"/>
      <c r="O148" s="2841"/>
      <c r="P148" s="2832"/>
      <c r="Q148" s="315"/>
      <c r="R148" s="2963"/>
      <c r="S148" s="2964"/>
      <c r="T148" s="2965"/>
    </row>
    <row r="149" spans="1:21" ht="17">
      <c r="A149" s="159"/>
      <c r="B149" s="2733"/>
      <c r="C149" s="307"/>
      <c r="D149" s="2668"/>
      <c r="E149" s="2669"/>
      <c r="F149" s="2668"/>
      <c r="G149" s="2676"/>
      <c r="H149" s="2676"/>
      <c r="I149" s="2669"/>
      <c r="J149" s="307"/>
      <c r="K149" s="2841"/>
      <c r="L149" s="2831"/>
      <c r="M149" s="2832"/>
      <c r="N149" s="315"/>
      <c r="O149" s="2841"/>
      <c r="P149" s="2832"/>
      <c r="Q149" s="315"/>
      <c r="R149" s="2963"/>
      <c r="S149" s="2964"/>
      <c r="T149" s="2965"/>
    </row>
    <row r="150" spans="1:21" ht="17">
      <c r="A150" s="159"/>
      <c r="B150" s="2733"/>
      <c r="C150" s="307"/>
      <c r="D150" s="2668"/>
      <c r="E150" s="2669"/>
      <c r="F150" s="2668"/>
      <c r="G150" s="2676"/>
      <c r="H150" s="2676"/>
      <c r="I150" s="2669"/>
      <c r="J150" s="307"/>
      <c r="K150" s="2841"/>
      <c r="L150" s="2831"/>
      <c r="M150" s="2832"/>
      <c r="N150" s="315"/>
      <c r="O150" s="2841"/>
      <c r="P150" s="2832"/>
      <c r="Q150" s="315"/>
      <c r="R150" s="2963"/>
      <c r="S150" s="2964"/>
      <c r="T150" s="2965"/>
    </row>
    <row r="151" spans="1:21" ht="17">
      <c r="A151" s="159"/>
      <c r="B151" s="2733"/>
      <c r="C151" s="307"/>
      <c r="D151" s="2668"/>
      <c r="E151" s="2669"/>
      <c r="F151" s="2668"/>
      <c r="G151" s="2676"/>
      <c r="H151" s="2676"/>
      <c r="I151" s="2669"/>
      <c r="J151" s="307"/>
      <c r="K151" s="2841"/>
      <c r="L151" s="2831"/>
      <c r="M151" s="2832"/>
      <c r="N151" s="315"/>
      <c r="O151" s="2841"/>
      <c r="P151" s="2832"/>
      <c r="Q151" s="315"/>
      <c r="R151" s="2963"/>
      <c r="S151" s="2964"/>
      <c r="T151" s="2965"/>
    </row>
    <row r="152" spans="1:21" ht="17">
      <c r="A152" s="159"/>
      <c r="B152" s="2733"/>
      <c r="C152" s="307"/>
      <c r="D152" s="2668"/>
      <c r="E152" s="2669"/>
      <c r="F152" s="2668"/>
      <c r="G152" s="2676"/>
      <c r="H152" s="2676"/>
      <c r="I152" s="2669"/>
      <c r="J152" s="307"/>
      <c r="K152" s="2841"/>
      <c r="L152" s="2831"/>
      <c r="M152" s="2832"/>
      <c r="N152" s="315"/>
      <c r="O152" s="2841"/>
      <c r="P152" s="2832"/>
      <c r="Q152" s="315"/>
      <c r="R152" s="2963"/>
      <c r="S152" s="2964"/>
      <c r="T152" s="2965"/>
    </row>
    <row r="153" spans="1:21" ht="17">
      <c r="A153" s="159"/>
      <c r="B153" s="2733"/>
      <c r="C153" s="307"/>
      <c r="D153" s="2668"/>
      <c r="E153" s="2669"/>
      <c r="F153" s="2668"/>
      <c r="G153" s="2676"/>
      <c r="H153" s="2676"/>
      <c r="I153" s="2669"/>
      <c r="J153" s="307"/>
      <c r="K153" s="2841"/>
      <c r="L153" s="2831"/>
      <c r="M153" s="2832"/>
      <c r="N153" s="315"/>
      <c r="O153" s="2841"/>
      <c r="P153" s="2832"/>
      <c r="Q153" s="315"/>
      <c r="R153" s="2963"/>
      <c r="S153" s="2964"/>
      <c r="T153" s="2965"/>
    </row>
    <row r="154" spans="1:21" ht="17">
      <c r="A154" s="159"/>
      <c r="B154" s="2733"/>
      <c r="C154" s="307"/>
      <c r="D154" s="2668"/>
      <c r="E154" s="2669"/>
      <c r="F154" s="2668"/>
      <c r="G154" s="2676"/>
      <c r="H154" s="2676"/>
      <c r="I154" s="2669"/>
      <c r="J154" s="307"/>
      <c r="K154" s="2841"/>
      <c r="L154" s="2831"/>
      <c r="M154" s="2832"/>
      <c r="N154" s="315"/>
      <c r="O154" s="2841"/>
      <c r="P154" s="2832"/>
      <c r="Q154" s="315"/>
      <c r="R154" s="2963"/>
      <c r="S154" s="2964"/>
      <c r="T154" s="2965"/>
    </row>
    <row r="155" spans="1:21" ht="17">
      <c r="A155" s="159"/>
      <c r="B155" s="2734"/>
      <c r="C155" s="307"/>
      <c r="D155" s="2670"/>
      <c r="E155" s="2671"/>
      <c r="F155" s="2670"/>
      <c r="G155" s="2677"/>
      <c r="H155" s="2677"/>
      <c r="I155" s="2671"/>
      <c r="J155" s="307"/>
      <c r="K155" s="2842"/>
      <c r="L155" s="2843"/>
      <c r="M155" s="2844"/>
      <c r="N155" s="315"/>
      <c r="O155" s="2842"/>
      <c r="P155" s="2844"/>
      <c r="Q155" s="315"/>
      <c r="R155" s="2966"/>
      <c r="S155" s="2967"/>
      <c r="T155" s="2968"/>
    </row>
    <row r="156" spans="1:21" ht="17">
      <c r="A156" s="159"/>
      <c r="B156" s="202"/>
      <c r="C156" s="202"/>
      <c r="D156" s="202"/>
      <c r="E156" s="202"/>
      <c r="F156" s="202"/>
      <c r="G156" s="202"/>
      <c r="H156" s="202"/>
      <c r="I156" s="202"/>
      <c r="J156" s="202"/>
      <c r="K156" s="170"/>
      <c r="L156" s="170"/>
      <c r="M156" s="170"/>
      <c r="N156" s="170"/>
      <c r="O156" s="170"/>
      <c r="P156" s="170"/>
      <c r="Q156" s="170"/>
      <c r="R156" s="170"/>
      <c r="S156" s="170"/>
      <c r="T156" s="170"/>
    </row>
    <row r="157" spans="1:21" ht="17">
      <c r="A157" s="159"/>
      <c r="B157" s="2645" t="s">
        <v>5011</v>
      </c>
      <c r="C157" s="2645" t="s">
        <v>5012</v>
      </c>
      <c r="D157" s="2646"/>
      <c r="E157" s="202"/>
      <c r="F157" s="2645" t="s">
        <v>5013</v>
      </c>
      <c r="G157" s="2647"/>
      <c r="H157" s="2647"/>
      <c r="I157" s="2647"/>
      <c r="J157" s="2647"/>
      <c r="K157" s="2645" t="s">
        <v>5014</v>
      </c>
      <c r="L157" s="2646"/>
      <c r="M157" s="170"/>
      <c r="N157" s="2648" t="s">
        <v>5015</v>
      </c>
      <c r="O157" s="2649"/>
      <c r="P157" s="2649"/>
      <c r="Q157" s="2649"/>
      <c r="R157" s="2649"/>
      <c r="S157" s="2649"/>
      <c r="T157" s="2650"/>
    </row>
    <row r="158" spans="1:21" ht="17">
      <c r="A158" s="159"/>
      <c r="B158" s="2658"/>
      <c r="C158" s="2658"/>
      <c r="D158" s="2659"/>
      <c r="E158" s="202"/>
      <c r="F158" s="2658"/>
      <c r="G158" s="2672"/>
      <c r="H158" s="2672"/>
      <c r="I158" s="2672"/>
      <c r="J158" s="2672"/>
      <c r="K158" s="2658"/>
      <c r="L158" s="2659"/>
      <c r="M158" s="170"/>
      <c r="N158" s="2781"/>
      <c r="O158" s="2782"/>
      <c r="P158" s="2782"/>
      <c r="Q158" s="2782"/>
      <c r="R158" s="2782"/>
      <c r="S158" s="2782"/>
      <c r="T158" s="2783"/>
    </row>
    <row r="159" spans="1:21" ht="17">
      <c r="A159" s="159"/>
      <c r="B159" s="2578" t="s">
        <v>5016</v>
      </c>
      <c r="C159" s="2578" t="s">
        <v>5017</v>
      </c>
      <c r="D159" s="2580"/>
      <c r="E159" s="202"/>
      <c r="F159" s="2793" t="s">
        <v>5018</v>
      </c>
      <c r="G159" s="2794"/>
      <c r="H159" s="2794"/>
      <c r="I159" s="2794"/>
      <c r="J159" s="2794"/>
      <c r="K159" s="2668" t="s">
        <v>5019</v>
      </c>
      <c r="L159" s="2669"/>
      <c r="M159" s="170"/>
      <c r="N159" s="2911" t="s">
        <v>5020</v>
      </c>
      <c r="O159" s="2912"/>
      <c r="P159" s="2912"/>
      <c r="Q159" s="2913"/>
      <c r="R159" s="2689" t="s">
        <v>5021</v>
      </c>
      <c r="S159" s="2690"/>
      <c r="T159" s="2691"/>
      <c r="U159" s="162"/>
    </row>
    <row r="160" spans="1:21" ht="17">
      <c r="A160" s="159"/>
      <c r="B160" s="2578"/>
      <c r="C160" s="2578"/>
      <c r="D160" s="2580"/>
      <c r="E160" s="202"/>
      <c r="F160" s="2793"/>
      <c r="G160" s="2794"/>
      <c r="H160" s="2794"/>
      <c r="I160" s="2794"/>
      <c r="J160" s="2794"/>
      <c r="K160" s="2668"/>
      <c r="L160" s="2669"/>
      <c r="M160" s="170"/>
      <c r="N160" s="2914"/>
      <c r="O160" s="2915"/>
      <c r="P160" s="2652"/>
      <c r="Q160" s="2916"/>
      <c r="R160" s="2692"/>
      <c r="S160" s="2693"/>
      <c r="T160" s="2694"/>
      <c r="U160" s="162"/>
    </row>
    <row r="161" spans="2:21" ht="17">
      <c r="B161" s="2578"/>
      <c r="C161" s="2578"/>
      <c r="D161" s="2580"/>
      <c r="E161" s="160"/>
      <c r="F161" s="2793"/>
      <c r="G161" s="2794"/>
      <c r="H161" s="2794"/>
      <c r="I161" s="2794"/>
      <c r="J161" s="2794"/>
      <c r="K161" s="2668"/>
      <c r="L161" s="2669"/>
      <c r="M161" s="170"/>
      <c r="N161" s="2928" t="s">
        <v>5022</v>
      </c>
      <c r="O161" s="2929"/>
      <c r="P161" s="2930"/>
      <c r="Q161" s="2931"/>
      <c r="R161" s="2931"/>
      <c r="S161" s="2931"/>
      <c r="T161" s="2932"/>
    </row>
    <row r="162" spans="2:21" ht="18">
      <c r="B162" s="2578"/>
      <c r="C162" s="308" t="s">
        <v>5023</v>
      </c>
      <c r="D162" s="309" t="s">
        <v>1763</v>
      </c>
      <c r="E162" s="160"/>
      <c r="F162" s="2793"/>
      <c r="G162" s="2794"/>
      <c r="H162" s="2794"/>
      <c r="I162" s="2794"/>
      <c r="J162" s="2794"/>
      <c r="K162" s="2668"/>
      <c r="L162" s="2669"/>
      <c r="M162" s="170"/>
      <c r="N162" s="2933"/>
      <c r="O162" s="2934"/>
      <c r="P162" s="2935"/>
      <c r="Q162" s="2934"/>
      <c r="R162" s="2934"/>
      <c r="S162" s="2934"/>
      <c r="T162" s="2936"/>
    </row>
    <row r="163" spans="2:21" ht="18">
      <c r="B163" s="2578"/>
      <c r="C163" s="288" t="s">
        <v>5024</v>
      </c>
      <c r="D163" s="296" t="s">
        <v>1754</v>
      </c>
      <c r="E163" s="160"/>
      <c r="F163" s="2793"/>
      <c r="G163" s="2794"/>
      <c r="H163" s="2794"/>
      <c r="I163" s="2794"/>
      <c r="J163" s="2794"/>
      <c r="K163" s="2668"/>
      <c r="L163" s="2669"/>
      <c r="M163" s="170"/>
      <c r="N163" s="2651" t="s">
        <v>5025</v>
      </c>
      <c r="O163" s="2652"/>
      <c r="P163" s="2652"/>
      <c r="Q163" s="2652"/>
      <c r="R163" s="2652"/>
      <c r="S163" s="2652"/>
      <c r="T163" s="2653"/>
    </row>
    <row r="164" spans="2:21" ht="18">
      <c r="B164" s="2578"/>
      <c r="C164" s="288" t="s">
        <v>5026</v>
      </c>
      <c r="D164" s="296" t="s">
        <v>5027</v>
      </c>
      <c r="E164" s="160"/>
      <c r="F164" s="2793"/>
      <c r="G164" s="2794"/>
      <c r="H164" s="2794"/>
      <c r="I164" s="2794"/>
      <c r="J164" s="2794"/>
      <c r="K164" s="2668"/>
      <c r="L164" s="2669"/>
      <c r="M164" s="170"/>
      <c r="N164" s="2710" t="s">
        <v>5028</v>
      </c>
      <c r="O164" s="2711"/>
      <c r="P164" s="2711"/>
      <c r="Q164" s="2711"/>
      <c r="R164" s="2711"/>
      <c r="S164" s="2711"/>
      <c r="T164" s="2712"/>
    </row>
    <row r="165" spans="2:21" ht="18">
      <c r="B165" s="2578"/>
      <c r="C165" s="288" t="s">
        <v>5029</v>
      </c>
      <c r="D165" s="296" t="s">
        <v>5030</v>
      </c>
      <c r="E165" s="160"/>
      <c r="F165" s="2793"/>
      <c r="G165" s="2794"/>
      <c r="H165" s="2794"/>
      <c r="I165" s="2794"/>
      <c r="J165" s="2794"/>
      <c r="K165" s="2668"/>
      <c r="L165" s="2669"/>
      <c r="M165" s="170"/>
      <c r="N165" s="2651" t="s">
        <v>5031</v>
      </c>
      <c r="O165" s="2652"/>
      <c r="P165" s="2652"/>
      <c r="Q165" s="2826"/>
      <c r="R165" s="2652" t="s">
        <v>5032</v>
      </c>
      <c r="S165" s="2652"/>
      <c r="T165" s="2653"/>
    </row>
    <row r="166" spans="2:21" ht="18">
      <c r="B166" s="2578"/>
      <c r="C166" s="288" t="s">
        <v>5033</v>
      </c>
      <c r="D166" s="296" t="s">
        <v>1645</v>
      </c>
      <c r="E166" s="160"/>
      <c r="F166" s="2793"/>
      <c r="G166" s="2794"/>
      <c r="H166" s="2794"/>
      <c r="I166" s="2794"/>
      <c r="J166" s="2794"/>
      <c r="K166" s="2668"/>
      <c r="L166" s="2669"/>
      <c r="M166" s="170"/>
      <c r="N166" s="2651"/>
      <c r="O166" s="2652"/>
      <c r="P166" s="2652"/>
      <c r="Q166" s="2826"/>
      <c r="R166" s="2652"/>
      <c r="S166" s="2652"/>
      <c r="T166" s="2653"/>
    </row>
    <row r="167" spans="2:21" ht="18">
      <c r="B167" s="2578"/>
      <c r="C167" s="288" t="s">
        <v>5034</v>
      </c>
      <c r="D167" s="296" t="s">
        <v>1658</v>
      </c>
      <c r="E167" s="160"/>
      <c r="F167" s="2793"/>
      <c r="G167" s="2794"/>
      <c r="H167" s="2794"/>
      <c r="I167" s="2794"/>
      <c r="J167" s="2794"/>
      <c r="K167" s="2668"/>
      <c r="L167" s="2669"/>
      <c r="M167" s="170"/>
      <c r="N167" s="2651"/>
      <c r="O167" s="2652"/>
      <c r="P167" s="2652"/>
      <c r="Q167" s="2826"/>
      <c r="R167" s="2652"/>
      <c r="S167" s="2652"/>
      <c r="T167" s="2653"/>
      <c r="U167" s="162"/>
    </row>
    <row r="168" spans="2:21" ht="18">
      <c r="B168" s="2939"/>
      <c r="C168" s="310">
        <v>20</v>
      </c>
      <c r="D168" s="311" t="s">
        <v>1483</v>
      </c>
      <c r="E168" s="160"/>
      <c r="F168" s="2795"/>
      <c r="G168" s="2796"/>
      <c r="H168" s="2796"/>
      <c r="I168" s="2796"/>
      <c r="J168" s="2796"/>
      <c r="K168" s="2670"/>
      <c r="L168" s="2671"/>
      <c r="M168" s="170"/>
      <c r="N168" s="2707"/>
      <c r="O168" s="2708"/>
      <c r="P168" s="2708"/>
      <c r="Q168" s="2827"/>
      <c r="R168" s="2708"/>
      <c r="S168" s="2708"/>
      <c r="T168" s="2709"/>
      <c r="U168" s="162"/>
    </row>
    <row r="169" spans="2:21" ht="17">
      <c r="B169" s="160"/>
      <c r="C169" s="160"/>
      <c r="D169" s="160"/>
      <c r="E169" s="160"/>
      <c r="F169" s="160"/>
      <c r="G169" s="160"/>
      <c r="H169" s="160"/>
      <c r="I169" s="160"/>
      <c r="J169" s="160"/>
      <c r="K169" s="170"/>
      <c r="L169" s="170"/>
      <c r="M169" s="170"/>
      <c r="N169" s="162"/>
      <c r="O169" s="162"/>
      <c r="P169" s="162"/>
      <c r="Q169" s="162"/>
      <c r="R169" s="161"/>
      <c r="S169" s="161"/>
      <c r="T169" s="161"/>
      <c r="U169" s="162"/>
    </row>
    <row r="170" spans="2:21" ht="17">
      <c r="B170" s="2648" t="s">
        <v>5035</v>
      </c>
      <c r="C170" s="2650"/>
      <c r="D170" s="2648" t="s">
        <v>5036</v>
      </c>
      <c r="E170" s="2649"/>
      <c r="F170" s="2649"/>
      <c r="G170" s="2650"/>
      <c r="I170" s="2820" t="s">
        <v>5037</v>
      </c>
      <c r="J170" s="2821"/>
      <c r="K170" s="2821"/>
      <c r="L170" s="2821"/>
      <c r="M170" s="2821"/>
      <c r="N170" s="2821"/>
      <c r="O170" s="2822"/>
      <c r="Q170" s="2648" t="s">
        <v>5038</v>
      </c>
      <c r="R170" s="2649"/>
      <c r="S170" s="2649"/>
      <c r="T170" s="2650"/>
      <c r="U170" s="162"/>
    </row>
    <row r="171" spans="2:21" ht="17">
      <c r="B171" s="2781"/>
      <c r="C171" s="2783"/>
      <c r="D171" s="2781"/>
      <c r="E171" s="2782"/>
      <c r="F171" s="2782"/>
      <c r="G171" s="2783"/>
      <c r="I171" s="2823"/>
      <c r="J171" s="2824"/>
      <c r="K171" s="2824"/>
      <c r="L171" s="2824"/>
      <c r="M171" s="2824"/>
      <c r="N171" s="2824"/>
      <c r="O171" s="2825"/>
      <c r="Q171" s="2781"/>
      <c r="R171" s="2782"/>
      <c r="S171" s="2782"/>
      <c r="T171" s="2783"/>
      <c r="U171" s="162"/>
    </row>
    <row r="172" spans="2:21" ht="17">
      <c r="B172" s="2701" t="s">
        <v>5039</v>
      </c>
      <c r="C172" s="2694"/>
      <c r="D172" s="2651" t="s">
        <v>5040</v>
      </c>
      <c r="E172" s="2652"/>
      <c r="F172" s="2652"/>
      <c r="G172" s="2653"/>
      <c r="H172" s="162"/>
      <c r="I172" s="2701" t="s">
        <v>5041</v>
      </c>
      <c r="J172" s="2693"/>
      <c r="K172" s="2693"/>
      <c r="L172" s="2693"/>
      <c r="M172" s="2693"/>
      <c r="N172" s="2693"/>
      <c r="O172" s="2694"/>
      <c r="Q172" s="2651" t="s">
        <v>5042</v>
      </c>
      <c r="R172" s="2652"/>
      <c r="S172" s="2652"/>
      <c r="T172" s="2653"/>
      <c r="U172" s="162"/>
    </row>
    <row r="173" spans="2:21" ht="17">
      <c r="B173" s="2701"/>
      <c r="C173" s="2694"/>
      <c r="D173" s="2651"/>
      <c r="E173" s="2652"/>
      <c r="F173" s="2652"/>
      <c r="G173" s="2653"/>
      <c r="H173" s="162"/>
      <c r="I173" s="2701"/>
      <c r="J173" s="2693"/>
      <c r="K173" s="2693"/>
      <c r="L173" s="2693"/>
      <c r="M173" s="2693"/>
      <c r="N173" s="2693"/>
      <c r="O173" s="2694"/>
      <c r="Q173" s="2651"/>
      <c r="R173" s="2652"/>
      <c r="S173" s="2652"/>
      <c r="T173" s="2653"/>
      <c r="U173" s="162"/>
    </row>
    <row r="174" spans="2:21" ht="17">
      <c r="B174" s="2701"/>
      <c r="C174" s="2694"/>
      <c r="D174" s="2651"/>
      <c r="E174" s="2652"/>
      <c r="F174" s="2652"/>
      <c r="G174" s="2653"/>
      <c r="H174" s="162"/>
      <c r="I174" s="2701"/>
      <c r="J174" s="2693"/>
      <c r="K174" s="2693"/>
      <c r="L174" s="2693"/>
      <c r="M174" s="2693"/>
      <c r="N174" s="2693"/>
      <c r="O174" s="2694"/>
      <c r="Q174" s="2651"/>
      <c r="R174" s="2652"/>
      <c r="S174" s="2652"/>
      <c r="T174" s="2653"/>
      <c r="U174" s="162"/>
    </row>
    <row r="175" spans="2:21" ht="17">
      <c r="B175" s="2701"/>
      <c r="C175" s="2694"/>
      <c r="D175" s="2651"/>
      <c r="E175" s="2652"/>
      <c r="F175" s="2652"/>
      <c r="G175" s="2653"/>
      <c r="H175" s="162"/>
      <c r="I175" s="2701"/>
      <c r="J175" s="2693"/>
      <c r="K175" s="2693"/>
      <c r="L175" s="2693"/>
      <c r="M175" s="2693"/>
      <c r="N175" s="2693"/>
      <c r="O175" s="2694"/>
      <c r="Q175" s="2651"/>
      <c r="R175" s="2652"/>
      <c r="S175" s="2652"/>
      <c r="T175" s="2653"/>
    </row>
    <row r="176" spans="2:21" ht="17">
      <c r="B176" s="2701"/>
      <c r="C176" s="2694"/>
      <c r="D176" s="2651"/>
      <c r="E176" s="2652"/>
      <c r="F176" s="2652"/>
      <c r="G176" s="2653"/>
      <c r="H176" s="162"/>
      <c r="I176" s="2701"/>
      <c r="J176" s="2693"/>
      <c r="K176" s="2693"/>
      <c r="L176" s="2693"/>
      <c r="M176" s="2693"/>
      <c r="N176" s="2693"/>
      <c r="O176" s="2694"/>
      <c r="Q176" s="2651"/>
      <c r="R176" s="2652"/>
      <c r="S176" s="2652"/>
      <c r="T176" s="2653"/>
    </row>
    <row r="177" spans="2:26" ht="17">
      <c r="B177" s="2701"/>
      <c r="C177" s="2694"/>
      <c r="D177" s="2651"/>
      <c r="E177" s="2652"/>
      <c r="F177" s="2652"/>
      <c r="G177" s="2653"/>
      <c r="H177" s="162"/>
      <c r="I177" s="2701"/>
      <c r="J177" s="2693"/>
      <c r="K177" s="2693"/>
      <c r="L177" s="2693"/>
      <c r="M177" s="2693"/>
      <c r="N177" s="2693"/>
      <c r="O177" s="2694"/>
      <c r="Q177" s="2651"/>
      <c r="R177" s="2652"/>
      <c r="S177" s="2652"/>
      <c r="T177" s="2653"/>
    </row>
    <row r="178" spans="2:26" ht="17">
      <c r="B178" s="2701"/>
      <c r="C178" s="2694"/>
      <c r="D178" s="2651"/>
      <c r="E178" s="2652"/>
      <c r="F178" s="2652"/>
      <c r="G178" s="2653"/>
      <c r="H178" s="162"/>
      <c r="I178" s="2701"/>
      <c r="J178" s="2693"/>
      <c r="K178" s="2693"/>
      <c r="L178" s="2693"/>
      <c r="M178" s="2693"/>
      <c r="N178" s="2693"/>
      <c r="O178" s="2694"/>
      <c r="Q178" s="2651"/>
      <c r="R178" s="2652"/>
      <c r="S178" s="2652"/>
      <c r="T178" s="2653"/>
    </row>
    <row r="179" spans="2:26" ht="17">
      <c r="B179" s="2701"/>
      <c r="C179" s="2694"/>
      <c r="D179" s="2651"/>
      <c r="E179" s="2652"/>
      <c r="F179" s="2652"/>
      <c r="G179" s="2653"/>
      <c r="H179" s="162"/>
      <c r="I179" s="2701"/>
      <c r="J179" s="2693"/>
      <c r="K179" s="2693"/>
      <c r="L179" s="2693"/>
      <c r="M179" s="2693"/>
      <c r="N179" s="2693"/>
      <c r="O179" s="2694"/>
      <c r="Q179" s="2651"/>
      <c r="R179" s="2652"/>
      <c r="S179" s="2652"/>
      <c r="T179" s="2653"/>
    </row>
    <row r="180" spans="2:26" ht="17">
      <c r="B180" s="2862"/>
      <c r="C180" s="2864"/>
      <c r="D180" s="2707"/>
      <c r="E180" s="2708"/>
      <c r="F180" s="2708"/>
      <c r="G180" s="2709"/>
      <c r="H180" s="162"/>
      <c r="I180" s="2862"/>
      <c r="J180" s="2863"/>
      <c r="K180" s="2863"/>
      <c r="L180" s="2863"/>
      <c r="M180" s="2863"/>
      <c r="N180" s="2863"/>
      <c r="O180" s="2864"/>
      <c r="Q180" s="2707"/>
      <c r="R180" s="2708"/>
      <c r="S180" s="2708"/>
      <c r="T180" s="2709"/>
    </row>
    <row r="181" spans="2:26" ht="17">
      <c r="B181" s="161"/>
      <c r="C181" s="161"/>
      <c r="D181" s="162"/>
      <c r="E181" s="162"/>
      <c r="F181" s="162"/>
      <c r="G181" s="162"/>
      <c r="H181" s="162"/>
      <c r="I181" s="161"/>
      <c r="J181" s="161"/>
      <c r="K181" s="161"/>
      <c r="L181" s="161"/>
      <c r="M181" s="161"/>
      <c r="N181" s="161"/>
      <c r="O181" s="161"/>
      <c r="Q181" s="162"/>
      <c r="R181" s="162"/>
      <c r="S181" s="162"/>
      <c r="T181" s="162"/>
    </row>
    <row r="182" spans="2:26" ht="17" customHeight="1">
      <c r="B182" s="2866" t="s">
        <v>5043</v>
      </c>
      <c r="C182" s="2867"/>
      <c r="D182" s="2867"/>
      <c r="E182" s="2867"/>
      <c r="F182" s="2867"/>
      <c r="G182" s="2867"/>
      <c r="H182" s="2867"/>
      <c r="I182" s="2867"/>
      <c r="J182" s="2867"/>
      <c r="K182" s="2868"/>
      <c r="M182" s="2808" t="s">
        <v>1553</v>
      </c>
      <c r="N182" s="2809"/>
      <c r="O182" s="2809"/>
      <c r="P182" s="2809"/>
      <c r="Q182" s="2809"/>
      <c r="R182" s="2809"/>
      <c r="S182" s="2809"/>
      <c r="T182" s="2810"/>
      <c r="U182" s="316"/>
    </row>
    <row r="183" spans="2:26" ht="17" customHeight="1">
      <c r="B183" s="2869"/>
      <c r="C183" s="2870"/>
      <c r="D183" s="2870"/>
      <c r="E183" s="2870"/>
      <c r="F183" s="2870"/>
      <c r="G183" s="2870"/>
      <c r="H183" s="2870"/>
      <c r="I183" s="2870"/>
      <c r="J183" s="2870"/>
      <c r="K183" s="2871"/>
      <c r="M183" s="2811"/>
      <c r="N183" s="2812"/>
      <c r="O183" s="2812"/>
      <c r="P183" s="2812"/>
      <c r="Q183" s="2812"/>
      <c r="R183" s="2812"/>
      <c r="S183" s="2812"/>
      <c r="T183" s="2813"/>
      <c r="U183" s="316"/>
      <c r="Y183" s="316"/>
      <c r="Z183" s="316"/>
    </row>
    <row r="184" spans="2:26" ht="17" customHeight="1">
      <c r="B184" s="2713" t="s">
        <v>5044</v>
      </c>
      <c r="C184" s="2714"/>
      <c r="D184" s="2714"/>
      <c r="E184" s="2714"/>
      <c r="F184" s="2692" t="s">
        <v>5045</v>
      </c>
      <c r="G184" s="2693"/>
      <c r="H184" s="2693"/>
      <c r="I184" s="2693"/>
      <c r="J184" s="2693"/>
      <c r="K184" s="2694"/>
      <c r="M184" s="2715" t="s">
        <v>1564</v>
      </c>
      <c r="N184" s="2716"/>
      <c r="O184" s="2717" t="s">
        <v>1565</v>
      </c>
      <c r="P184" s="2718"/>
      <c r="Q184" s="2717" t="s">
        <v>5046</v>
      </c>
      <c r="R184" s="2718"/>
      <c r="S184" s="2719" t="s">
        <v>164</v>
      </c>
      <c r="T184" s="2720"/>
      <c r="Y184" s="317"/>
      <c r="Z184" s="317"/>
    </row>
    <row r="185" spans="2:26" ht="17" customHeight="1">
      <c r="B185" s="2940" t="s">
        <v>5047</v>
      </c>
      <c r="C185" s="2937" t="s">
        <v>5048</v>
      </c>
      <c r="D185" s="2938"/>
      <c r="E185" s="2938"/>
      <c r="F185" s="2692"/>
      <c r="G185" s="2693"/>
      <c r="H185" s="2693"/>
      <c r="I185" s="2693"/>
      <c r="J185" s="2693"/>
      <c r="K185" s="2694"/>
      <c r="M185" s="2713" t="s">
        <v>1737</v>
      </c>
      <c r="N185" s="2714"/>
      <c r="O185" s="2922" t="str">
        <f>IF($M185=0,"",VLOOKUP($M185,附表!I38:M49,2,FALSE))</f>
        <v xml:space="preserve"> </v>
      </c>
      <c r="P185" s="2923"/>
      <c r="Q185" s="2281" t="str">
        <f>IF($M185=0,"",VLOOKUP($M185,附表!I38:M49,3,FALSE))</f>
        <v xml:space="preserve"> </v>
      </c>
      <c r="R185" s="2283"/>
      <c r="S185" s="2925" t="str">
        <f>IF($M185=0,"",VLOOKUP($M185,附表!I38:M49,4,FALSE))</f>
        <v xml:space="preserve"> </v>
      </c>
      <c r="T185" s="2926"/>
      <c r="Y185" s="317"/>
      <c r="Z185" s="317"/>
    </row>
    <row r="186" spans="2:26" ht="17" customHeight="1">
      <c r="B186" s="2941"/>
      <c r="C186" s="2938"/>
      <c r="D186" s="2938"/>
      <c r="E186" s="2938"/>
      <c r="F186" s="2692"/>
      <c r="G186" s="2693"/>
      <c r="H186" s="2693"/>
      <c r="I186" s="2693"/>
      <c r="J186" s="2693"/>
      <c r="K186" s="2694"/>
      <c r="M186" s="2713"/>
      <c r="N186" s="2714"/>
      <c r="O186" s="2924"/>
      <c r="P186" s="2923"/>
      <c r="Q186" s="2281"/>
      <c r="R186" s="2283"/>
      <c r="S186" s="2927"/>
      <c r="T186" s="2926"/>
      <c r="U186" s="317"/>
      <c r="Y186" s="317"/>
      <c r="Z186" s="317"/>
    </row>
    <row r="187" spans="2:26" ht="17" customHeight="1">
      <c r="B187" s="313" t="s">
        <v>5049</v>
      </c>
      <c r="C187" s="2702" t="s">
        <v>5050</v>
      </c>
      <c r="D187" s="2702"/>
      <c r="E187" s="2702"/>
      <c r="F187" s="2692"/>
      <c r="G187" s="2693"/>
      <c r="H187" s="2693"/>
      <c r="I187" s="2693"/>
      <c r="J187" s="2693"/>
      <c r="K187" s="2694"/>
      <c r="M187" s="2713"/>
      <c r="N187" s="2714"/>
      <c r="O187" s="2924"/>
      <c r="P187" s="2923"/>
      <c r="Q187" s="2281"/>
      <c r="R187" s="2283"/>
      <c r="S187" s="2927"/>
      <c r="T187" s="2926"/>
      <c r="Y187" s="317"/>
      <c r="Z187" s="317"/>
    </row>
    <row r="188" spans="2:26" ht="17" customHeight="1">
      <c r="B188" s="312" t="s">
        <v>5051</v>
      </c>
      <c r="C188" s="2721" t="s">
        <v>5052</v>
      </c>
      <c r="D188" s="2722"/>
      <c r="E188" s="2722"/>
      <c r="F188" s="2692"/>
      <c r="G188" s="2693"/>
      <c r="H188" s="2693"/>
      <c r="I188" s="2693"/>
      <c r="J188" s="2693"/>
      <c r="K188" s="2694"/>
      <c r="M188" s="2723" t="s">
        <v>108</v>
      </c>
      <c r="N188" s="2724"/>
      <c r="O188" s="2724"/>
      <c r="P188" s="2724"/>
      <c r="Q188" s="2724"/>
      <c r="R188" s="2724"/>
      <c r="S188" s="2724"/>
      <c r="T188" s="2725"/>
      <c r="U188" s="317"/>
      <c r="Y188" s="317"/>
      <c r="Z188" s="317"/>
    </row>
    <row r="189" spans="2:26" ht="17" customHeight="1">
      <c r="B189" s="313" t="s">
        <v>5053</v>
      </c>
      <c r="C189" s="2702" t="s">
        <v>5054</v>
      </c>
      <c r="D189" s="2702"/>
      <c r="E189" s="2702"/>
      <c r="F189" s="2692"/>
      <c r="G189" s="2693"/>
      <c r="H189" s="2693"/>
      <c r="I189" s="2693"/>
      <c r="J189" s="2693"/>
      <c r="K189" s="2694"/>
      <c r="M189" s="2898" t="str">
        <f>IF($M185=0,"",VLOOKUP($M185,附表!I38:M49,5,FALSE))</f>
        <v xml:space="preserve"> </v>
      </c>
      <c r="N189" s="2899"/>
      <c r="O189" s="2899"/>
      <c r="P189" s="2899"/>
      <c r="Q189" s="2899"/>
      <c r="R189" s="2899"/>
      <c r="S189" s="2899"/>
      <c r="T189" s="2900"/>
      <c r="Y189" s="317"/>
      <c r="Z189" s="317"/>
    </row>
    <row r="190" spans="2:26" ht="17" customHeight="1">
      <c r="B190" s="2705" t="s">
        <v>5055</v>
      </c>
      <c r="C190" s="2706"/>
      <c r="D190" s="2706"/>
      <c r="E190" s="2706"/>
      <c r="F190" s="2873"/>
      <c r="G190" s="2874"/>
      <c r="H190" s="2874"/>
      <c r="I190" s="2874"/>
      <c r="J190" s="2874"/>
      <c r="K190" s="2875"/>
      <c r="M190" s="2901"/>
      <c r="N190" s="2899"/>
      <c r="O190" s="2899"/>
      <c r="P190" s="2899"/>
      <c r="Q190" s="2899"/>
      <c r="R190" s="2899"/>
      <c r="S190" s="2899"/>
      <c r="T190" s="2900"/>
      <c r="U190" s="317"/>
      <c r="Y190" s="317"/>
      <c r="Z190" s="317"/>
    </row>
    <row r="191" spans="2:26" ht="17" customHeight="1">
      <c r="B191" s="2651" t="s">
        <v>5056</v>
      </c>
      <c r="C191" s="2652"/>
      <c r="D191" s="2652"/>
      <c r="E191" s="2652"/>
      <c r="F191" s="2652"/>
      <c r="G191" s="2652"/>
      <c r="H191" s="2652"/>
      <c r="I191" s="2652"/>
      <c r="J191" s="2652"/>
      <c r="K191" s="2653"/>
      <c r="M191" s="2901"/>
      <c r="N191" s="2899"/>
      <c r="O191" s="2899"/>
      <c r="P191" s="2899"/>
      <c r="Q191" s="2899"/>
      <c r="R191" s="2899"/>
      <c r="S191" s="2899"/>
      <c r="T191" s="2900"/>
      <c r="Y191" s="317"/>
      <c r="Z191" s="317"/>
    </row>
    <row r="192" spans="2:26" ht="17" customHeight="1">
      <c r="B192" s="2651" t="s">
        <v>5057</v>
      </c>
      <c r="C192" s="2652"/>
      <c r="D192" s="2652"/>
      <c r="E192" s="2652"/>
      <c r="F192" s="2652"/>
      <c r="G192" s="2652"/>
      <c r="H192" s="2652"/>
      <c r="I192" s="2652"/>
      <c r="J192" s="2652"/>
      <c r="K192" s="2653"/>
      <c r="M192" s="2901"/>
      <c r="N192" s="2899"/>
      <c r="O192" s="2899"/>
      <c r="P192" s="2899"/>
      <c r="Q192" s="2899"/>
      <c r="R192" s="2899"/>
      <c r="S192" s="2899"/>
      <c r="T192" s="2900"/>
      <c r="U192" s="317"/>
      <c r="Y192" s="317"/>
      <c r="Z192" s="317"/>
    </row>
    <row r="193" spans="2:26" ht="17" customHeight="1">
      <c r="B193" s="2707" t="s">
        <v>5058</v>
      </c>
      <c r="C193" s="2708"/>
      <c r="D193" s="2708"/>
      <c r="E193" s="2708"/>
      <c r="F193" s="2708"/>
      <c r="G193" s="2708"/>
      <c r="H193" s="2708"/>
      <c r="I193" s="2708"/>
      <c r="J193" s="2708"/>
      <c r="K193" s="2709"/>
      <c r="M193" s="2902"/>
      <c r="N193" s="2903"/>
      <c r="O193" s="2903"/>
      <c r="P193" s="2903"/>
      <c r="Q193" s="2903"/>
      <c r="R193" s="2903"/>
      <c r="S193" s="2903"/>
      <c r="T193" s="2904"/>
      <c r="Y193" s="317"/>
      <c r="Z193" s="317"/>
    </row>
    <row r="194" spans="2:26" ht="17" customHeight="1">
      <c r="B194" s="189"/>
      <c r="C194" s="189"/>
      <c r="D194" s="189"/>
      <c r="E194" s="189"/>
      <c r="F194" s="189"/>
      <c r="G194" s="189"/>
      <c r="H194" s="189"/>
      <c r="I194" s="189"/>
      <c r="J194" s="189"/>
      <c r="M194" s="325"/>
      <c r="N194" s="325"/>
      <c r="O194" s="325"/>
      <c r="P194" s="325"/>
      <c r="Q194" s="325"/>
      <c r="R194" s="325"/>
      <c r="S194" s="325"/>
      <c r="T194" s="325"/>
      <c r="Y194" s="317"/>
      <c r="Z194" s="317"/>
    </row>
    <row r="195" spans="2:26" ht="17" customHeight="1">
      <c r="B195" s="2702"/>
      <c r="C195" s="2702"/>
      <c r="D195" s="2702"/>
      <c r="E195" s="2702"/>
      <c r="F195" s="2702"/>
      <c r="G195" s="2702"/>
      <c r="H195" s="2702"/>
      <c r="I195" s="2702"/>
      <c r="J195" s="2702"/>
      <c r="K195" s="2702"/>
      <c r="L195" s="2702"/>
      <c r="M195" s="2702"/>
      <c r="N195" s="2702"/>
      <c r="O195" s="2702"/>
      <c r="P195" s="2702"/>
      <c r="Q195" s="2702"/>
      <c r="R195" s="2702"/>
      <c r="S195" s="2702"/>
      <c r="T195" s="2702"/>
    </row>
    <row r="196" spans="2:26" ht="18" customHeight="1">
      <c r="B196" s="2196" t="s">
        <v>5059</v>
      </c>
      <c r="C196" s="2197"/>
      <c r="D196" s="2197"/>
      <c r="E196" s="2197"/>
      <c r="F196" s="2197"/>
      <c r="G196" s="2197"/>
      <c r="H196" s="2197"/>
      <c r="I196" s="2197"/>
      <c r="J196" s="2197"/>
      <c r="K196" s="2197"/>
      <c r="L196" s="2197"/>
      <c r="M196" s="2197"/>
      <c r="N196" s="2197"/>
      <c r="O196" s="2197"/>
      <c r="P196" s="2197"/>
      <c r="Q196" s="2197"/>
      <c r="R196" s="2197"/>
      <c r="S196" s="2197"/>
      <c r="T196" s="2198"/>
      <c r="U196" s="207"/>
    </row>
    <row r="197" spans="2:26" ht="18" customHeight="1">
      <c r="B197" s="2199"/>
      <c r="C197" s="2200"/>
      <c r="D197" s="2200"/>
      <c r="E197" s="2200"/>
      <c r="F197" s="2200"/>
      <c r="G197" s="2200"/>
      <c r="H197" s="2200"/>
      <c r="I197" s="2200"/>
      <c r="J197" s="2200"/>
      <c r="K197" s="2200"/>
      <c r="L197" s="2200"/>
      <c r="M197" s="2200"/>
      <c r="N197" s="2200"/>
      <c r="O197" s="2200"/>
      <c r="P197" s="2200"/>
      <c r="Q197" s="2200"/>
      <c r="R197" s="2200"/>
      <c r="S197" s="2200"/>
      <c r="T197" s="2201"/>
      <c r="U197" s="207"/>
    </row>
    <row r="198" spans="2:26" ht="18" customHeight="1">
      <c r="B198" s="2202"/>
      <c r="C198" s="2203"/>
      <c r="D198" s="2203"/>
      <c r="E198" s="2203"/>
      <c r="F198" s="2203"/>
      <c r="G198" s="2203"/>
      <c r="H198" s="2203"/>
      <c r="I198" s="2203"/>
      <c r="J198" s="2203"/>
      <c r="K198" s="2203"/>
      <c r="L198" s="2203"/>
      <c r="M198" s="2203"/>
      <c r="N198" s="2203"/>
      <c r="O198" s="2203"/>
      <c r="P198" s="2203"/>
      <c r="Q198" s="2203"/>
      <c r="R198" s="2203"/>
      <c r="S198" s="2203"/>
      <c r="T198" s="2204"/>
      <c r="U198" s="207"/>
    </row>
    <row r="199" spans="2:26" ht="18" customHeight="1">
      <c r="B199" s="160"/>
      <c r="C199" s="160"/>
      <c r="D199" s="160"/>
      <c r="E199" s="160"/>
      <c r="F199" s="160"/>
      <c r="G199" s="160"/>
      <c r="H199" s="160"/>
      <c r="I199" s="160"/>
      <c r="J199" s="160"/>
      <c r="K199" s="170"/>
      <c r="L199" s="170"/>
      <c r="M199" s="170"/>
      <c r="N199" s="170"/>
      <c r="O199" s="170"/>
      <c r="P199" s="170"/>
      <c r="Q199" s="170"/>
      <c r="R199" s="170"/>
      <c r="S199" s="170"/>
      <c r="T199" s="170"/>
      <c r="U199" s="15"/>
    </row>
    <row r="200" spans="2:26" ht="18" customHeight="1">
      <c r="B200" s="160"/>
      <c r="C200" s="2775" t="s">
        <v>5059</v>
      </c>
      <c r="D200" s="2776"/>
      <c r="E200" s="2777"/>
      <c r="F200" s="160"/>
      <c r="G200" s="160"/>
      <c r="H200" s="160"/>
      <c r="I200" s="160"/>
      <c r="J200" s="321"/>
      <c r="K200" s="170"/>
      <c r="L200" s="170"/>
      <c r="M200" s="170"/>
      <c r="N200" s="2775" t="s">
        <v>5060</v>
      </c>
      <c r="O200" s="2776"/>
      <c r="P200" s="2776"/>
      <c r="Q200" s="2776"/>
      <c r="R200" s="2777"/>
      <c r="S200" s="170"/>
      <c r="T200" s="170"/>
    </row>
    <row r="201" spans="2:26" ht="18" customHeight="1">
      <c r="B201" s="160"/>
      <c r="C201" s="2778"/>
      <c r="D201" s="2779"/>
      <c r="E201" s="2780"/>
      <c r="F201" s="160"/>
      <c r="G201" s="160"/>
      <c r="H201" s="160"/>
      <c r="I201" s="160"/>
      <c r="J201" s="321"/>
      <c r="K201" s="170"/>
      <c r="L201" s="170"/>
      <c r="M201" s="170"/>
      <c r="N201" s="2778"/>
      <c r="O201" s="2779"/>
      <c r="P201" s="2779"/>
      <c r="Q201" s="2779"/>
      <c r="R201" s="2780"/>
      <c r="S201" s="170"/>
      <c r="T201" s="170"/>
    </row>
    <row r="202" spans="2:26" ht="18" customHeight="1">
      <c r="B202" s="160"/>
      <c r="C202" s="160"/>
      <c r="D202" s="160"/>
      <c r="E202" s="160"/>
      <c r="F202" s="160"/>
      <c r="G202" s="160"/>
      <c r="H202" s="160"/>
      <c r="I202" s="160"/>
      <c r="J202" s="321"/>
      <c r="K202" s="170"/>
      <c r="L202" s="170"/>
      <c r="M202" s="170"/>
      <c r="N202" s="170"/>
      <c r="O202" s="170"/>
      <c r="P202" s="170"/>
      <c r="Q202" s="170"/>
      <c r="R202" s="170"/>
      <c r="S202" s="170"/>
      <c r="T202" s="170"/>
    </row>
    <row r="203" spans="2:26" ht="18" customHeight="1">
      <c r="B203" s="2942" t="s">
        <v>5061</v>
      </c>
      <c r="C203" s="160"/>
      <c r="D203" s="160"/>
      <c r="E203" s="2872" t="s">
        <v>5062</v>
      </c>
      <c r="F203" s="2785"/>
      <c r="G203" s="2785"/>
      <c r="H203" s="2786"/>
      <c r="I203" s="160"/>
      <c r="J203" s="321"/>
      <c r="K203" s="170"/>
      <c r="L203" s="170"/>
      <c r="M203" s="170"/>
      <c r="N203" s="170"/>
      <c r="O203" s="2847" t="s">
        <v>5063</v>
      </c>
      <c r="P203" s="2848"/>
      <c r="Q203" s="2849"/>
      <c r="R203" s="170"/>
      <c r="S203" s="170"/>
      <c r="T203" s="170"/>
    </row>
    <row r="204" spans="2:26" ht="18" customHeight="1">
      <c r="B204" s="2943"/>
      <c r="C204" s="160"/>
      <c r="D204" s="160"/>
      <c r="E204" s="2787"/>
      <c r="F204" s="2788"/>
      <c r="G204" s="2788"/>
      <c r="H204" s="2789"/>
      <c r="I204" s="160"/>
      <c r="J204" s="321"/>
      <c r="K204" s="170"/>
      <c r="L204" s="170"/>
      <c r="M204" s="326"/>
      <c r="N204" s="326"/>
      <c r="O204" s="2850"/>
      <c r="P204" s="2851"/>
      <c r="Q204" s="2852"/>
      <c r="R204" s="326"/>
      <c r="S204" s="326"/>
      <c r="T204" s="170"/>
    </row>
    <row r="205" spans="2:26" ht="18" customHeight="1">
      <c r="B205" s="2943"/>
      <c r="C205" s="2886" t="s">
        <v>5064</v>
      </c>
      <c r="D205" s="2886"/>
      <c r="E205" s="2787"/>
      <c r="F205" s="2788"/>
      <c r="G205" s="2788"/>
      <c r="H205" s="2789"/>
      <c r="I205" s="160"/>
      <c r="J205" s="321"/>
      <c r="K205" s="2738" t="s">
        <v>5065</v>
      </c>
      <c r="L205" s="322"/>
      <c r="M205" s="170"/>
      <c r="N205" s="170"/>
      <c r="O205" s="2853"/>
      <c r="P205" s="2854"/>
      <c r="Q205" s="2855"/>
      <c r="R205" s="170"/>
      <c r="S205" s="170"/>
      <c r="T205" s="2799" t="s">
        <v>5065</v>
      </c>
    </row>
    <row r="206" spans="2:26" ht="18" customHeight="1">
      <c r="B206" s="2943"/>
      <c r="C206" s="2886"/>
      <c r="D206" s="2886"/>
      <c r="E206" s="2787"/>
      <c r="F206" s="2788"/>
      <c r="G206" s="2788"/>
      <c r="H206" s="2789"/>
      <c r="I206" s="160"/>
      <c r="J206" s="321"/>
      <c r="K206" s="2738"/>
      <c r="L206" s="322"/>
      <c r="M206" s="170"/>
      <c r="N206" s="170"/>
      <c r="O206" s="170"/>
      <c r="P206" s="318" t="s">
        <v>5065</v>
      </c>
      <c r="Q206" s="170"/>
      <c r="R206" s="170"/>
      <c r="S206" s="170"/>
      <c r="T206" s="2799"/>
    </row>
    <row r="207" spans="2:26" ht="18" customHeight="1">
      <c r="B207" s="2943"/>
      <c r="C207" s="160"/>
      <c r="D207" s="160"/>
      <c r="E207" s="2787"/>
      <c r="F207" s="2788"/>
      <c r="G207" s="2788"/>
      <c r="H207" s="2789"/>
      <c r="I207" s="160"/>
      <c r="J207" s="321"/>
      <c r="K207" s="2847" t="s">
        <v>5066</v>
      </c>
      <c r="L207" s="2848"/>
      <c r="M207" s="2849"/>
      <c r="N207" s="170"/>
      <c r="O207" s="2847" t="s">
        <v>5067</v>
      </c>
      <c r="P207" s="2848"/>
      <c r="Q207" s="2849"/>
      <c r="R207" s="170"/>
      <c r="S207" s="2847" t="s">
        <v>5068</v>
      </c>
      <c r="T207" s="2849"/>
      <c r="U207" s="170"/>
      <c r="V207" s="170"/>
    </row>
    <row r="208" spans="2:26" ht="18" customHeight="1">
      <c r="B208" s="2944"/>
      <c r="C208" s="160"/>
      <c r="D208" s="160"/>
      <c r="E208" s="2790"/>
      <c r="F208" s="2791"/>
      <c r="G208" s="2791"/>
      <c r="H208" s="2792"/>
      <c r="I208" s="160"/>
      <c r="J208" s="321"/>
      <c r="K208" s="2850"/>
      <c r="L208" s="2851"/>
      <c r="M208" s="2852"/>
      <c r="N208" s="170"/>
      <c r="O208" s="2850"/>
      <c r="P208" s="2851"/>
      <c r="Q208" s="2852"/>
      <c r="R208" s="170"/>
      <c r="S208" s="2850"/>
      <c r="T208" s="2852"/>
      <c r="U208" s="170"/>
      <c r="V208" s="170"/>
    </row>
    <row r="209" spans="2:26" ht="18" customHeight="1">
      <c r="B209" s="318" t="s">
        <v>5065</v>
      </c>
      <c r="C209" s="319"/>
      <c r="D209" s="319"/>
      <c r="E209" s="320" t="s">
        <v>5065</v>
      </c>
      <c r="F209" s="320"/>
      <c r="G209" s="320" t="s">
        <v>5065</v>
      </c>
      <c r="H209" s="160"/>
      <c r="I209" s="160"/>
      <c r="J209" s="321"/>
      <c r="K209" s="2853"/>
      <c r="L209" s="2854"/>
      <c r="M209" s="2855"/>
      <c r="N209" s="170"/>
      <c r="O209" s="2853"/>
      <c r="P209" s="2854"/>
      <c r="Q209" s="2855"/>
      <c r="R209" s="170"/>
      <c r="S209" s="2853"/>
      <c r="T209" s="2855"/>
      <c r="U209" s="170"/>
      <c r="V209" s="170"/>
    </row>
    <row r="210" spans="2:26" ht="18" customHeight="1">
      <c r="B210" s="2942" t="s">
        <v>5069</v>
      </c>
      <c r="C210" s="160"/>
      <c r="D210" s="160"/>
      <c r="E210" s="2764" t="s">
        <v>5070</v>
      </c>
      <c r="F210" s="2765"/>
      <c r="G210" s="2764" t="s">
        <v>5071</v>
      </c>
      <c r="H210" s="2765"/>
      <c r="I210" s="160"/>
      <c r="J210" s="321"/>
      <c r="K210" s="2837" t="s">
        <v>5065</v>
      </c>
      <c r="L210" s="2837"/>
      <c r="M210" s="2837"/>
      <c r="N210" s="170"/>
      <c r="O210" s="170"/>
      <c r="P210" s="318" t="s">
        <v>5065</v>
      </c>
      <c r="Q210" s="170"/>
      <c r="R210" s="170"/>
      <c r="S210" s="2837" t="s">
        <v>5065</v>
      </c>
      <c r="T210" s="2837"/>
    </row>
    <row r="211" spans="2:26" ht="18" customHeight="1">
      <c r="B211" s="2943"/>
      <c r="C211" s="160"/>
      <c r="D211" s="160"/>
      <c r="E211" s="2766"/>
      <c r="F211" s="2767"/>
      <c r="G211" s="2766"/>
      <c r="H211" s="2767"/>
      <c r="I211" s="160"/>
      <c r="J211" s="321"/>
      <c r="K211" s="2887" t="s">
        <v>5072</v>
      </c>
      <c r="L211" s="2888"/>
      <c r="M211" s="2889"/>
      <c r="N211" s="170"/>
      <c r="O211" s="2877" t="s">
        <v>5073</v>
      </c>
      <c r="P211" s="2878"/>
      <c r="Q211" s="2879"/>
      <c r="R211" s="170"/>
      <c r="S211" s="2802" t="s">
        <v>1489</v>
      </c>
      <c r="T211" s="2803"/>
    </row>
    <row r="212" spans="2:26" ht="18" customHeight="1">
      <c r="B212" s="2943"/>
      <c r="C212" s="160"/>
      <c r="D212" s="160"/>
      <c r="E212" s="2766"/>
      <c r="F212" s="2767"/>
      <c r="G212" s="2766"/>
      <c r="H212" s="2767"/>
      <c r="I212" s="160"/>
      <c r="J212" s="321"/>
      <c r="K212" s="2890"/>
      <c r="L212" s="2891"/>
      <c r="M212" s="2892"/>
      <c r="N212" s="170"/>
      <c r="O212" s="2880"/>
      <c r="P212" s="2881"/>
      <c r="Q212" s="2882"/>
      <c r="R212" s="170"/>
      <c r="S212" s="2804"/>
      <c r="T212" s="2805"/>
    </row>
    <row r="213" spans="2:26" ht="18" customHeight="1">
      <c r="B213" s="2943"/>
      <c r="C213" s="160"/>
      <c r="D213" s="160"/>
      <c r="E213" s="2703"/>
      <c r="F213" s="2768"/>
      <c r="G213" s="2703"/>
      <c r="H213" s="2768"/>
      <c r="I213" s="160"/>
      <c r="J213" s="321"/>
      <c r="K213" s="2890"/>
      <c r="L213" s="2891"/>
      <c r="M213" s="2892"/>
      <c r="N213" s="170"/>
      <c r="O213" s="2880"/>
      <c r="P213" s="2881"/>
      <c r="Q213" s="2882"/>
      <c r="R213" s="170"/>
      <c r="S213" s="2804"/>
      <c r="T213" s="2805"/>
    </row>
    <row r="214" spans="2:26" ht="18" customHeight="1">
      <c r="B214" s="2943"/>
      <c r="C214" s="2876" t="s">
        <v>5064</v>
      </c>
      <c r="D214" s="2876"/>
      <c r="E214" s="160"/>
      <c r="F214" s="160"/>
      <c r="G214" s="160"/>
      <c r="H214" s="160"/>
      <c r="I214" s="160"/>
      <c r="J214" s="321"/>
      <c r="K214" s="2893"/>
      <c r="L214" s="2894"/>
      <c r="M214" s="2895"/>
      <c r="N214" s="170"/>
      <c r="O214" s="2883"/>
      <c r="P214" s="2884"/>
      <c r="Q214" s="2885"/>
      <c r="R214" s="170"/>
      <c r="S214" s="2806"/>
      <c r="T214" s="2807"/>
    </row>
    <row r="215" spans="2:26" ht="18" customHeight="1">
      <c r="B215" s="2944"/>
      <c r="C215" s="2876"/>
      <c r="D215" s="2876"/>
      <c r="E215" s="2784" t="s">
        <v>5074</v>
      </c>
      <c r="F215" s="2785"/>
      <c r="G215" s="2785"/>
      <c r="H215" s="2786"/>
      <c r="I215" s="160"/>
      <c r="J215" s="321"/>
      <c r="K215" s="170"/>
      <c r="L215" s="170"/>
      <c r="M215" s="170"/>
      <c r="N215" s="170"/>
      <c r="O215" s="170"/>
      <c r="P215" s="170"/>
      <c r="Q215" s="170"/>
      <c r="R215" s="170"/>
      <c r="S215" s="170"/>
      <c r="T215" s="170"/>
    </row>
    <row r="216" spans="2:26" ht="18" customHeight="1">
      <c r="B216" s="318" t="s">
        <v>5065</v>
      </c>
      <c r="C216" s="160"/>
      <c r="D216" s="160"/>
      <c r="E216" s="2787"/>
      <c r="F216" s="2788"/>
      <c r="G216" s="2788"/>
      <c r="H216" s="2789"/>
      <c r="I216" s="160"/>
      <c r="J216" s="321"/>
      <c r="K216" s="323"/>
      <c r="L216" s="323"/>
      <c r="M216" s="323"/>
      <c r="N216" s="323"/>
      <c r="O216" s="323"/>
      <c r="P216" s="323"/>
      <c r="Q216" s="323"/>
      <c r="R216" s="323"/>
      <c r="S216" s="323"/>
      <c r="T216" s="323"/>
    </row>
    <row r="217" spans="2:26" ht="18" customHeight="1">
      <c r="B217" s="2769" t="s">
        <v>5075</v>
      </c>
      <c r="C217" s="2770"/>
      <c r="D217" s="318" t="s">
        <v>5076</v>
      </c>
      <c r="E217" s="2787"/>
      <c r="F217" s="2788"/>
      <c r="G217" s="2788"/>
      <c r="H217" s="2789"/>
      <c r="I217" s="160"/>
      <c r="J217" s="321"/>
      <c r="K217" s="170"/>
      <c r="L217" s="170"/>
      <c r="M217" s="170"/>
      <c r="N217" s="170"/>
      <c r="O217" s="2847" t="s">
        <v>5077</v>
      </c>
      <c r="P217" s="2848"/>
      <c r="Q217" s="2849"/>
      <c r="R217" s="170"/>
      <c r="S217" s="170"/>
      <c r="T217" s="170"/>
    </row>
    <row r="218" spans="2:26" ht="18" customHeight="1">
      <c r="B218" s="2771"/>
      <c r="C218" s="2772"/>
      <c r="D218" s="160"/>
      <c r="E218" s="2787"/>
      <c r="F218" s="2788"/>
      <c r="G218" s="2788"/>
      <c r="H218" s="2789"/>
      <c r="I218" s="160"/>
      <c r="J218" s="321"/>
      <c r="K218" s="2818" t="s">
        <v>5078</v>
      </c>
      <c r="L218" s="2819"/>
      <c r="M218" s="2786"/>
      <c r="N218" s="170"/>
      <c r="O218" s="2853"/>
      <c r="P218" s="2854"/>
      <c r="Q218" s="2855"/>
      <c r="R218" s="170"/>
      <c r="S218" s="170"/>
      <c r="T218" s="170"/>
      <c r="V218" s="15"/>
      <c r="W218" s="15"/>
      <c r="X218" s="15"/>
      <c r="Y218" s="15"/>
      <c r="Z218" s="15"/>
    </row>
    <row r="219" spans="2:26" ht="18" customHeight="1">
      <c r="B219" s="2771"/>
      <c r="C219" s="2772"/>
      <c r="D219" s="160"/>
      <c r="E219" s="2787"/>
      <c r="F219" s="2788"/>
      <c r="G219" s="2788"/>
      <c r="H219" s="2789"/>
      <c r="I219" s="160"/>
      <c r="J219" s="321"/>
      <c r="K219" s="2787"/>
      <c r="L219" s="2788"/>
      <c r="M219" s="2789"/>
      <c r="N219" s="170"/>
      <c r="O219" s="327"/>
      <c r="P219" s="318" t="s">
        <v>5065</v>
      </c>
      <c r="Q219" s="327"/>
      <c r="R219" s="170"/>
      <c r="S219" s="170"/>
      <c r="T219" s="170"/>
    </row>
    <row r="220" spans="2:26" ht="18" customHeight="1">
      <c r="B220" s="2771"/>
      <c r="C220" s="2772"/>
      <c r="D220" s="160"/>
      <c r="E220" s="2787"/>
      <c r="F220" s="2788"/>
      <c r="G220" s="2788"/>
      <c r="H220" s="2789"/>
      <c r="I220" s="160"/>
      <c r="J220" s="321"/>
      <c r="K220" s="2787"/>
      <c r="L220" s="2788"/>
      <c r="M220" s="2789"/>
      <c r="N220" s="2655" t="s">
        <v>5079</v>
      </c>
      <c r="O220" s="2847" t="s">
        <v>5080</v>
      </c>
      <c r="P220" s="2848"/>
      <c r="Q220" s="2849"/>
      <c r="R220" s="2655" t="s">
        <v>5081</v>
      </c>
      <c r="S220" s="2814" t="s">
        <v>5082</v>
      </c>
      <c r="T220" s="2816"/>
    </row>
    <row r="221" spans="2:26" ht="18" customHeight="1">
      <c r="B221" s="2771"/>
      <c r="C221" s="2772"/>
      <c r="D221" s="160"/>
      <c r="E221" s="2787"/>
      <c r="F221" s="2788"/>
      <c r="G221" s="2788"/>
      <c r="H221" s="2789"/>
      <c r="I221" s="160"/>
      <c r="J221" s="321"/>
      <c r="K221" s="2790"/>
      <c r="L221" s="2791"/>
      <c r="M221" s="2792"/>
      <c r="N221" s="2655"/>
      <c r="O221" s="2850"/>
      <c r="P221" s="2851"/>
      <c r="Q221" s="2852"/>
      <c r="R221" s="2655"/>
      <c r="S221" s="2713"/>
      <c r="T221" s="2817"/>
    </row>
    <row r="222" spans="2:26" ht="18" customHeight="1">
      <c r="B222" s="2771"/>
      <c r="C222" s="2772"/>
      <c r="D222" s="160"/>
      <c r="E222" s="2787"/>
      <c r="F222" s="2788"/>
      <c r="G222" s="2788"/>
      <c r="H222" s="2789"/>
      <c r="I222" s="160"/>
      <c r="J222" s="321"/>
      <c r="K222" s="170"/>
      <c r="L222" s="170"/>
      <c r="M222" s="170"/>
      <c r="N222" s="170"/>
      <c r="O222" s="2853"/>
      <c r="P222" s="2854"/>
      <c r="Q222" s="2855"/>
      <c r="R222" s="170"/>
      <c r="S222" s="2896"/>
      <c r="T222" s="2897"/>
    </row>
    <row r="223" spans="2:26" ht="18" customHeight="1">
      <c r="B223" s="2773"/>
      <c r="C223" s="2774"/>
      <c r="D223" s="160"/>
      <c r="E223" s="2790"/>
      <c r="F223" s="2791"/>
      <c r="G223" s="2791"/>
      <c r="H223" s="2792"/>
      <c r="I223" s="160"/>
      <c r="J223" s="321"/>
      <c r="K223" s="170"/>
      <c r="L223" s="170"/>
      <c r="M223" s="170"/>
      <c r="N223" s="170"/>
      <c r="O223" s="170"/>
      <c r="P223" s="170"/>
      <c r="Q223" s="170"/>
      <c r="R223" s="170"/>
      <c r="S223" s="2838" t="s">
        <v>5065</v>
      </c>
      <c r="T223" s="2838"/>
      <c r="U223" s="15"/>
    </row>
    <row r="224" spans="2:26" ht="18" customHeight="1">
      <c r="B224" s="2837" t="s">
        <v>5065</v>
      </c>
      <c r="C224" s="2837"/>
      <c r="D224" s="160"/>
      <c r="E224" s="160"/>
      <c r="F224" s="160"/>
      <c r="G224" s="160"/>
      <c r="H224" s="160"/>
      <c r="I224" s="160"/>
      <c r="J224" s="321"/>
      <c r="K224" s="2814" t="s">
        <v>5083</v>
      </c>
      <c r="L224" s="2815"/>
      <c r="M224" s="2815"/>
      <c r="N224" s="2816"/>
      <c r="O224" s="2788" t="s">
        <v>5084</v>
      </c>
      <c r="P224" s="2788"/>
      <c r="Q224" s="2856" t="s">
        <v>5085</v>
      </c>
      <c r="R224" s="2857"/>
      <c r="S224" s="2857"/>
      <c r="T224" s="2858"/>
    </row>
    <row r="225" spans="2:20" ht="18" customHeight="1">
      <c r="B225" s="2760" t="s">
        <v>5086</v>
      </c>
      <c r="C225" s="2761"/>
      <c r="D225" s="160"/>
      <c r="E225" s="2784" t="s">
        <v>5087</v>
      </c>
      <c r="F225" s="2785"/>
      <c r="G225" s="2785"/>
      <c r="H225" s="2786"/>
      <c r="I225" s="160"/>
      <c r="J225" s="321"/>
      <c r="K225" s="2713"/>
      <c r="L225" s="2714"/>
      <c r="M225" s="2714"/>
      <c r="N225" s="2817"/>
      <c r="O225" s="2788"/>
      <c r="P225" s="2788"/>
      <c r="Q225" s="2859"/>
      <c r="R225" s="2860"/>
      <c r="S225" s="2860"/>
      <c r="T225" s="2861"/>
    </row>
    <row r="226" spans="2:20" ht="18" customHeight="1">
      <c r="B226" s="2762"/>
      <c r="C226" s="2763"/>
      <c r="D226" s="160"/>
      <c r="E226" s="2787"/>
      <c r="F226" s="2788"/>
      <c r="G226" s="2788"/>
      <c r="H226" s="2789"/>
      <c r="I226" s="160"/>
      <c r="J226" s="321"/>
      <c r="K226" s="2818" t="s">
        <v>5088</v>
      </c>
      <c r="L226" s="2819"/>
      <c r="M226" s="2819"/>
      <c r="N226" s="2905"/>
      <c r="O226" s="170"/>
      <c r="P226" s="2798" t="s">
        <v>5089</v>
      </c>
      <c r="Q226" s="2739" t="s">
        <v>5090</v>
      </c>
      <c r="R226" s="170"/>
      <c r="S226" s="2739" t="s">
        <v>5091</v>
      </c>
      <c r="T226" s="2788"/>
    </row>
    <row r="227" spans="2:20" ht="18" customHeight="1">
      <c r="B227" s="160"/>
      <c r="C227" s="160"/>
      <c r="D227" s="160"/>
      <c r="E227" s="2787"/>
      <c r="F227" s="2788"/>
      <c r="G227" s="2788"/>
      <c r="H227" s="2789"/>
      <c r="I227" s="160"/>
      <c r="J227" s="321"/>
      <c r="K227" s="2906"/>
      <c r="L227" s="2739"/>
      <c r="M227" s="2739"/>
      <c r="N227" s="2907"/>
      <c r="O227" s="170"/>
      <c r="P227" s="2798"/>
      <c r="Q227" s="2739"/>
      <c r="R227" s="170"/>
      <c r="S227" s="2788"/>
      <c r="T227" s="2788"/>
    </row>
    <row r="228" spans="2:20" ht="18" customHeight="1">
      <c r="B228" s="2769" t="s">
        <v>5092</v>
      </c>
      <c r="C228" s="2917"/>
      <c r="D228" s="160"/>
      <c r="E228" s="2787"/>
      <c r="F228" s="2788"/>
      <c r="G228" s="2788"/>
      <c r="H228" s="2789"/>
      <c r="I228" s="160"/>
      <c r="J228" s="321"/>
      <c r="K228" s="2908"/>
      <c r="L228" s="2909"/>
      <c r="M228" s="2909"/>
      <c r="N228" s="2910"/>
      <c r="O228" s="2714" t="s">
        <v>5093</v>
      </c>
      <c r="P228" s="170"/>
      <c r="Q228" s="2739"/>
      <c r="R228" s="170"/>
      <c r="S228" s="2788"/>
      <c r="T228" s="2788"/>
    </row>
    <row r="229" spans="2:20" ht="18" customHeight="1">
      <c r="B229" s="2918"/>
      <c r="C229" s="2919"/>
      <c r="D229" s="160"/>
      <c r="E229" s="2787"/>
      <c r="F229" s="2788"/>
      <c r="G229" s="2788"/>
      <c r="H229" s="2789"/>
      <c r="I229" s="160"/>
      <c r="J229" s="321"/>
      <c r="K229" s="2739" t="s">
        <v>5094</v>
      </c>
      <c r="L229" s="324"/>
      <c r="N229" s="2851" t="s">
        <v>5095</v>
      </c>
      <c r="O229" s="2714"/>
      <c r="P229" s="170"/>
      <c r="Q229" s="2739"/>
      <c r="R229" s="170"/>
      <c r="S229" s="2788"/>
      <c r="T229" s="2788"/>
    </row>
    <row r="230" spans="2:20" ht="18" customHeight="1">
      <c r="B230" s="2918"/>
      <c r="C230" s="2919"/>
      <c r="D230" s="160"/>
      <c r="E230" s="2787"/>
      <c r="F230" s="2788"/>
      <c r="G230" s="2788"/>
      <c r="H230" s="2789"/>
      <c r="I230" s="160"/>
      <c r="J230" s="321"/>
      <c r="K230" s="2739"/>
      <c r="L230" s="324"/>
      <c r="N230" s="2655"/>
      <c r="O230" s="2714"/>
      <c r="P230" s="170"/>
      <c r="Q230" s="2865" t="s">
        <v>5096</v>
      </c>
      <c r="R230" s="2857"/>
      <c r="S230" s="2857"/>
      <c r="T230" s="2858"/>
    </row>
    <row r="231" spans="2:20" ht="18" customHeight="1">
      <c r="B231" s="2918"/>
      <c r="C231" s="2919"/>
      <c r="D231" s="160"/>
      <c r="E231" s="2787"/>
      <c r="F231" s="2788"/>
      <c r="G231" s="2788"/>
      <c r="H231" s="2789"/>
      <c r="I231" s="160"/>
      <c r="J231" s="321"/>
      <c r="K231" s="2739"/>
      <c r="L231" s="324"/>
      <c r="M231" s="2865" t="s">
        <v>5097</v>
      </c>
      <c r="N231" s="2857"/>
      <c r="O231" s="2858"/>
      <c r="P231" s="170"/>
      <c r="Q231" s="2859"/>
      <c r="R231" s="2860"/>
      <c r="S231" s="2860"/>
      <c r="T231" s="2861"/>
    </row>
    <row r="232" spans="2:20" ht="18" customHeight="1">
      <c r="B232" s="2918"/>
      <c r="C232" s="2919"/>
      <c r="D232" s="160"/>
      <c r="E232" s="2787"/>
      <c r="F232" s="2788"/>
      <c r="G232" s="2788"/>
      <c r="H232" s="2789"/>
      <c r="I232" s="160"/>
      <c r="J232" s="321"/>
      <c r="K232" s="2739"/>
      <c r="L232" s="324"/>
      <c r="M232" s="2859"/>
      <c r="N232" s="2860"/>
      <c r="O232" s="2861"/>
      <c r="Q232" s="162"/>
      <c r="R232" s="162"/>
      <c r="S232" s="162"/>
      <c r="T232" s="162"/>
    </row>
    <row r="233" spans="2:20" ht="21">
      <c r="B233" s="2920"/>
      <c r="C233" s="2921"/>
      <c r="D233" s="160"/>
      <c r="E233" s="2790"/>
      <c r="F233" s="2791"/>
      <c r="G233" s="2791"/>
      <c r="H233" s="2792"/>
      <c r="I233" s="160"/>
      <c r="J233" s="321"/>
      <c r="K233" s="2739"/>
      <c r="L233" s="324"/>
      <c r="M233" s="323"/>
      <c r="N233" s="323"/>
      <c r="O233" s="323"/>
      <c r="P233" s="162"/>
      <c r="Q233" s="2784" t="s">
        <v>5098</v>
      </c>
      <c r="R233" s="2845"/>
      <c r="S233" s="2845"/>
      <c r="T233" s="2846"/>
    </row>
    <row r="234" spans="2:20" ht="17">
      <c r="B234" s="160"/>
      <c r="C234" s="160"/>
      <c r="D234" s="160"/>
      <c r="E234" s="160"/>
      <c r="F234" s="160"/>
      <c r="G234" s="160"/>
      <c r="H234" s="160"/>
      <c r="I234" s="160"/>
      <c r="J234" s="321"/>
      <c r="K234" s="2865" t="s">
        <v>5099</v>
      </c>
      <c r="L234" s="2845"/>
      <c r="M234" s="2845"/>
      <c r="N234" s="2845"/>
      <c r="O234" s="2846"/>
      <c r="P234" s="162"/>
      <c r="Q234" s="2651"/>
      <c r="R234" s="2652"/>
      <c r="S234" s="2652"/>
      <c r="T234" s="2653"/>
    </row>
    <row r="235" spans="2:20" ht="17">
      <c r="B235" s="160"/>
      <c r="C235" s="160"/>
      <c r="D235" s="160"/>
      <c r="E235" s="160"/>
      <c r="F235" s="160"/>
      <c r="G235" s="160"/>
      <c r="H235" s="160"/>
      <c r="I235" s="160"/>
      <c r="J235" s="321"/>
      <c r="K235" s="2651"/>
      <c r="L235" s="2652"/>
      <c r="M235" s="2652"/>
      <c r="N235" s="2652"/>
      <c r="O235" s="2653"/>
      <c r="P235" s="162"/>
      <c r="Q235" s="2651"/>
      <c r="R235" s="2652"/>
      <c r="S235" s="2652"/>
      <c r="T235" s="2653"/>
    </row>
    <row r="236" spans="2:20" ht="17">
      <c r="B236" s="160"/>
      <c r="C236" s="160"/>
      <c r="D236" s="160"/>
      <c r="E236" s="160"/>
      <c r="F236" s="160"/>
      <c r="G236" s="160"/>
      <c r="H236" s="160"/>
      <c r="I236" s="160"/>
      <c r="J236" s="321"/>
      <c r="K236" s="2707"/>
      <c r="L236" s="2708"/>
      <c r="M236" s="2708"/>
      <c r="N236" s="2708"/>
      <c r="O236" s="2709"/>
      <c r="P236" s="170"/>
      <c r="Q236" s="2651"/>
      <c r="R236" s="2652"/>
      <c r="S236" s="2652"/>
      <c r="T236" s="2653"/>
    </row>
    <row r="237" spans="2:20" ht="17">
      <c r="B237" s="160"/>
      <c r="C237" s="160"/>
      <c r="D237" s="160"/>
      <c r="E237" s="160"/>
      <c r="F237" s="160"/>
      <c r="G237" s="160"/>
      <c r="H237" s="160"/>
      <c r="I237" s="160"/>
      <c r="J237" s="321"/>
      <c r="K237" s="170"/>
      <c r="L237" s="170"/>
      <c r="M237" s="170"/>
      <c r="N237" s="170"/>
      <c r="O237" s="170"/>
      <c r="P237" s="170"/>
      <c r="Q237" s="2651"/>
      <c r="R237" s="2652"/>
      <c r="S237" s="2652"/>
      <c r="T237" s="2653"/>
    </row>
    <row r="238" spans="2:20" ht="22">
      <c r="B238" s="306" t="s">
        <v>5100</v>
      </c>
      <c r="C238" s="160"/>
      <c r="D238" s="160"/>
      <c r="E238" s="160"/>
      <c r="F238" s="160"/>
      <c r="G238" s="160"/>
      <c r="H238" s="160"/>
      <c r="I238" s="160"/>
      <c r="J238" s="321"/>
      <c r="K238" s="170"/>
      <c r="L238" s="170"/>
      <c r="M238" s="170"/>
      <c r="N238" s="170"/>
      <c r="O238" s="170"/>
      <c r="P238" s="170"/>
      <c r="Q238" s="2651"/>
      <c r="R238" s="2652"/>
      <c r="S238" s="2652"/>
      <c r="T238" s="2653"/>
    </row>
    <row r="239" spans="2:20" ht="17">
      <c r="B239" s="2735" t="s">
        <v>5101</v>
      </c>
      <c r="C239" s="160"/>
      <c r="D239" s="160"/>
      <c r="E239" s="160"/>
      <c r="F239" s="160"/>
      <c r="G239" s="160"/>
      <c r="H239" s="160"/>
      <c r="I239" s="160"/>
      <c r="J239" s="321"/>
      <c r="K239" s="170"/>
      <c r="L239" s="170"/>
      <c r="M239" s="170"/>
      <c r="N239" s="170"/>
      <c r="O239" s="170"/>
      <c r="P239" s="170"/>
      <c r="Q239" s="2651"/>
      <c r="R239" s="2652"/>
      <c r="S239" s="2652"/>
      <c r="T239" s="2653"/>
    </row>
    <row r="240" spans="2:20" ht="17">
      <c r="B240" s="2736"/>
      <c r="C240" s="160"/>
      <c r="D240" s="160"/>
      <c r="E240" s="160"/>
      <c r="F240" s="160"/>
      <c r="G240" s="160"/>
      <c r="H240" s="160"/>
      <c r="I240" s="160"/>
      <c r="J240" s="160"/>
      <c r="K240" s="170"/>
      <c r="L240" s="170"/>
      <c r="M240" s="170"/>
      <c r="N240" s="170"/>
      <c r="O240" s="170"/>
      <c r="P240" s="170"/>
      <c r="Q240" s="2707"/>
      <c r="R240" s="2708"/>
      <c r="S240" s="2708"/>
      <c r="T240" s="2709"/>
    </row>
    <row r="241" spans="2:20" ht="17">
      <c r="B241" s="2736"/>
      <c r="C241" s="160"/>
      <c r="D241" s="160"/>
      <c r="E241" s="160"/>
      <c r="F241" s="160"/>
      <c r="G241" s="160"/>
      <c r="H241" s="160"/>
      <c r="I241" s="160"/>
      <c r="J241" s="160"/>
      <c r="K241" s="170"/>
      <c r="L241" s="170"/>
      <c r="M241" s="170"/>
      <c r="N241" s="170"/>
      <c r="O241" s="170"/>
      <c r="P241" s="170"/>
      <c r="Q241" s="170"/>
      <c r="R241" s="170"/>
      <c r="S241" s="170"/>
      <c r="T241" s="170"/>
    </row>
    <row r="242" spans="2:20" ht="17">
      <c r="B242" s="2736"/>
      <c r="C242" s="160"/>
      <c r="D242" s="160"/>
      <c r="E242" s="160"/>
      <c r="F242" s="160"/>
      <c r="G242" s="160"/>
      <c r="H242" s="160"/>
      <c r="I242" s="160"/>
      <c r="J242" s="160"/>
      <c r="K242" s="170"/>
      <c r="L242" s="170"/>
      <c r="M242" s="170"/>
      <c r="N242" s="170"/>
      <c r="O242" s="170"/>
      <c r="P242" s="170"/>
      <c r="Q242" s="170"/>
      <c r="R242" s="170"/>
      <c r="S242" s="170"/>
      <c r="T242" s="170"/>
    </row>
    <row r="243" spans="2:20" ht="17">
      <c r="B243" s="2736"/>
      <c r="C243" s="160"/>
      <c r="D243" s="160"/>
      <c r="E243" s="160"/>
      <c r="F243" s="160"/>
      <c r="G243" s="160"/>
      <c r="H243" s="160"/>
      <c r="I243" s="160"/>
      <c r="J243" s="160"/>
      <c r="K243" s="170"/>
      <c r="L243" s="170"/>
      <c r="M243" s="170"/>
      <c r="N243" s="170"/>
      <c r="O243" s="170"/>
      <c r="P243" s="170"/>
      <c r="Q243" s="170"/>
      <c r="R243" s="170"/>
      <c r="S243" s="170"/>
      <c r="T243" s="170"/>
    </row>
    <row r="244" spans="2:20" ht="17">
      <c r="B244" s="2736"/>
      <c r="C244" s="160"/>
      <c r="D244" s="160"/>
      <c r="E244" s="160"/>
      <c r="F244" s="160"/>
      <c r="G244" s="160"/>
      <c r="H244" s="160"/>
      <c r="I244" s="160"/>
      <c r="J244" s="160"/>
      <c r="K244" s="170"/>
      <c r="L244" s="170"/>
      <c r="M244" s="170"/>
      <c r="N244" s="170"/>
      <c r="O244" s="170"/>
      <c r="P244" s="170"/>
      <c r="Q244" s="170"/>
      <c r="R244" s="170"/>
      <c r="S244" s="170"/>
      <c r="T244" s="170"/>
    </row>
    <row r="245" spans="2:20" ht="17">
      <c r="B245" s="2736"/>
      <c r="C245" s="160"/>
      <c r="D245" s="160"/>
      <c r="E245" s="160"/>
      <c r="F245" s="160"/>
      <c r="G245" s="160"/>
      <c r="H245" s="160"/>
      <c r="I245" s="160"/>
      <c r="J245" s="160"/>
      <c r="K245" s="170"/>
      <c r="L245" s="170"/>
      <c r="M245" s="170"/>
      <c r="N245" s="170"/>
      <c r="O245" s="170"/>
      <c r="P245" s="170"/>
      <c r="Q245" s="170"/>
      <c r="R245" s="170"/>
      <c r="S245" s="170"/>
      <c r="T245" s="170"/>
    </row>
    <row r="246" spans="2:20" ht="17">
      <c r="B246" s="2737"/>
      <c r="C246" s="160"/>
      <c r="D246" s="160"/>
      <c r="E246" s="160"/>
      <c r="F246" s="160"/>
      <c r="G246" s="160"/>
      <c r="H246" s="160"/>
      <c r="I246" s="160"/>
      <c r="J246" s="160"/>
      <c r="K246" s="170"/>
      <c r="L246" s="170"/>
      <c r="M246" s="170"/>
      <c r="N246" s="170"/>
      <c r="O246" s="170"/>
      <c r="P246" s="170"/>
      <c r="Q246" s="170"/>
      <c r="R246" s="170"/>
      <c r="S246" s="170"/>
      <c r="T246" s="170"/>
    </row>
  </sheetData>
  <sheetProtection sheet="1" objects="1" formatCells="0"/>
  <protectedRanges>
    <protectedRange sqref="M185:N187" name="毒剂名称"/>
  </protectedRanges>
  <mergeCells count="208">
    <mergeCell ref="Q102:R105"/>
    <mergeCell ref="O2:R10"/>
    <mergeCell ref="O22:R25"/>
    <mergeCell ref="O18:R21"/>
    <mergeCell ref="O15:R17"/>
    <mergeCell ref="C132:D134"/>
    <mergeCell ref="C135:D137"/>
    <mergeCell ref="R147:T155"/>
    <mergeCell ref="O124:T125"/>
    <mergeCell ref="E121:L122"/>
    <mergeCell ref="Q114:R115"/>
    <mergeCell ref="N115:O116"/>
    <mergeCell ref="Q110:R111"/>
    <mergeCell ref="Q112:R113"/>
    <mergeCell ref="Q30:R66"/>
    <mergeCell ref="Q67:R75"/>
    <mergeCell ref="C129:D131"/>
    <mergeCell ref="E126:L128"/>
    <mergeCell ref="E132:L134"/>
    <mergeCell ref="O126:T127"/>
    <mergeCell ref="O147:P155"/>
    <mergeCell ref="O128:T132"/>
    <mergeCell ref="P90:R97"/>
    <mergeCell ref="O58:O66"/>
    <mergeCell ref="K226:N228"/>
    <mergeCell ref="N159:Q160"/>
    <mergeCell ref="B228:C233"/>
    <mergeCell ref="S226:T229"/>
    <mergeCell ref="O207:Q209"/>
    <mergeCell ref="S207:T209"/>
    <mergeCell ref="Q172:T180"/>
    <mergeCell ref="R165:T168"/>
    <mergeCell ref="M185:N187"/>
    <mergeCell ref="O185:P187"/>
    <mergeCell ref="Q185:R187"/>
    <mergeCell ref="S185:T187"/>
    <mergeCell ref="N161:T162"/>
    <mergeCell ref="C185:E186"/>
    <mergeCell ref="N229:N230"/>
    <mergeCell ref="O228:O230"/>
    <mergeCell ref="Q230:T231"/>
    <mergeCell ref="B224:C224"/>
    <mergeCell ref="B159:B168"/>
    <mergeCell ref="B185:B186"/>
    <mergeCell ref="B203:B208"/>
    <mergeCell ref="B210:B215"/>
    <mergeCell ref="N157:T158"/>
    <mergeCell ref="K147:M155"/>
    <mergeCell ref="Q233:T240"/>
    <mergeCell ref="O203:Q205"/>
    <mergeCell ref="Q224:T225"/>
    <mergeCell ref="I172:O180"/>
    <mergeCell ref="K234:O236"/>
    <mergeCell ref="B182:K183"/>
    <mergeCell ref="E203:H208"/>
    <mergeCell ref="F184:K190"/>
    <mergeCell ref="O220:Q222"/>
    <mergeCell ref="C214:D215"/>
    <mergeCell ref="O217:Q218"/>
    <mergeCell ref="E215:H223"/>
    <mergeCell ref="K207:M209"/>
    <mergeCell ref="O211:Q214"/>
    <mergeCell ref="C205:D206"/>
    <mergeCell ref="M231:O232"/>
    <mergeCell ref="B196:T198"/>
    <mergeCell ref="K211:M214"/>
    <mergeCell ref="N200:R201"/>
    <mergeCell ref="S220:T222"/>
    <mergeCell ref="B172:C180"/>
    <mergeCell ref="M189:T193"/>
    <mergeCell ref="P58:P66"/>
    <mergeCell ref="P226:P227"/>
    <mergeCell ref="Q226:Q229"/>
    <mergeCell ref="R220:R221"/>
    <mergeCell ref="T205:T206"/>
    <mergeCell ref="Q98:R101"/>
    <mergeCell ref="S211:T214"/>
    <mergeCell ref="Q170:T171"/>
    <mergeCell ref="M182:T183"/>
    <mergeCell ref="O224:P225"/>
    <mergeCell ref="K224:N225"/>
    <mergeCell ref="K218:M221"/>
    <mergeCell ref="I170:O171"/>
    <mergeCell ref="N165:Q168"/>
    <mergeCell ref="K159:L168"/>
    <mergeCell ref="Q120:R121"/>
    <mergeCell ref="O133:T140"/>
    <mergeCell ref="N90:O97"/>
    <mergeCell ref="N98:O102"/>
    <mergeCell ref="N110:O111"/>
    <mergeCell ref="K210:M210"/>
    <mergeCell ref="S210:T210"/>
    <mergeCell ref="S223:T223"/>
    <mergeCell ref="N124:N125"/>
    <mergeCell ref="B239:B246"/>
    <mergeCell ref="K205:K206"/>
    <mergeCell ref="K229:K233"/>
    <mergeCell ref="L58:L65"/>
    <mergeCell ref="M2:M29"/>
    <mergeCell ref="M30:M45"/>
    <mergeCell ref="M46:M57"/>
    <mergeCell ref="M58:M66"/>
    <mergeCell ref="M67:M75"/>
    <mergeCell ref="M76:M81"/>
    <mergeCell ref="M82:M89"/>
    <mergeCell ref="M90:M105"/>
    <mergeCell ref="B225:C226"/>
    <mergeCell ref="D172:G180"/>
    <mergeCell ref="E210:F213"/>
    <mergeCell ref="G210:H213"/>
    <mergeCell ref="B217:C223"/>
    <mergeCell ref="C200:E201"/>
    <mergeCell ref="D170:G171"/>
    <mergeCell ref="B170:C171"/>
    <mergeCell ref="E225:H233"/>
    <mergeCell ref="C159:D161"/>
    <mergeCell ref="F159:J168"/>
    <mergeCell ref="C126:D128"/>
    <mergeCell ref="B121:B122"/>
    <mergeCell ref="B123:B125"/>
    <mergeCell ref="B126:B128"/>
    <mergeCell ref="B129:B131"/>
    <mergeCell ref="B132:B134"/>
    <mergeCell ref="B135:B137"/>
    <mergeCell ref="B138:B140"/>
    <mergeCell ref="B147:B155"/>
    <mergeCell ref="B157:B158"/>
    <mergeCell ref="N126:N127"/>
    <mergeCell ref="N128:N132"/>
    <mergeCell ref="N133:N140"/>
    <mergeCell ref="N220:N221"/>
    <mergeCell ref="N120:O121"/>
    <mergeCell ref="C123:D125"/>
    <mergeCell ref="C189:E189"/>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M188:T188"/>
    <mergeCell ref="B118:L118"/>
    <mergeCell ref="B119:L119"/>
    <mergeCell ref="N123:T123"/>
    <mergeCell ref="D146:E146"/>
    <mergeCell ref="F146:I146"/>
    <mergeCell ref="K146:M146"/>
    <mergeCell ref="O146:P146"/>
    <mergeCell ref="R146:T146"/>
    <mergeCell ref="N163:T163"/>
    <mergeCell ref="N118:O119"/>
    <mergeCell ref="E135:L137"/>
    <mergeCell ref="C157:D158"/>
    <mergeCell ref="K157:L158"/>
    <mergeCell ref="E138:L140"/>
    <mergeCell ref="C121:D122"/>
    <mergeCell ref="E129:L131"/>
    <mergeCell ref="E123:L125"/>
    <mergeCell ref="D147:E155"/>
    <mergeCell ref="F157:J158"/>
    <mergeCell ref="C138:D140"/>
    <mergeCell ref="F147:I155"/>
    <mergeCell ref="Q118:R119"/>
    <mergeCell ref="B142:T144"/>
    <mergeCell ref="R159:T160"/>
    <mergeCell ref="B111:L111"/>
    <mergeCell ref="B112:L112"/>
    <mergeCell ref="B113:L113"/>
    <mergeCell ref="B114:L114"/>
    <mergeCell ref="B115:L115"/>
    <mergeCell ref="B116:L116"/>
    <mergeCell ref="Q116:R116"/>
    <mergeCell ref="B117:L117"/>
    <mergeCell ref="Q117:R117"/>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O46:P57"/>
    <mergeCell ref="O11:R14"/>
    <mergeCell ref="N103:O105"/>
    <mergeCell ref="O82:P89"/>
    <mergeCell ref="Q76:R89"/>
  </mergeCells>
  <pageMargins left="0.75" right="0.75" top="1" bottom="1" header="0.51180555555555596" footer="0.51180555555555596"/>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254"/>
  <sheetViews>
    <sheetView showGridLines="0" workbookViewId="0">
      <pane ySplit="1" topLeftCell="A2" activePane="bottomLeft" state="frozen"/>
      <selection pane="bottomLeft" activeCell="P19" sqref="P19:Q19"/>
    </sheetView>
  </sheetViews>
  <sheetFormatPr baseColWidth="10" defaultColWidth="9" defaultRowHeight="15"/>
  <cols>
    <col min="1" max="1" width="3.33203125" style="32" customWidth="1"/>
    <col min="2" max="2" width="28.33203125" style="32" customWidth="1"/>
    <col min="3" max="3" width="11" style="32" customWidth="1"/>
    <col min="4" max="4" width="5.6640625" style="32" customWidth="1"/>
    <col min="5" max="5" width="16.83203125" style="32" customWidth="1"/>
    <col min="6" max="6" width="20" style="32" customWidth="1"/>
    <col min="7" max="7" width="4.83203125" style="32" customWidth="1"/>
    <col min="8" max="8" width="11.83203125" style="32" customWidth="1"/>
    <col min="9" max="9" width="13" style="33" customWidth="1"/>
    <col min="10" max="10" width="8.6640625" style="33" customWidth="1"/>
    <col min="11" max="11" width="9.1640625" style="33" customWidth="1"/>
    <col min="12" max="12" width="8.83203125" style="33" customWidth="1"/>
    <col min="13" max="13" width="16.33203125" style="33" customWidth="1"/>
    <col min="14" max="14" width="13.83203125" style="33" customWidth="1"/>
    <col min="15" max="15" width="11.83203125" style="33" customWidth="1"/>
    <col min="16" max="16" width="8.83203125" style="33" customWidth="1"/>
    <col min="17" max="17" width="30.5" style="33" customWidth="1"/>
    <col min="18" max="18" width="18.5" style="33" customWidth="1"/>
    <col min="19" max="19" width="7.5" style="33" customWidth="1"/>
    <col min="20" max="20" width="6" style="33" customWidth="1"/>
    <col min="21" max="21" width="10.6640625" style="33" customWidth="1"/>
    <col min="22" max="22" width="7.33203125" style="33" customWidth="1"/>
    <col min="23" max="23" width="10.5" style="33" customWidth="1"/>
    <col min="24" max="24" width="13.5" style="33" customWidth="1"/>
    <col min="25" max="25" width="10.83203125" style="33" customWidth="1"/>
    <col min="26" max="26" width="7.83203125" style="33" customWidth="1"/>
    <col min="27" max="27" width="9.6640625" style="33" customWidth="1"/>
    <col min="28" max="28" width="13" style="33" customWidth="1"/>
    <col min="29" max="31" width="8.83203125" style="33" customWidth="1"/>
  </cols>
  <sheetData>
    <row r="1" spans="2:31" ht="22" customHeight="1">
      <c r="B1" s="34" t="s">
        <v>5102</v>
      </c>
      <c r="C1" s="35" t="s">
        <v>5103</v>
      </c>
      <c r="D1" s="36" t="s">
        <v>5104</v>
      </c>
      <c r="E1" s="35" t="s">
        <v>5105</v>
      </c>
      <c r="F1" s="35" t="s">
        <v>5106</v>
      </c>
      <c r="G1" s="36" t="s">
        <v>5107</v>
      </c>
      <c r="H1" s="35" t="s">
        <v>4527</v>
      </c>
      <c r="I1" s="71" t="s">
        <v>4528</v>
      </c>
      <c r="J1" s="71" t="s">
        <v>161</v>
      </c>
      <c r="K1" s="3011" t="s">
        <v>268</v>
      </c>
      <c r="L1" s="3012"/>
      <c r="M1" s="3012"/>
      <c r="N1" s="3012"/>
      <c r="O1" s="3012"/>
      <c r="Q1" s="90" t="s">
        <v>5108</v>
      </c>
      <c r="R1" s="91" t="s">
        <v>311</v>
      </c>
      <c r="S1" s="92" t="s">
        <v>34</v>
      </c>
      <c r="T1" s="92" t="s">
        <v>171</v>
      </c>
      <c r="U1" s="92" t="s">
        <v>5109</v>
      </c>
      <c r="V1" s="91" t="s">
        <v>5110</v>
      </c>
      <c r="W1" s="91" t="s">
        <v>5111</v>
      </c>
      <c r="X1" s="91" t="s">
        <v>5112</v>
      </c>
      <c r="Y1" s="125" t="s">
        <v>4527</v>
      </c>
      <c r="Z1" s="125" t="s">
        <v>161</v>
      </c>
      <c r="AA1" s="2564" t="s">
        <v>268</v>
      </c>
      <c r="AB1" s="3013"/>
      <c r="AC1" s="3013"/>
      <c r="AD1" s="3013"/>
      <c r="AE1" s="3013"/>
    </row>
    <row r="2" spans="2:31" ht="14.25" customHeight="1">
      <c r="B2" s="37" t="s">
        <v>5113</v>
      </c>
      <c r="C2" s="38">
        <v>1</v>
      </c>
      <c r="D2" s="38">
        <v>0</v>
      </c>
      <c r="E2" s="38" t="s">
        <v>5114</v>
      </c>
      <c r="F2" s="38" t="s">
        <v>5115</v>
      </c>
      <c r="G2" s="38" t="s">
        <v>491</v>
      </c>
      <c r="H2" s="38" t="s">
        <v>4535</v>
      </c>
      <c r="I2" s="72" t="s">
        <v>5116</v>
      </c>
      <c r="J2" s="3029" t="s">
        <v>5117</v>
      </c>
      <c r="K2" s="3158" t="s">
        <v>5118</v>
      </c>
      <c r="L2" s="3159"/>
      <c r="M2" s="3159"/>
      <c r="N2" s="3159"/>
      <c r="O2" s="3159"/>
      <c r="Q2" s="37" t="s">
        <v>5119</v>
      </c>
      <c r="R2" s="38" t="s">
        <v>109</v>
      </c>
      <c r="S2" s="38">
        <v>13</v>
      </c>
      <c r="T2" s="38">
        <v>4</v>
      </c>
      <c r="U2" s="38">
        <v>1</v>
      </c>
      <c r="V2" s="38" t="s">
        <v>5120</v>
      </c>
      <c r="W2" s="38" t="s">
        <v>5121</v>
      </c>
      <c r="X2" s="116" t="s">
        <v>5122</v>
      </c>
      <c r="Y2" s="72" t="s">
        <v>12</v>
      </c>
      <c r="Z2" s="3037" t="s">
        <v>3929</v>
      </c>
      <c r="AA2" s="3136" t="s">
        <v>5123</v>
      </c>
      <c r="AB2" s="126"/>
      <c r="AC2" s="126"/>
      <c r="AD2" s="131"/>
      <c r="AE2" s="131"/>
    </row>
    <row r="3" spans="2:31" ht="14.25" customHeight="1">
      <c r="B3" s="39" t="s">
        <v>5124</v>
      </c>
      <c r="C3" s="40">
        <v>2</v>
      </c>
      <c r="D3" s="40">
        <v>0</v>
      </c>
      <c r="E3" s="40" t="s">
        <v>1483</v>
      </c>
      <c r="F3" s="40" t="s">
        <v>5125</v>
      </c>
      <c r="G3" s="40" t="s">
        <v>522</v>
      </c>
      <c r="H3" s="40" t="s">
        <v>3241</v>
      </c>
      <c r="I3" s="73" t="s">
        <v>4778</v>
      </c>
      <c r="J3" s="3029"/>
      <c r="K3" s="3158"/>
      <c r="L3" s="3159"/>
      <c r="M3" s="3159"/>
      <c r="N3" s="3159"/>
      <c r="O3" s="3159"/>
      <c r="Q3" s="37" t="s">
        <v>5126</v>
      </c>
      <c r="R3" s="38" t="s">
        <v>109</v>
      </c>
      <c r="S3" s="38">
        <v>14</v>
      </c>
      <c r="T3" s="38">
        <v>5</v>
      </c>
      <c r="U3" s="38">
        <v>2</v>
      </c>
      <c r="V3" s="38">
        <v>4</v>
      </c>
      <c r="W3" s="38" t="s">
        <v>5127</v>
      </c>
      <c r="X3" s="116" t="s">
        <v>5122</v>
      </c>
      <c r="Y3" s="72" t="s">
        <v>4535</v>
      </c>
      <c r="Z3" s="3037"/>
      <c r="AA3" s="3136"/>
      <c r="AB3" s="126"/>
      <c r="AC3" s="126"/>
      <c r="AD3" s="131"/>
      <c r="AE3" s="131"/>
    </row>
    <row r="4" spans="2:31" ht="14.25" customHeight="1">
      <c r="B4" s="37" t="s">
        <v>5128</v>
      </c>
      <c r="C4" s="38">
        <v>3</v>
      </c>
      <c r="D4" s="38" t="s">
        <v>92</v>
      </c>
      <c r="E4" s="38" t="s">
        <v>92</v>
      </c>
      <c r="F4" s="38" t="s">
        <v>92</v>
      </c>
      <c r="G4" s="38" t="s">
        <v>522</v>
      </c>
      <c r="H4" s="38" t="s">
        <v>92</v>
      </c>
      <c r="I4" s="72" t="s">
        <v>5129</v>
      </c>
      <c r="J4" s="3029"/>
      <c r="K4" s="3158"/>
      <c r="L4" s="3159"/>
      <c r="M4" s="3159"/>
      <c r="N4" s="3159"/>
      <c r="O4" s="3159"/>
      <c r="Q4" s="41" t="s">
        <v>5130</v>
      </c>
      <c r="R4" s="42" t="s">
        <v>109</v>
      </c>
      <c r="S4" s="42">
        <v>15</v>
      </c>
      <c r="T4" s="42">
        <v>6</v>
      </c>
      <c r="U4" s="42">
        <v>2</v>
      </c>
      <c r="V4" s="42">
        <v>4</v>
      </c>
      <c r="W4" s="42" t="s">
        <v>5127</v>
      </c>
      <c r="X4" s="117" t="s">
        <v>5122</v>
      </c>
      <c r="Y4" s="74" t="s">
        <v>12</v>
      </c>
      <c r="Z4" s="3037"/>
      <c r="AA4" s="3136"/>
      <c r="AB4" s="126"/>
      <c r="AC4" s="126"/>
      <c r="AD4" s="131"/>
      <c r="AE4" s="131"/>
    </row>
    <row r="5" spans="2:31" ht="14.25" customHeight="1">
      <c r="B5" s="39" t="s">
        <v>5131</v>
      </c>
      <c r="C5" s="40">
        <v>5</v>
      </c>
      <c r="D5" s="40">
        <v>0</v>
      </c>
      <c r="E5" s="40" t="s">
        <v>1483</v>
      </c>
      <c r="F5" s="40" t="s">
        <v>5125</v>
      </c>
      <c r="G5" s="40" t="s">
        <v>522</v>
      </c>
      <c r="H5" s="40" t="s">
        <v>12</v>
      </c>
      <c r="I5" s="73" t="s">
        <v>4778</v>
      </c>
      <c r="J5" s="3029"/>
      <c r="K5" s="3158"/>
      <c r="L5" s="3159"/>
      <c r="M5" s="3159"/>
      <c r="N5" s="3159"/>
      <c r="O5" s="3159"/>
      <c r="Q5" s="37" t="s">
        <v>5132</v>
      </c>
      <c r="R5" s="93" t="s">
        <v>109</v>
      </c>
      <c r="S5" s="38">
        <v>16</v>
      </c>
      <c r="T5" s="38">
        <v>5</v>
      </c>
      <c r="U5" s="38">
        <v>2</v>
      </c>
      <c r="V5" s="38">
        <v>1</v>
      </c>
      <c r="W5" s="38" t="s">
        <v>5121</v>
      </c>
      <c r="X5" s="38" t="s">
        <v>92</v>
      </c>
      <c r="Y5" s="72" t="s">
        <v>12</v>
      </c>
      <c r="Z5" s="3037"/>
      <c r="AA5" s="3136"/>
      <c r="AB5" s="126"/>
      <c r="AC5" s="126"/>
      <c r="AD5" s="131"/>
      <c r="AE5" s="131"/>
    </row>
    <row r="6" spans="2:31" ht="14.25" customHeight="1">
      <c r="B6" s="37" t="s">
        <v>5133</v>
      </c>
      <c r="C6" s="38">
        <v>8</v>
      </c>
      <c r="D6" s="38">
        <v>0</v>
      </c>
      <c r="E6" s="38" t="s">
        <v>5114</v>
      </c>
      <c r="F6" s="38" t="s">
        <v>5115</v>
      </c>
      <c r="G6" s="38" t="s">
        <v>522</v>
      </c>
      <c r="H6" s="38" t="s">
        <v>12</v>
      </c>
      <c r="I6" s="72" t="s">
        <v>4778</v>
      </c>
      <c r="J6" s="3029"/>
      <c r="K6" s="3158"/>
      <c r="L6" s="3159"/>
      <c r="M6" s="3159"/>
      <c r="N6" s="3159"/>
      <c r="O6" s="3159"/>
      <c r="Q6" s="41" t="s">
        <v>5134</v>
      </c>
      <c r="R6" s="38" t="s">
        <v>109</v>
      </c>
      <c r="S6" s="42">
        <v>14</v>
      </c>
      <c r="T6" s="42">
        <v>6</v>
      </c>
      <c r="U6" s="42">
        <v>2</v>
      </c>
      <c r="V6" s="42" t="s">
        <v>5135</v>
      </c>
      <c r="W6" s="42" t="s">
        <v>5127</v>
      </c>
      <c r="X6" s="117" t="s">
        <v>5136</v>
      </c>
      <c r="Y6" s="74" t="s">
        <v>4535</v>
      </c>
      <c r="Z6" s="3037"/>
      <c r="AA6" s="3136"/>
      <c r="AB6" s="126"/>
      <c r="AC6" s="126"/>
      <c r="AD6" s="131"/>
      <c r="AE6" s="131"/>
    </row>
    <row r="7" spans="2:31" ht="14.25" customHeight="1">
      <c r="B7" s="39" t="s">
        <v>5137</v>
      </c>
      <c r="C7" s="40">
        <v>15</v>
      </c>
      <c r="D7" s="40" t="s">
        <v>92</v>
      </c>
      <c r="E7" s="40" t="s">
        <v>92</v>
      </c>
      <c r="F7" s="40" t="s">
        <v>92</v>
      </c>
      <c r="G7" s="40" t="s">
        <v>522</v>
      </c>
      <c r="H7" s="40" t="s">
        <v>12</v>
      </c>
      <c r="I7" s="73" t="s">
        <v>5138</v>
      </c>
      <c r="J7" s="3029"/>
      <c r="K7" s="3158"/>
      <c r="L7" s="3159"/>
      <c r="M7" s="3159"/>
      <c r="N7" s="3159"/>
      <c r="O7" s="3159"/>
      <c r="Q7" s="37" t="s">
        <v>5139</v>
      </c>
      <c r="R7" s="38" t="s">
        <v>109</v>
      </c>
      <c r="S7" s="38">
        <v>13</v>
      </c>
      <c r="T7" s="38">
        <v>7</v>
      </c>
      <c r="U7" s="38">
        <v>2</v>
      </c>
      <c r="V7" s="38" t="s">
        <v>5135</v>
      </c>
      <c r="W7" s="38" t="s">
        <v>5127</v>
      </c>
      <c r="X7" s="116" t="s">
        <v>5136</v>
      </c>
      <c r="Y7" s="72" t="s">
        <v>12</v>
      </c>
      <c r="Z7" s="3037"/>
      <c r="AA7" s="3136"/>
      <c r="AB7" s="126"/>
      <c r="AC7" s="126"/>
      <c r="AD7" s="131"/>
      <c r="AE7" s="131"/>
    </row>
    <row r="8" spans="2:31" ht="14.25" customHeight="1">
      <c r="B8" s="37" t="s">
        <v>5140</v>
      </c>
      <c r="C8" s="38">
        <v>19</v>
      </c>
      <c r="D8" s="38" t="s">
        <v>92</v>
      </c>
      <c r="E8" s="38" t="s">
        <v>92</v>
      </c>
      <c r="F8" s="38" t="s">
        <v>92</v>
      </c>
      <c r="G8" s="38" t="s">
        <v>522</v>
      </c>
      <c r="H8" s="38" t="s">
        <v>92</v>
      </c>
      <c r="I8" s="72" t="s">
        <v>5141</v>
      </c>
      <c r="J8" s="3029"/>
      <c r="K8" s="3158"/>
      <c r="L8" s="3159"/>
      <c r="M8" s="3159"/>
      <c r="N8" s="3159"/>
      <c r="O8" s="3159"/>
      <c r="Q8" s="41" t="s">
        <v>5142</v>
      </c>
      <c r="R8" s="42" t="s">
        <v>109</v>
      </c>
      <c r="S8" s="42">
        <v>13</v>
      </c>
      <c r="T8" s="42">
        <v>9</v>
      </c>
      <c r="U8" s="42">
        <v>2</v>
      </c>
      <c r="V8" s="42" t="s">
        <v>5143</v>
      </c>
      <c r="W8" s="42" t="s">
        <v>5127</v>
      </c>
      <c r="X8" s="117" t="s">
        <v>5144</v>
      </c>
      <c r="Y8" s="74" t="s">
        <v>12</v>
      </c>
      <c r="Z8" s="3037"/>
      <c r="AA8" s="3136"/>
      <c r="AB8" s="126"/>
      <c r="AC8" s="126"/>
      <c r="AD8" s="131"/>
      <c r="AE8" s="131"/>
    </row>
    <row r="9" spans="2:31" ht="14.25" customHeight="1">
      <c r="B9" s="37" t="s">
        <v>5145</v>
      </c>
      <c r="C9" s="38">
        <v>20</v>
      </c>
      <c r="D9" s="38" t="s">
        <v>92</v>
      </c>
      <c r="E9" s="38" t="s">
        <v>92</v>
      </c>
      <c r="F9" s="38" t="s">
        <v>92</v>
      </c>
      <c r="G9" s="38" t="s">
        <v>522</v>
      </c>
      <c r="H9" s="38" t="s">
        <v>4535</v>
      </c>
      <c r="I9" s="72" t="s">
        <v>5146</v>
      </c>
      <c r="J9" s="3029"/>
      <c r="K9" s="3158"/>
      <c r="L9" s="3159"/>
      <c r="M9" s="3159"/>
      <c r="N9" s="3159"/>
      <c r="O9" s="3159"/>
      <c r="Q9" s="37" t="s">
        <v>5147</v>
      </c>
      <c r="R9" s="38" t="s">
        <v>109</v>
      </c>
      <c r="S9" s="38">
        <v>13</v>
      </c>
      <c r="T9" s="38">
        <v>1</v>
      </c>
      <c r="U9" s="38">
        <v>0</v>
      </c>
      <c r="V9" s="38">
        <v>1</v>
      </c>
      <c r="W9" s="38" t="s">
        <v>5127</v>
      </c>
      <c r="X9" s="116" t="s">
        <v>92</v>
      </c>
      <c r="Y9" s="127" t="s">
        <v>4535</v>
      </c>
      <c r="Z9" s="3037"/>
      <c r="AA9" s="3136"/>
      <c r="AB9" s="126"/>
      <c r="AC9" s="126"/>
      <c r="AD9" s="131"/>
      <c r="AE9" s="131"/>
    </row>
    <row r="10" spans="2:31" ht="14.25" customHeight="1">
      <c r="B10" s="41" t="s">
        <v>5148</v>
      </c>
      <c r="C10" s="42" t="s">
        <v>5149</v>
      </c>
      <c r="D10" s="42" t="s">
        <v>92</v>
      </c>
      <c r="E10" s="42" t="s">
        <v>5150</v>
      </c>
      <c r="F10" s="42" t="s">
        <v>5151</v>
      </c>
      <c r="G10" s="42" t="s">
        <v>1517</v>
      </c>
      <c r="H10" s="42" t="s">
        <v>92</v>
      </c>
      <c r="I10" s="74" t="s">
        <v>92</v>
      </c>
      <c r="J10" s="3029"/>
      <c r="K10" s="3158"/>
      <c r="L10" s="3159"/>
      <c r="M10" s="3159"/>
      <c r="N10" s="3159"/>
      <c r="O10" s="3159"/>
      <c r="Q10" s="41" t="s">
        <v>5152</v>
      </c>
      <c r="R10" s="42" t="s">
        <v>109</v>
      </c>
      <c r="S10" s="42">
        <v>16</v>
      </c>
      <c r="T10" s="42">
        <v>3</v>
      </c>
      <c r="U10" s="42">
        <v>0</v>
      </c>
      <c r="V10" s="42">
        <v>1</v>
      </c>
      <c r="W10" s="42" t="s">
        <v>5127</v>
      </c>
      <c r="X10" s="117" t="s">
        <v>92</v>
      </c>
      <c r="Y10" s="72" t="s">
        <v>4535</v>
      </c>
      <c r="Z10" s="3037"/>
      <c r="AA10" s="3136"/>
      <c r="AB10" s="126"/>
      <c r="AC10" s="126"/>
      <c r="AD10" s="131"/>
      <c r="AE10" s="131"/>
    </row>
    <row r="11" spans="2:31" ht="14.25" customHeight="1">
      <c r="B11" s="43" t="s">
        <v>5153</v>
      </c>
      <c r="C11" s="44">
        <v>8</v>
      </c>
      <c r="D11" s="44" t="s">
        <v>5154</v>
      </c>
      <c r="E11" s="44" t="s">
        <v>5150</v>
      </c>
      <c r="F11" s="44" t="s">
        <v>5155</v>
      </c>
      <c r="G11" s="44" t="s">
        <v>1517</v>
      </c>
      <c r="H11" s="44" t="s">
        <v>92</v>
      </c>
      <c r="I11" s="75" t="s">
        <v>4778</v>
      </c>
      <c r="J11" s="3029"/>
      <c r="K11" s="3158"/>
      <c r="L11" s="3159"/>
      <c r="M11" s="3159"/>
      <c r="N11" s="3159"/>
      <c r="O11" s="3159"/>
      <c r="Q11" s="94" t="s">
        <v>5156</v>
      </c>
      <c r="R11" s="95" t="s">
        <v>5157</v>
      </c>
      <c r="S11" s="95">
        <v>11</v>
      </c>
      <c r="T11" s="95">
        <v>20</v>
      </c>
      <c r="U11" s="95">
        <v>24</v>
      </c>
      <c r="V11" s="95">
        <v>4</v>
      </c>
      <c r="W11" s="95" t="s">
        <v>5121</v>
      </c>
      <c r="X11" s="118" t="s">
        <v>5127</v>
      </c>
      <c r="Y11" s="128" t="s">
        <v>4535</v>
      </c>
      <c r="Z11" s="3038" t="s">
        <v>5158</v>
      </c>
      <c r="AA11" s="3136"/>
      <c r="AB11" s="126"/>
      <c r="AC11" s="126"/>
      <c r="AD11" s="131"/>
      <c r="AE11" s="131"/>
    </row>
    <row r="12" spans="2:31" ht="14.25" customHeight="1">
      <c r="B12" s="37" t="s">
        <v>5159</v>
      </c>
      <c r="C12" s="38">
        <v>10</v>
      </c>
      <c r="D12" s="38" t="s">
        <v>92</v>
      </c>
      <c r="E12" s="38" t="s">
        <v>92</v>
      </c>
      <c r="F12" s="38" t="s">
        <v>92</v>
      </c>
      <c r="G12" s="38" t="s">
        <v>522</v>
      </c>
      <c r="H12" s="38" t="s">
        <v>4535</v>
      </c>
      <c r="I12" s="72" t="s">
        <v>5160</v>
      </c>
      <c r="J12" s="3029"/>
      <c r="K12" s="3158"/>
      <c r="L12" s="3159"/>
      <c r="M12" s="3159"/>
      <c r="N12" s="3159"/>
      <c r="O12" s="3159"/>
      <c r="Q12" s="37" t="s">
        <v>5161</v>
      </c>
      <c r="R12" s="38" t="s">
        <v>5157</v>
      </c>
      <c r="S12" s="38">
        <v>12</v>
      </c>
      <c r="T12" s="38">
        <v>12</v>
      </c>
      <c r="U12" s="38">
        <v>1</v>
      </c>
      <c r="V12" s="38" t="s">
        <v>3908</v>
      </c>
      <c r="W12" s="38" t="s">
        <v>5162</v>
      </c>
      <c r="X12" s="116" t="s">
        <v>5163</v>
      </c>
      <c r="Y12" s="72" t="s">
        <v>3241</v>
      </c>
      <c r="Z12" s="3038"/>
      <c r="AA12" s="3136"/>
      <c r="AB12" s="126"/>
      <c r="AC12" s="126"/>
      <c r="AD12" s="131"/>
      <c r="AE12" s="131"/>
    </row>
    <row r="13" spans="2:31" ht="14.25" customHeight="1">
      <c r="B13" s="45" t="s">
        <v>5164</v>
      </c>
      <c r="C13" s="46" t="s">
        <v>5165</v>
      </c>
      <c r="D13" s="46" t="s">
        <v>92</v>
      </c>
      <c r="E13" s="46" t="s">
        <v>5166</v>
      </c>
      <c r="F13" s="46" t="s">
        <v>92</v>
      </c>
      <c r="G13" s="46" t="s">
        <v>491</v>
      </c>
      <c r="H13" s="3027" t="s">
        <v>5167</v>
      </c>
      <c r="I13" s="3028" t="s">
        <v>92</v>
      </c>
      <c r="J13" s="3030" t="s">
        <v>5168</v>
      </c>
      <c r="K13" s="3143" t="s">
        <v>5169</v>
      </c>
      <c r="L13" s="3143"/>
      <c r="M13" s="3143"/>
      <c r="N13" s="3143"/>
      <c r="O13" s="3144"/>
      <c r="Q13" s="94" t="s">
        <v>5170</v>
      </c>
      <c r="R13" s="95" t="s">
        <v>5157</v>
      </c>
      <c r="S13" s="95">
        <v>15</v>
      </c>
      <c r="T13" s="95">
        <v>14</v>
      </c>
      <c r="U13" s="95">
        <v>2</v>
      </c>
      <c r="V13" s="95" t="s">
        <v>3908</v>
      </c>
      <c r="W13" s="95" t="s">
        <v>5127</v>
      </c>
      <c r="X13" s="118" t="s">
        <v>5171</v>
      </c>
      <c r="Y13" s="128" t="s">
        <v>12</v>
      </c>
      <c r="Z13" s="3038"/>
      <c r="AA13" s="3136"/>
      <c r="AB13" s="126"/>
      <c r="AC13" s="126"/>
      <c r="AD13" s="131"/>
      <c r="AE13" s="131"/>
    </row>
    <row r="14" spans="2:31" ht="14.25" customHeight="1">
      <c r="B14" s="45" t="s">
        <v>5172</v>
      </c>
      <c r="C14" s="47" t="s">
        <v>5173</v>
      </c>
      <c r="D14" s="47" t="s">
        <v>92</v>
      </c>
      <c r="E14" s="47" t="s">
        <v>5166</v>
      </c>
      <c r="F14" s="47" t="s">
        <v>92</v>
      </c>
      <c r="G14" s="47" t="s">
        <v>491</v>
      </c>
      <c r="H14" s="3027"/>
      <c r="I14" s="3028"/>
      <c r="J14" s="3030"/>
      <c r="K14" s="3145"/>
      <c r="L14" s="3145"/>
      <c r="M14" s="3145"/>
      <c r="N14" s="3145"/>
      <c r="O14" s="3146"/>
      <c r="Q14" s="96" t="s">
        <v>5174</v>
      </c>
      <c r="R14" s="97" t="s">
        <v>5175</v>
      </c>
      <c r="S14" s="97">
        <v>11</v>
      </c>
      <c r="T14" s="97">
        <v>4</v>
      </c>
      <c r="U14" s="97">
        <v>0</v>
      </c>
      <c r="V14" s="97">
        <v>1</v>
      </c>
      <c r="W14" s="97" t="s">
        <v>5127</v>
      </c>
      <c r="X14" s="97" t="s">
        <v>92</v>
      </c>
      <c r="Y14" s="129" t="s">
        <v>5176</v>
      </c>
      <c r="Z14" s="3039" t="s">
        <v>5177</v>
      </c>
      <c r="AA14" s="3136"/>
      <c r="AB14" s="126"/>
      <c r="AC14" s="126"/>
      <c r="AD14" s="131"/>
      <c r="AE14" s="131"/>
    </row>
    <row r="15" spans="2:31" ht="14.25" customHeight="1">
      <c r="B15" s="45" t="s">
        <v>5178</v>
      </c>
      <c r="C15" s="46" t="s">
        <v>5179</v>
      </c>
      <c r="D15" s="46" t="s">
        <v>92</v>
      </c>
      <c r="E15" s="46" t="s">
        <v>5166</v>
      </c>
      <c r="F15" s="46" t="s">
        <v>92</v>
      </c>
      <c r="G15" s="46" t="s">
        <v>491</v>
      </c>
      <c r="H15" s="3027"/>
      <c r="I15" s="3028"/>
      <c r="J15" s="3030"/>
      <c r="K15" s="3145"/>
      <c r="L15" s="3145"/>
      <c r="M15" s="3145"/>
      <c r="N15" s="3145"/>
      <c r="O15" s="3146"/>
      <c r="Q15" s="37" t="s">
        <v>5180</v>
      </c>
      <c r="R15" s="38" t="s">
        <v>5181</v>
      </c>
      <c r="S15" s="38">
        <v>10</v>
      </c>
      <c r="T15" s="38">
        <v>3</v>
      </c>
      <c r="U15" s="38">
        <v>0</v>
      </c>
      <c r="V15" s="38" t="s">
        <v>5182</v>
      </c>
      <c r="W15" s="38" t="s">
        <v>5171</v>
      </c>
      <c r="X15" s="38" t="s">
        <v>5136</v>
      </c>
      <c r="Y15" s="72" t="s">
        <v>3241</v>
      </c>
      <c r="Z15" s="3039"/>
      <c r="AA15" s="3136"/>
      <c r="AB15" s="126"/>
      <c r="AC15" s="126"/>
      <c r="AD15" s="131"/>
      <c r="AE15" s="131"/>
    </row>
    <row r="16" spans="2:31" ht="14.25" customHeight="1">
      <c r="B16" s="48" t="s">
        <v>5183</v>
      </c>
      <c r="C16" s="49">
        <v>2</v>
      </c>
      <c r="D16" s="49" t="s">
        <v>92</v>
      </c>
      <c r="E16" s="49" t="s">
        <v>92</v>
      </c>
      <c r="F16" s="49" t="s">
        <v>92</v>
      </c>
      <c r="G16" s="49" t="s">
        <v>491</v>
      </c>
      <c r="H16" s="49" t="s">
        <v>5184</v>
      </c>
      <c r="I16" s="77" t="s">
        <v>5185</v>
      </c>
      <c r="J16" s="3030"/>
      <c r="K16" s="3147"/>
      <c r="L16" s="3147"/>
      <c r="M16" s="3147"/>
      <c r="N16" s="3147"/>
      <c r="O16" s="3148"/>
      <c r="Q16" s="96" t="s">
        <v>4514</v>
      </c>
      <c r="R16" s="97" t="s">
        <v>5175</v>
      </c>
      <c r="S16" s="97">
        <v>10</v>
      </c>
      <c r="T16" s="97">
        <v>0.5</v>
      </c>
      <c r="U16" s="97">
        <v>0</v>
      </c>
      <c r="V16" s="97">
        <v>1</v>
      </c>
      <c r="W16" s="97" t="s">
        <v>5127</v>
      </c>
      <c r="X16" s="97" t="s">
        <v>92</v>
      </c>
      <c r="Y16" s="129" t="s">
        <v>4535</v>
      </c>
      <c r="Z16" s="3039"/>
      <c r="AA16" s="3136"/>
      <c r="AB16" s="126"/>
      <c r="AC16" s="126"/>
      <c r="AD16" s="131"/>
      <c r="AE16" s="131"/>
    </row>
    <row r="17" spans="2:31" ht="14.25" customHeight="1">
      <c r="B17" s="50" t="s">
        <v>5186</v>
      </c>
      <c r="C17" s="46">
        <v>8</v>
      </c>
      <c r="D17" s="46" t="s">
        <v>92</v>
      </c>
      <c r="E17" s="46" t="s">
        <v>92</v>
      </c>
      <c r="F17" s="46" t="s">
        <v>92</v>
      </c>
      <c r="G17" s="46" t="s">
        <v>491</v>
      </c>
      <c r="H17" s="46" t="s">
        <v>12</v>
      </c>
      <c r="I17" s="76">
        <v>40</v>
      </c>
      <c r="J17" s="3030"/>
      <c r="K17" s="78"/>
      <c r="L17" s="78"/>
      <c r="M17" s="78"/>
      <c r="N17" s="78"/>
      <c r="O17" s="78"/>
      <c r="Q17" s="98" t="s">
        <v>5187</v>
      </c>
      <c r="R17" s="99" t="s">
        <v>5188</v>
      </c>
      <c r="S17" s="99">
        <v>4</v>
      </c>
      <c r="T17" s="99">
        <v>2</v>
      </c>
      <c r="U17" s="99">
        <v>0</v>
      </c>
      <c r="V17" s="99">
        <v>3</v>
      </c>
      <c r="W17" s="99" t="s">
        <v>5189</v>
      </c>
      <c r="X17" s="119" t="s">
        <v>5122</v>
      </c>
      <c r="Y17" s="130" t="s">
        <v>4535</v>
      </c>
      <c r="Z17" s="3040" t="s">
        <v>5190</v>
      </c>
      <c r="AA17" s="3136"/>
      <c r="AB17" s="131"/>
      <c r="AC17" s="131"/>
      <c r="AD17" s="131"/>
      <c r="AE17" s="131"/>
    </row>
    <row r="18" spans="2:31" ht="14.25" customHeight="1">
      <c r="B18" s="51" t="s">
        <v>5191</v>
      </c>
      <c r="C18" s="47">
        <v>12</v>
      </c>
      <c r="D18" s="47" t="s">
        <v>92</v>
      </c>
      <c r="E18" s="47" t="s">
        <v>92</v>
      </c>
      <c r="F18" s="47" t="s">
        <v>92</v>
      </c>
      <c r="G18" s="47" t="s">
        <v>522</v>
      </c>
      <c r="H18" s="47" t="s">
        <v>4535</v>
      </c>
      <c r="I18" s="79" t="s">
        <v>5192</v>
      </c>
      <c r="J18" s="3030"/>
      <c r="K18" s="78"/>
      <c r="L18" s="78"/>
      <c r="M18" s="78"/>
      <c r="N18" s="78"/>
      <c r="O18" s="78"/>
      <c r="Q18" s="37" t="s">
        <v>5193</v>
      </c>
      <c r="R18" s="38" t="s">
        <v>5188</v>
      </c>
      <c r="S18" s="38">
        <v>12</v>
      </c>
      <c r="T18" s="38">
        <v>4</v>
      </c>
      <c r="U18" s="38">
        <v>0</v>
      </c>
      <c r="V18" s="38">
        <v>22</v>
      </c>
      <c r="W18" s="38" t="s">
        <v>5194</v>
      </c>
      <c r="X18" s="116" t="s">
        <v>5122</v>
      </c>
      <c r="Y18" s="72" t="s">
        <v>4535</v>
      </c>
      <c r="Z18" s="3040"/>
      <c r="AA18" s="3136"/>
      <c r="AB18" s="131"/>
      <c r="AC18" s="131"/>
      <c r="AD18" s="131"/>
      <c r="AE18" s="131"/>
    </row>
    <row r="19" spans="2:31" ht="14.25" customHeight="1">
      <c r="B19" s="50" t="s">
        <v>5195</v>
      </c>
      <c r="C19" s="46">
        <v>1</v>
      </c>
      <c r="D19" s="46" t="s">
        <v>92</v>
      </c>
      <c r="E19" s="46" t="s">
        <v>92</v>
      </c>
      <c r="F19" s="46" t="s">
        <v>92</v>
      </c>
      <c r="G19" s="46" t="s">
        <v>522</v>
      </c>
      <c r="H19" s="46" t="s">
        <v>4535</v>
      </c>
      <c r="I19" s="76" t="s">
        <v>5196</v>
      </c>
      <c r="J19" s="3030"/>
      <c r="Q19" s="98" t="s">
        <v>5197</v>
      </c>
      <c r="R19" s="99" t="s">
        <v>5198</v>
      </c>
      <c r="S19" s="99">
        <v>14</v>
      </c>
      <c r="T19" s="99">
        <v>3</v>
      </c>
      <c r="U19" s="99">
        <v>0</v>
      </c>
      <c r="V19" s="99">
        <v>6</v>
      </c>
      <c r="W19" s="99" t="s">
        <v>5127</v>
      </c>
      <c r="X19" s="119" t="s">
        <v>5122</v>
      </c>
      <c r="Y19" s="130" t="s">
        <v>4535</v>
      </c>
      <c r="Z19" s="3040"/>
      <c r="AA19" s="3136"/>
      <c r="AB19" s="131"/>
      <c r="AC19" s="131"/>
      <c r="AD19" s="131"/>
      <c r="AE19" s="131"/>
    </row>
    <row r="20" spans="2:31" ht="14.25" customHeight="1">
      <c r="B20" s="48" t="s">
        <v>5199</v>
      </c>
      <c r="C20" s="49">
        <v>20</v>
      </c>
      <c r="D20" s="49" t="s">
        <v>92</v>
      </c>
      <c r="E20" s="49" t="s">
        <v>92</v>
      </c>
      <c r="F20" s="49" t="s">
        <v>92</v>
      </c>
      <c r="G20" s="49" t="s">
        <v>522</v>
      </c>
      <c r="H20" s="49" t="s">
        <v>5200</v>
      </c>
      <c r="I20" s="77" t="s">
        <v>5201</v>
      </c>
      <c r="J20" s="3030"/>
      <c r="Q20" s="37" t="s">
        <v>5202</v>
      </c>
      <c r="R20" s="38" t="s">
        <v>5188</v>
      </c>
      <c r="S20" s="38">
        <v>11</v>
      </c>
      <c r="T20" s="38">
        <v>32</v>
      </c>
      <c r="U20" s="38" t="s">
        <v>5203</v>
      </c>
      <c r="V20" s="38" t="s">
        <v>5204</v>
      </c>
      <c r="W20" s="38" t="s">
        <v>5127</v>
      </c>
      <c r="X20" s="116" t="s">
        <v>5205</v>
      </c>
      <c r="Y20" s="72" t="s">
        <v>4535</v>
      </c>
      <c r="Z20" s="3040"/>
      <c r="AA20" s="3136"/>
      <c r="AB20" s="131"/>
      <c r="AC20" s="131"/>
      <c r="AD20" s="131"/>
      <c r="AE20" s="131"/>
    </row>
    <row r="21" spans="2:31" ht="14.25" customHeight="1">
      <c r="B21" s="50" t="s">
        <v>5206</v>
      </c>
      <c r="C21" s="46" t="s">
        <v>5207</v>
      </c>
      <c r="D21" s="46" t="s">
        <v>92</v>
      </c>
      <c r="E21" s="46" t="s">
        <v>92</v>
      </c>
      <c r="F21" s="46" t="s">
        <v>92</v>
      </c>
      <c r="G21" s="46" t="s">
        <v>1517</v>
      </c>
      <c r="H21" s="46" t="s">
        <v>12</v>
      </c>
      <c r="I21" s="76" t="s">
        <v>5208</v>
      </c>
      <c r="J21" s="3030"/>
      <c r="Q21" s="100" t="s">
        <v>5209</v>
      </c>
      <c r="R21" s="99" t="s">
        <v>5210</v>
      </c>
      <c r="S21" s="99">
        <v>11</v>
      </c>
      <c r="T21" s="99">
        <v>65</v>
      </c>
      <c r="U21" s="99" t="s">
        <v>5203</v>
      </c>
      <c r="V21" s="99" t="s">
        <v>5211</v>
      </c>
      <c r="W21" s="99" t="s">
        <v>5127</v>
      </c>
      <c r="X21" s="119" t="s">
        <v>5205</v>
      </c>
      <c r="Y21" s="130" t="s">
        <v>4535</v>
      </c>
      <c r="Z21" s="3040"/>
      <c r="AA21" s="3136"/>
      <c r="AB21" s="3094" t="s">
        <v>5212</v>
      </c>
      <c r="AC21" s="3095"/>
      <c r="AD21" s="3095"/>
      <c r="AE21" s="3096"/>
    </row>
    <row r="22" spans="2:31" ht="14.25" customHeight="1">
      <c r="B22" s="51" t="s">
        <v>5213</v>
      </c>
      <c r="C22" s="47">
        <v>15</v>
      </c>
      <c r="D22" s="47" t="s">
        <v>92</v>
      </c>
      <c r="E22" s="47" t="s">
        <v>92</v>
      </c>
      <c r="F22" s="47" t="s">
        <v>92</v>
      </c>
      <c r="G22" s="47" t="s">
        <v>522</v>
      </c>
      <c r="H22" s="47" t="s">
        <v>4535</v>
      </c>
      <c r="I22" s="79" t="s">
        <v>5146</v>
      </c>
      <c r="J22" s="3030"/>
      <c r="Q22" s="100" t="s">
        <v>5214</v>
      </c>
      <c r="R22" s="38" t="s">
        <v>5215</v>
      </c>
      <c r="S22" s="38">
        <v>11</v>
      </c>
      <c r="T22" s="38">
        <v>75</v>
      </c>
      <c r="U22" s="38" t="s">
        <v>5203</v>
      </c>
      <c r="V22" s="38" t="s">
        <v>5216</v>
      </c>
      <c r="W22" s="38" t="s">
        <v>5127</v>
      </c>
      <c r="X22" s="116" t="s">
        <v>5217</v>
      </c>
      <c r="Y22" s="72" t="s">
        <v>5218</v>
      </c>
      <c r="Z22" s="3040"/>
      <c r="AA22" s="3136"/>
      <c r="AB22" s="3097"/>
      <c r="AC22" s="3098"/>
      <c r="AD22" s="3098"/>
      <c r="AE22" s="3099"/>
    </row>
    <row r="23" spans="2:31" ht="14.25" customHeight="1">
      <c r="B23" s="50" t="s">
        <v>5219</v>
      </c>
      <c r="C23" s="46">
        <v>4</v>
      </c>
      <c r="D23" s="46" t="s">
        <v>92</v>
      </c>
      <c r="E23" s="46" t="s">
        <v>5220</v>
      </c>
      <c r="F23" s="46" t="s">
        <v>92</v>
      </c>
      <c r="G23" s="46" t="s">
        <v>522</v>
      </c>
      <c r="H23" s="46" t="s">
        <v>4535</v>
      </c>
      <c r="I23" s="76" t="s">
        <v>5221</v>
      </c>
      <c r="J23" s="3030"/>
      <c r="Q23" s="100" t="s">
        <v>5222</v>
      </c>
      <c r="R23" s="99" t="s">
        <v>5215</v>
      </c>
      <c r="S23" s="99">
        <v>12</v>
      </c>
      <c r="T23" s="99">
        <v>24</v>
      </c>
      <c r="U23" s="99" t="s">
        <v>5203</v>
      </c>
      <c r="V23" s="99" t="s">
        <v>5223</v>
      </c>
      <c r="W23" s="99" t="s">
        <v>5127</v>
      </c>
      <c r="X23" s="119" t="s">
        <v>5205</v>
      </c>
      <c r="Y23" s="130" t="s">
        <v>4535</v>
      </c>
      <c r="Z23" s="3040"/>
      <c r="AA23" s="3136"/>
      <c r="AB23" s="3100"/>
      <c r="AC23" s="3101"/>
      <c r="AD23" s="3101"/>
      <c r="AE23" s="3102"/>
    </row>
    <row r="24" spans="2:31" ht="14.25" customHeight="1">
      <c r="B24" s="51" t="s">
        <v>5224</v>
      </c>
      <c r="C24" s="47">
        <v>3</v>
      </c>
      <c r="D24" s="47" t="s">
        <v>92</v>
      </c>
      <c r="E24" s="47" t="s">
        <v>92</v>
      </c>
      <c r="F24" s="47" t="s">
        <v>92</v>
      </c>
      <c r="G24" s="47" t="s">
        <v>522</v>
      </c>
      <c r="H24" s="47" t="s">
        <v>4535</v>
      </c>
      <c r="I24" s="79" t="s">
        <v>5225</v>
      </c>
      <c r="J24" s="3030"/>
      <c r="Q24" s="101" t="s">
        <v>5226</v>
      </c>
      <c r="R24" s="102" t="s">
        <v>109</v>
      </c>
      <c r="S24" s="102">
        <v>12</v>
      </c>
      <c r="T24" s="102">
        <v>6</v>
      </c>
      <c r="U24" s="102">
        <v>2</v>
      </c>
      <c r="V24" s="102">
        <v>80</v>
      </c>
      <c r="W24" s="102" t="s">
        <v>5127</v>
      </c>
      <c r="X24" s="120" t="s">
        <v>5171</v>
      </c>
      <c r="Y24" s="132" t="s">
        <v>4535</v>
      </c>
      <c r="Z24" s="3041" t="s">
        <v>5227</v>
      </c>
      <c r="AA24" s="133"/>
      <c r="AB24" s="133"/>
      <c r="AC24" s="133"/>
      <c r="AD24" s="133"/>
      <c r="AE24" s="133"/>
    </row>
    <row r="25" spans="2:31" ht="14.25" customHeight="1">
      <c r="B25" s="50" t="s">
        <v>5228</v>
      </c>
      <c r="C25" s="46">
        <v>3</v>
      </c>
      <c r="D25" s="46" t="s">
        <v>92</v>
      </c>
      <c r="E25" s="46" t="s">
        <v>92</v>
      </c>
      <c r="F25" s="46" t="s">
        <v>92</v>
      </c>
      <c r="G25" s="46" t="s">
        <v>522</v>
      </c>
      <c r="H25" s="46" t="s">
        <v>5229</v>
      </c>
      <c r="I25" s="76" t="s">
        <v>5230</v>
      </c>
      <c r="J25" s="3030"/>
      <c r="Q25" s="51" t="s">
        <v>1771</v>
      </c>
      <c r="R25" s="47" t="s">
        <v>109</v>
      </c>
      <c r="S25" s="47">
        <v>12</v>
      </c>
      <c r="T25" s="47">
        <v>7</v>
      </c>
      <c r="U25" s="47">
        <v>2</v>
      </c>
      <c r="V25" s="47">
        <v>200</v>
      </c>
      <c r="W25" s="47" t="s">
        <v>5127</v>
      </c>
      <c r="X25" s="49" t="s">
        <v>5171</v>
      </c>
      <c r="Y25" s="79" t="s">
        <v>4535</v>
      </c>
      <c r="Z25" s="3042"/>
      <c r="AA25" s="133"/>
      <c r="AB25" s="133"/>
      <c r="AC25" s="134"/>
      <c r="AD25" s="134"/>
      <c r="AE25" s="134"/>
    </row>
    <row r="26" spans="2:31" ht="14.25" customHeight="1">
      <c r="B26" s="52" t="s">
        <v>5231</v>
      </c>
      <c r="C26" s="53">
        <v>2</v>
      </c>
      <c r="D26" s="53" t="s">
        <v>92</v>
      </c>
      <c r="E26" s="53" t="s">
        <v>92</v>
      </c>
      <c r="F26" s="53" t="s">
        <v>92</v>
      </c>
      <c r="G26" s="53" t="s">
        <v>491</v>
      </c>
      <c r="H26" s="53" t="s">
        <v>4535</v>
      </c>
      <c r="I26" s="80" t="s">
        <v>4778</v>
      </c>
      <c r="J26" s="3030"/>
      <c r="Q26" s="101" t="s">
        <v>5232</v>
      </c>
      <c r="R26" s="102" t="s">
        <v>109</v>
      </c>
      <c r="S26" s="102">
        <v>12</v>
      </c>
      <c r="T26" s="102">
        <v>6</v>
      </c>
      <c r="U26" s="102">
        <v>2</v>
      </c>
      <c r="V26" s="102">
        <v>50</v>
      </c>
      <c r="W26" s="102" t="s">
        <v>5127</v>
      </c>
      <c r="X26" s="120" t="s">
        <v>5122</v>
      </c>
      <c r="Y26" s="132" t="s">
        <v>4535</v>
      </c>
      <c r="Z26" s="3042"/>
      <c r="AA26" s="133"/>
      <c r="AB26" s="133"/>
      <c r="AC26" s="134"/>
      <c r="AD26" s="134"/>
      <c r="AE26" s="134"/>
    </row>
    <row r="27" spans="2:31" ht="14.25" customHeight="1">
      <c r="B27" s="54" t="s">
        <v>5233</v>
      </c>
      <c r="C27" s="55">
        <v>1</v>
      </c>
      <c r="D27" s="55">
        <v>0</v>
      </c>
      <c r="E27" s="55" t="s">
        <v>1483</v>
      </c>
      <c r="F27" s="55" t="s">
        <v>5125</v>
      </c>
      <c r="G27" s="55" t="s">
        <v>491</v>
      </c>
      <c r="H27" s="55" t="s">
        <v>4535</v>
      </c>
      <c r="I27" s="81" t="s">
        <v>5234</v>
      </c>
      <c r="J27" s="3031" t="s">
        <v>1483</v>
      </c>
      <c r="K27" s="3103" t="s">
        <v>5235</v>
      </c>
      <c r="L27" s="3104"/>
      <c r="M27" s="3104"/>
      <c r="N27" s="3104"/>
      <c r="O27" s="3105"/>
      <c r="Q27" s="51" t="s">
        <v>5236</v>
      </c>
      <c r="R27" s="47" t="s">
        <v>109</v>
      </c>
      <c r="S27" s="47">
        <v>14</v>
      </c>
      <c r="T27" s="47">
        <v>5</v>
      </c>
      <c r="U27" s="47">
        <v>2</v>
      </c>
      <c r="V27" s="47" t="s">
        <v>5120</v>
      </c>
      <c r="W27" s="47" t="s">
        <v>5121</v>
      </c>
      <c r="X27" s="49" t="s">
        <v>5122</v>
      </c>
      <c r="Y27" s="79" t="s">
        <v>12</v>
      </c>
      <c r="Z27" s="3042"/>
      <c r="AA27" s="133"/>
      <c r="AB27" s="133"/>
      <c r="AC27" s="134"/>
      <c r="AD27" s="134"/>
      <c r="AE27" s="134"/>
    </row>
    <row r="28" spans="2:31" ht="14.25" customHeight="1">
      <c r="B28" s="51" t="s">
        <v>5237</v>
      </c>
      <c r="C28" s="47">
        <v>1</v>
      </c>
      <c r="D28" s="47">
        <v>0</v>
      </c>
      <c r="E28" s="47" t="s">
        <v>1488</v>
      </c>
      <c r="F28" s="47" t="s">
        <v>5125</v>
      </c>
      <c r="G28" s="47" t="s">
        <v>522</v>
      </c>
      <c r="H28" s="47" t="s">
        <v>4616</v>
      </c>
      <c r="I28" s="79" t="s">
        <v>4778</v>
      </c>
      <c r="J28" s="3031"/>
      <c r="K28" s="3106"/>
      <c r="L28" s="3106"/>
      <c r="M28" s="3106"/>
      <c r="N28" s="3106"/>
      <c r="O28" s="3107"/>
      <c r="Q28" s="101" t="s">
        <v>5238</v>
      </c>
      <c r="R28" s="102" t="s">
        <v>109</v>
      </c>
      <c r="S28" s="102">
        <v>11</v>
      </c>
      <c r="T28" s="102">
        <v>1</v>
      </c>
      <c r="U28" s="102">
        <v>0</v>
      </c>
      <c r="V28" s="102">
        <v>1</v>
      </c>
      <c r="W28" s="102" t="s">
        <v>5127</v>
      </c>
      <c r="X28" s="120" t="s">
        <v>92</v>
      </c>
      <c r="Y28" s="132" t="s">
        <v>12</v>
      </c>
      <c r="Z28" s="3042"/>
      <c r="AA28" s="134"/>
      <c r="AB28" s="134"/>
      <c r="AC28" s="134"/>
      <c r="AD28" s="134"/>
      <c r="AE28" s="134"/>
    </row>
    <row r="29" spans="2:31" ht="14.25" customHeight="1">
      <c r="B29" s="54" t="s">
        <v>5239</v>
      </c>
      <c r="C29" s="55">
        <v>1</v>
      </c>
      <c r="D29" s="55">
        <v>0</v>
      </c>
      <c r="E29" s="55" t="s">
        <v>5240</v>
      </c>
      <c r="F29" s="55" t="s">
        <v>5125</v>
      </c>
      <c r="G29" s="55" t="s">
        <v>522</v>
      </c>
      <c r="H29" s="55" t="s">
        <v>4535</v>
      </c>
      <c r="I29" s="81" t="s">
        <v>5241</v>
      </c>
      <c r="J29" s="3031"/>
      <c r="K29" s="3108"/>
      <c r="L29" s="3108"/>
      <c r="M29" s="3108"/>
      <c r="N29" s="3108"/>
      <c r="O29" s="3109"/>
      <c r="P29" s="78"/>
      <c r="Q29" s="51" t="s">
        <v>5242</v>
      </c>
      <c r="R29" s="47" t="s">
        <v>109</v>
      </c>
      <c r="S29" s="47">
        <v>14</v>
      </c>
      <c r="T29" s="47">
        <v>4</v>
      </c>
      <c r="U29" s="47">
        <v>0</v>
      </c>
      <c r="V29" s="47">
        <v>2</v>
      </c>
      <c r="W29" s="47" t="s">
        <v>5127</v>
      </c>
      <c r="X29" s="49" t="s">
        <v>5122</v>
      </c>
      <c r="Y29" s="79" t="s">
        <v>4535</v>
      </c>
      <c r="Z29" s="3042"/>
      <c r="AA29" s="134"/>
      <c r="AB29" s="134"/>
      <c r="AC29" s="134"/>
      <c r="AD29" s="134"/>
      <c r="AE29" s="134"/>
    </row>
    <row r="30" spans="2:31" ht="14.25" customHeight="1">
      <c r="B30" s="51" t="s">
        <v>5243</v>
      </c>
      <c r="C30" s="47" t="s">
        <v>5244</v>
      </c>
      <c r="D30" s="47">
        <v>0</v>
      </c>
      <c r="E30" s="47" t="s">
        <v>5245</v>
      </c>
      <c r="F30" s="47" t="s">
        <v>5125</v>
      </c>
      <c r="G30" s="47" t="s">
        <v>522</v>
      </c>
      <c r="H30" s="47" t="s">
        <v>4535</v>
      </c>
      <c r="I30" s="79" t="s">
        <v>5246</v>
      </c>
      <c r="J30" s="3031"/>
      <c r="K30" s="3070" t="s">
        <v>5247</v>
      </c>
      <c r="L30" s="3070"/>
      <c r="M30" s="3070"/>
      <c r="N30" s="3070"/>
      <c r="O30" s="3071"/>
      <c r="P30" s="78"/>
      <c r="Q30" s="101" t="s">
        <v>5248</v>
      </c>
      <c r="R30" s="102" t="s">
        <v>109</v>
      </c>
      <c r="S30" s="102">
        <v>14</v>
      </c>
      <c r="T30" s="102">
        <v>6</v>
      </c>
      <c r="U30" s="102">
        <v>2</v>
      </c>
      <c r="V30" s="102">
        <v>5</v>
      </c>
      <c r="W30" s="102" t="s">
        <v>5127</v>
      </c>
      <c r="X30" s="120" t="s">
        <v>5171</v>
      </c>
      <c r="Y30" s="132" t="s">
        <v>4535</v>
      </c>
      <c r="Z30" s="3042"/>
      <c r="AA30" s="134"/>
      <c r="AB30" s="134"/>
      <c r="AC30" s="134"/>
      <c r="AD30" s="134"/>
      <c r="AE30" s="134"/>
    </row>
    <row r="31" spans="2:31" ht="14.25" customHeight="1">
      <c r="B31" s="56" t="s">
        <v>5249</v>
      </c>
      <c r="C31" s="57" t="s">
        <v>5250</v>
      </c>
      <c r="D31" s="57">
        <v>0</v>
      </c>
      <c r="E31" s="57" t="s">
        <v>5251</v>
      </c>
      <c r="F31" s="57" t="s">
        <v>5125</v>
      </c>
      <c r="G31" s="57" t="s">
        <v>522</v>
      </c>
      <c r="H31" s="57" t="s">
        <v>12</v>
      </c>
      <c r="I31" s="82">
        <v>15</v>
      </c>
      <c r="J31" s="3031"/>
      <c r="K31" s="3072"/>
      <c r="L31" s="3072"/>
      <c r="M31" s="3072"/>
      <c r="N31" s="3072"/>
      <c r="O31" s="3073"/>
      <c r="P31" s="78"/>
      <c r="Q31" s="51" t="s">
        <v>5252</v>
      </c>
      <c r="R31" s="47" t="s">
        <v>366</v>
      </c>
      <c r="S31" s="47" t="s">
        <v>5253</v>
      </c>
      <c r="T31" s="47">
        <v>-1</v>
      </c>
      <c r="U31" s="47">
        <v>0</v>
      </c>
      <c r="V31" s="47">
        <v>1</v>
      </c>
      <c r="W31" s="47" t="s">
        <v>5127</v>
      </c>
      <c r="X31" s="49" t="s">
        <v>92</v>
      </c>
      <c r="Y31" s="79" t="s">
        <v>12</v>
      </c>
      <c r="Z31" s="3042"/>
      <c r="AA31" s="134"/>
      <c r="AB31" s="134"/>
      <c r="AC31" s="134"/>
      <c r="AD31" s="134"/>
      <c r="AE31" s="134"/>
    </row>
    <row r="32" spans="2:31" ht="14.25" customHeight="1">
      <c r="B32" s="51" t="s">
        <v>5254</v>
      </c>
      <c r="C32" s="47" t="s">
        <v>4609</v>
      </c>
      <c r="D32" s="47">
        <v>0</v>
      </c>
      <c r="E32" s="47" t="s">
        <v>1488</v>
      </c>
      <c r="F32" s="47" t="s">
        <v>5125</v>
      </c>
      <c r="G32" s="47" t="s">
        <v>522</v>
      </c>
      <c r="H32" s="47" t="s">
        <v>4535</v>
      </c>
      <c r="I32" s="79" t="s">
        <v>4544</v>
      </c>
      <c r="J32" s="3031"/>
      <c r="K32" s="3074"/>
      <c r="L32" s="3074"/>
      <c r="M32" s="3074"/>
      <c r="N32" s="3074"/>
      <c r="O32" s="3075"/>
      <c r="P32" s="78"/>
      <c r="Q32" s="101" t="s">
        <v>5255</v>
      </c>
      <c r="R32" s="102" t="s">
        <v>366</v>
      </c>
      <c r="S32" s="102" t="s">
        <v>5253</v>
      </c>
      <c r="T32" s="102">
        <v>-1</v>
      </c>
      <c r="U32" s="102">
        <v>0</v>
      </c>
      <c r="V32" s="102">
        <v>1</v>
      </c>
      <c r="W32" s="102" t="s">
        <v>5127</v>
      </c>
      <c r="X32" s="120" t="s">
        <v>92</v>
      </c>
      <c r="Y32" s="132" t="s">
        <v>4535</v>
      </c>
      <c r="Z32" s="3042"/>
      <c r="AA32" s="134"/>
      <c r="AB32" s="134"/>
      <c r="AC32" s="134"/>
      <c r="AD32" s="134"/>
      <c r="AE32" s="134"/>
    </row>
    <row r="33" spans="2:31" ht="14.25" customHeight="1">
      <c r="B33" s="54" t="s">
        <v>5256</v>
      </c>
      <c r="C33" s="55" t="s">
        <v>5257</v>
      </c>
      <c r="D33" s="55">
        <v>0</v>
      </c>
      <c r="E33" s="55" t="s">
        <v>1488</v>
      </c>
      <c r="F33" s="55" t="s">
        <v>5258</v>
      </c>
      <c r="G33" s="55" t="s">
        <v>491</v>
      </c>
      <c r="H33" s="55" t="s">
        <v>4535</v>
      </c>
      <c r="I33" s="81" t="s">
        <v>5259</v>
      </c>
      <c r="J33" s="3031"/>
      <c r="K33" s="78"/>
      <c r="L33" s="78"/>
      <c r="M33" s="78"/>
      <c r="N33" s="78"/>
      <c r="O33" s="78"/>
      <c r="P33" s="78"/>
      <c r="Q33" s="51" t="s">
        <v>5260</v>
      </c>
      <c r="R33" s="47" t="s">
        <v>110</v>
      </c>
      <c r="S33" s="47">
        <v>8</v>
      </c>
      <c r="T33" s="47">
        <v>4</v>
      </c>
      <c r="U33" s="47">
        <v>0</v>
      </c>
      <c r="V33" s="47">
        <v>1</v>
      </c>
      <c r="W33" s="47" t="s">
        <v>5127</v>
      </c>
      <c r="X33" s="49" t="s">
        <v>92</v>
      </c>
      <c r="Y33" s="79" t="s">
        <v>4535</v>
      </c>
      <c r="Z33" s="3042"/>
      <c r="AA33" s="134"/>
      <c r="AB33" s="134"/>
      <c r="AC33" s="134"/>
      <c r="AD33" s="134"/>
      <c r="AE33" s="134"/>
    </row>
    <row r="34" spans="2:31" ht="14.25" customHeight="1">
      <c r="B34" s="51" t="s">
        <v>5261</v>
      </c>
      <c r="C34" s="47" t="s">
        <v>5262</v>
      </c>
      <c r="D34" s="47">
        <v>0</v>
      </c>
      <c r="E34" s="47" t="s">
        <v>5263</v>
      </c>
      <c r="F34" s="47" t="s">
        <v>5125</v>
      </c>
      <c r="G34" s="47" t="s">
        <v>491</v>
      </c>
      <c r="H34" s="47" t="s">
        <v>4535</v>
      </c>
      <c r="I34" s="79" t="s">
        <v>4544</v>
      </c>
      <c r="J34" s="3031"/>
      <c r="K34" s="78"/>
      <c r="L34" s="78"/>
      <c r="M34" s="78"/>
      <c r="N34" s="78"/>
      <c r="O34" s="78"/>
      <c r="P34" s="78"/>
      <c r="Q34" s="101" t="s">
        <v>5264</v>
      </c>
      <c r="R34" s="102" t="s">
        <v>109</v>
      </c>
      <c r="S34" s="102">
        <v>10</v>
      </c>
      <c r="T34" s="102">
        <v>-2</v>
      </c>
      <c r="U34" s="102">
        <v>0</v>
      </c>
      <c r="V34" s="102">
        <v>1</v>
      </c>
      <c r="W34" s="102" t="s">
        <v>5127</v>
      </c>
      <c r="X34" s="120" t="s">
        <v>92</v>
      </c>
      <c r="Y34" s="132" t="s">
        <v>4535</v>
      </c>
      <c r="Z34" s="3042"/>
      <c r="AA34" s="134"/>
      <c r="AB34" s="134"/>
      <c r="AC34" s="134"/>
      <c r="AD34" s="134"/>
      <c r="AE34" s="134"/>
    </row>
    <row r="35" spans="2:31" ht="14.25" customHeight="1">
      <c r="B35" s="54" t="s">
        <v>5265</v>
      </c>
      <c r="C35" s="55" t="s">
        <v>4609</v>
      </c>
      <c r="D35" s="55">
        <v>0</v>
      </c>
      <c r="E35" s="55" t="s">
        <v>1483</v>
      </c>
      <c r="F35" s="55" t="s">
        <v>5125</v>
      </c>
      <c r="G35" s="55" t="s">
        <v>522</v>
      </c>
      <c r="H35" s="55" t="s">
        <v>4535</v>
      </c>
      <c r="I35" s="81" t="s">
        <v>5266</v>
      </c>
      <c r="J35" s="3031"/>
      <c r="K35" s="78"/>
      <c r="L35" s="78"/>
      <c r="M35" s="78"/>
      <c r="N35" s="78"/>
      <c r="O35" s="78"/>
      <c r="P35" s="78"/>
      <c r="Q35" s="51" t="s">
        <v>5267</v>
      </c>
      <c r="R35" s="47" t="s">
        <v>5268</v>
      </c>
      <c r="S35" s="47">
        <v>10</v>
      </c>
      <c r="T35" s="47">
        <v>4</v>
      </c>
      <c r="U35" s="47">
        <v>0</v>
      </c>
      <c r="V35" s="47">
        <v>1</v>
      </c>
      <c r="W35" s="47" t="s">
        <v>5127</v>
      </c>
      <c r="X35" s="49" t="s">
        <v>92</v>
      </c>
      <c r="Y35" s="79" t="s">
        <v>4535</v>
      </c>
      <c r="Z35" s="3042"/>
      <c r="AA35" s="134"/>
      <c r="AB35" s="134"/>
      <c r="AC35" s="134"/>
      <c r="AD35" s="134"/>
      <c r="AE35" s="134"/>
    </row>
    <row r="36" spans="2:31" ht="14.25" customHeight="1">
      <c r="B36" s="51" t="s">
        <v>5269</v>
      </c>
      <c r="C36" s="47">
        <v>3</v>
      </c>
      <c r="D36" s="47">
        <v>0</v>
      </c>
      <c r="E36" s="47" t="s">
        <v>5270</v>
      </c>
      <c r="F36" s="47" t="s">
        <v>5125</v>
      </c>
      <c r="G36" s="47" t="s">
        <v>522</v>
      </c>
      <c r="H36" s="47" t="s">
        <v>5271</v>
      </c>
      <c r="I36" s="79" t="s">
        <v>4778</v>
      </c>
      <c r="J36" s="3031"/>
      <c r="K36" s="78"/>
      <c r="L36" s="3069" t="s">
        <v>5272</v>
      </c>
      <c r="M36" s="3069"/>
      <c r="N36" s="3069"/>
      <c r="O36" s="3069"/>
      <c r="Q36" s="101" t="s">
        <v>5273</v>
      </c>
      <c r="R36" s="102" t="s">
        <v>5274</v>
      </c>
      <c r="S36" s="102">
        <v>9</v>
      </c>
      <c r="T36" s="102">
        <v>3</v>
      </c>
      <c r="U36" s="102">
        <v>0</v>
      </c>
      <c r="V36" s="102">
        <v>2</v>
      </c>
      <c r="W36" s="102" t="s">
        <v>5127</v>
      </c>
      <c r="X36" s="120" t="s">
        <v>5122</v>
      </c>
      <c r="Y36" s="132" t="s">
        <v>4535</v>
      </c>
      <c r="Z36" s="3042"/>
      <c r="AA36" s="134"/>
      <c r="AB36" s="134"/>
      <c r="AC36" s="134"/>
      <c r="AD36" s="134"/>
      <c r="AE36" s="134"/>
    </row>
    <row r="37" spans="2:31" ht="14.25" customHeight="1">
      <c r="B37" s="54" t="s">
        <v>5275</v>
      </c>
      <c r="C37" s="55">
        <v>3</v>
      </c>
      <c r="D37" s="55">
        <v>0</v>
      </c>
      <c r="E37" s="55" t="s">
        <v>5276</v>
      </c>
      <c r="F37" s="55" t="s">
        <v>5125</v>
      </c>
      <c r="G37" s="55" t="s">
        <v>522</v>
      </c>
      <c r="H37" s="55" t="s">
        <v>5271</v>
      </c>
      <c r="I37" s="81" t="s">
        <v>4778</v>
      </c>
      <c r="J37" s="3031"/>
      <c r="K37" s="78"/>
      <c r="L37" s="3069"/>
      <c r="M37" s="3069"/>
      <c r="N37" s="3069"/>
      <c r="O37" s="3069"/>
      <c r="Q37" s="103" t="s">
        <v>5277</v>
      </c>
      <c r="R37" s="104" t="s">
        <v>5157</v>
      </c>
      <c r="S37" s="104">
        <v>19</v>
      </c>
      <c r="T37" s="104">
        <v>65</v>
      </c>
      <c r="U37" s="104">
        <v>10</v>
      </c>
      <c r="V37" s="104">
        <v>300</v>
      </c>
      <c r="W37" s="104" t="s">
        <v>5127</v>
      </c>
      <c r="X37" s="121" t="s">
        <v>5171</v>
      </c>
      <c r="Y37" s="135" t="s">
        <v>4535</v>
      </c>
      <c r="Z37" s="3131" t="s">
        <v>5278</v>
      </c>
      <c r="AA37" s="134"/>
      <c r="AB37" s="134"/>
      <c r="AC37" s="134"/>
      <c r="AD37" s="134"/>
      <c r="AE37" s="134"/>
    </row>
    <row r="38" spans="2:31" ht="14.25" customHeight="1">
      <c r="B38" s="51" t="s">
        <v>5279</v>
      </c>
      <c r="C38" s="47">
        <v>2</v>
      </c>
      <c r="D38" s="47">
        <v>0</v>
      </c>
      <c r="E38" s="47" t="s">
        <v>1483</v>
      </c>
      <c r="F38" s="47" t="s">
        <v>5125</v>
      </c>
      <c r="G38" s="47" t="s">
        <v>522</v>
      </c>
      <c r="H38" s="47" t="s">
        <v>5271</v>
      </c>
      <c r="I38" s="79" t="s">
        <v>4778</v>
      </c>
      <c r="J38" s="3031"/>
      <c r="K38" s="78"/>
      <c r="L38" s="3069"/>
      <c r="M38" s="3069"/>
      <c r="N38" s="3069"/>
      <c r="O38" s="3069"/>
      <c r="Q38" s="51" t="s">
        <v>5280</v>
      </c>
      <c r="R38" s="47" t="s">
        <v>5281</v>
      </c>
      <c r="S38" s="47">
        <v>20</v>
      </c>
      <c r="T38" s="47">
        <v>45</v>
      </c>
      <c r="U38" s="47">
        <v>15</v>
      </c>
      <c r="V38" s="47">
        <v>1</v>
      </c>
      <c r="W38" s="47" t="s">
        <v>5121</v>
      </c>
      <c r="X38" s="49" t="s">
        <v>5282</v>
      </c>
      <c r="Y38" s="79" t="s">
        <v>4535</v>
      </c>
      <c r="Z38" s="3131"/>
      <c r="AA38" s="134"/>
      <c r="AB38" s="134"/>
      <c r="AC38" s="134"/>
      <c r="AD38" s="134"/>
      <c r="AE38" s="134"/>
    </row>
    <row r="39" spans="2:31" ht="14.25" customHeight="1">
      <c r="B39" s="54" t="s">
        <v>5283</v>
      </c>
      <c r="C39" s="55">
        <v>4</v>
      </c>
      <c r="D39" s="55">
        <v>0</v>
      </c>
      <c r="E39" s="55" t="s">
        <v>5240</v>
      </c>
      <c r="F39" s="55" t="s">
        <v>5125</v>
      </c>
      <c r="G39" s="60" t="s">
        <v>522</v>
      </c>
      <c r="H39" s="55" t="s">
        <v>5284</v>
      </c>
      <c r="I39" s="81" t="s">
        <v>4778</v>
      </c>
      <c r="J39" s="3031"/>
      <c r="K39" s="78"/>
      <c r="L39" s="3069"/>
      <c r="M39" s="3069"/>
      <c r="N39" s="3069"/>
      <c r="O39" s="3069"/>
      <c r="Q39" s="103" t="s">
        <v>5285</v>
      </c>
      <c r="R39" s="104" t="s">
        <v>5281</v>
      </c>
      <c r="S39" s="104">
        <v>19</v>
      </c>
      <c r="T39" s="104">
        <v>53</v>
      </c>
      <c r="U39" s="104">
        <v>20</v>
      </c>
      <c r="V39" s="104">
        <v>2</v>
      </c>
      <c r="W39" s="104" t="s">
        <v>5121</v>
      </c>
      <c r="X39" s="121" t="s">
        <v>5282</v>
      </c>
      <c r="Y39" s="135" t="s">
        <v>4535</v>
      </c>
      <c r="Z39" s="3131"/>
      <c r="AA39" s="3076" t="s">
        <v>5286</v>
      </c>
      <c r="AB39" s="3077"/>
      <c r="AC39" s="3077"/>
      <c r="AD39" s="3077"/>
      <c r="AE39" s="3078"/>
    </row>
    <row r="40" spans="2:31" ht="14.25" customHeight="1">
      <c r="B40" s="58" t="s">
        <v>5287</v>
      </c>
      <c r="C40" s="59">
        <v>4</v>
      </c>
      <c r="D40" s="59">
        <v>0</v>
      </c>
      <c r="E40" s="59" t="s">
        <v>5240</v>
      </c>
      <c r="F40" s="59" t="s">
        <v>5125</v>
      </c>
      <c r="G40" s="70" t="s">
        <v>522</v>
      </c>
      <c r="H40" s="59" t="s">
        <v>5288</v>
      </c>
      <c r="I40" s="83" t="s">
        <v>4778</v>
      </c>
      <c r="J40" s="3031"/>
      <c r="K40" s="78"/>
      <c r="L40" s="3069"/>
      <c r="M40" s="3069"/>
      <c r="N40" s="3069"/>
      <c r="O40" s="3069"/>
      <c r="Q40" s="51" t="s">
        <v>5289</v>
      </c>
      <c r="R40" s="47" t="s">
        <v>5157</v>
      </c>
      <c r="S40" s="47">
        <v>18</v>
      </c>
      <c r="T40" s="47">
        <v>35</v>
      </c>
      <c r="U40" s="47">
        <v>7</v>
      </c>
      <c r="V40" s="47" t="s">
        <v>5290</v>
      </c>
      <c r="W40" s="47" t="s">
        <v>5127</v>
      </c>
      <c r="X40" s="49" t="s">
        <v>5171</v>
      </c>
      <c r="Y40" s="79" t="s">
        <v>12</v>
      </c>
      <c r="Z40" s="3131"/>
      <c r="AA40" s="3079"/>
      <c r="AB40" s="3080"/>
      <c r="AC40" s="3080"/>
      <c r="AD40" s="3080"/>
      <c r="AE40" s="3081"/>
    </row>
    <row r="41" spans="2:31" ht="14.25" customHeight="1">
      <c r="B41" s="54" t="s">
        <v>5291</v>
      </c>
      <c r="C41" s="60">
        <v>1</v>
      </c>
      <c r="D41" s="55">
        <v>0</v>
      </c>
      <c r="E41" s="55" t="s">
        <v>5263</v>
      </c>
      <c r="F41" s="55" t="s">
        <v>5125</v>
      </c>
      <c r="G41" s="60" t="s">
        <v>491</v>
      </c>
      <c r="H41" s="55" t="s">
        <v>5292</v>
      </c>
      <c r="I41" s="81" t="s">
        <v>5293</v>
      </c>
      <c r="J41" s="3031"/>
      <c r="K41" s="78"/>
      <c r="L41" s="3069"/>
      <c r="M41" s="3069"/>
      <c r="N41" s="3069"/>
      <c r="O41" s="3069"/>
      <c r="Q41" s="103" t="s">
        <v>5294</v>
      </c>
      <c r="R41" s="104" t="s">
        <v>5157</v>
      </c>
      <c r="S41" s="104">
        <v>18</v>
      </c>
      <c r="T41" s="104">
        <v>60</v>
      </c>
      <c r="U41" s="104">
        <v>15</v>
      </c>
      <c r="V41" s="104">
        <v>2</v>
      </c>
      <c r="W41" s="104" t="s">
        <v>5121</v>
      </c>
      <c r="X41" s="121" t="s">
        <v>5282</v>
      </c>
      <c r="Y41" s="135" t="s">
        <v>4535</v>
      </c>
      <c r="Z41" s="3131"/>
      <c r="AA41" s="3082"/>
      <c r="AB41" s="3083"/>
      <c r="AC41" s="3083"/>
      <c r="AD41" s="3083"/>
      <c r="AE41" s="3084"/>
    </row>
    <row r="42" spans="2:31" ht="14.25" customHeight="1">
      <c r="B42" s="61" t="s">
        <v>5295</v>
      </c>
      <c r="C42" s="62">
        <v>2</v>
      </c>
      <c r="D42" s="63">
        <v>0</v>
      </c>
      <c r="E42" s="63" t="s">
        <v>5296</v>
      </c>
      <c r="F42" s="63" t="s">
        <v>5115</v>
      </c>
      <c r="G42" s="62" t="s">
        <v>491</v>
      </c>
      <c r="H42" s="63" t="s">
        <v>4535</v>
      </c>
      <c r="I42" s="84" t="s">
        <v>5297</v>
      </c>
      <c r="J42" s="3032" t="s">
        <v>5298</v>
      </c>
      <c r="K42" s="78"/>
      <c r="L42" s="3069"/>
      <c r="M42" s="3069"/>
      <c r="N42" s="3069"/>
      <c r="O42" s="3069"/>
      <c r="Q42" s="51" t="s">
        <v>5299</v>
      </c>
      <c r="R42" s="47" t="s">
        <v>5157</v>
      </c>
      <c r="S42" s="47">
        <v>16</v>
      </c>
      <c r="T42" s="47">
        <v>64</v>
      </c>
      <c r="U42" s="47">
        <v>10</v>
      </c>
      <c r="V42" s="47">
        <v>2</v>
      </c>
      <c r="W42" s="47" t="s">
        <v>5127</v>
      </c>
      <c r="X42" s="49" t="s">
        <v>5171</v>
      </c>
      <c r="Y42" s="79" t="s">
        <v>4535</v>
      </c>
      <c r="Z42" s="3131"/>
      <c r="AA42" s="3085" t="s">
        <v>5300</v>
      </c>
      <c r="AB42" s="3086"/>
      <c r="AC42" s="3086"/>
      <c r="AD42" s="3086"/>
      <c r="AE42" s="3087"/>
    </row>
    <row r="43" spans="2:31" ht="14.25" customHeight="1">
      <c r="B43" s="51" t="s">
        <v>5301</v>
      </c>
      <c r="C43" s="49">
        <v>2</v>
      </c>
      <c r="D43" s="47">
        <v>0</v>
      </c>
      <c r="E43" s="47" t="s">
        <v>5302</v>
      </c>
      <c r="F43" s="47" t="s">
        <v>5115</v>
      </c>
      <c r="G43" s="49" t="s">
        <v>491</v>
      </c>
      <c r="H43" s="47" t="s">
        <v>12</v>
      </c>
      <c r="I43" s="79">
        <v>160</v>
      </c>
      <c r="J43" s="3032"/>
      <c r="K43" s="78"/>
      <c r="L43" s="3069"/>
      <c r="M43" s="3069"/>
      <c r="N43" s="3069"/>
      <c r="O43" s="3069"/>
      <c r="Q43" s="103" t="s">
        <v>5303</v>
      </c>
      <c r="R43" s="104" t="s">
        <v>5281</v>
      </c>
      <c r="S43" s="104" t="s">
        <v>5304</v>
      </c>
      <c r="T43" s="104">
        <v>35</v>
      </c>
      <c r="U43" s="104">
        <v>20</v>
      </c>
      <c r="V43" s="104">
        <v>1</v>
      </c>
      <c r="W43" s="104" t="s">
        <v>5121</v>
      </c>
      <c r="X43" s="121" t="s">
        <v>92</v>
      </c>
      <c r="Y43" s="135" t="s">
        <v>12</v>
      </c>
      <c r="Z43" s="3131"/>
      <c r="AA43" s="3088"/>
      <c r="AB43" s="3089"/>
      <c r="AC43" s="3089"/>
      <c r="AD43" s="3089"/>
      <c r="AE43" s="3090"/>
    </row>
    <row r="44" spans="2:31" ht="14.25" customHeight="1">
      <c r="B44" s="61" t="s">
        <v>5305</v>
      </c>
      <c r="C44" s="62">
        <v>2</v>
      </c>
      <c r="D44" s="63">
        <v>0</v>
      </c>
      <c r="E44" s="63" t="s">
        <v>5306</v>
      </c>
      <c r="F44" s="63" t="s">
        <v>5307</v>
      </c>
      <c r="G44" s="62" t="s">
        <v>522</v>
      </c>
      <c r="H44" s="63" t="s">
        <v>4535</v>
      </c>
      <c r="I44" s="85" t="s">
        <v>5308</v>
      </c>
      <c r="J44" s="3032"/>
      <c r="K44" s="78"/>
      <c r="L44" s="3069"/>
      <c r="M44" s="3069"/>
      <c r="N44" s="3069"/>
      <c r="O44" s="3069"/>
      <c r="Q44" s="51" t="s">
        <v>5309</v>
      </c>
      <c r="R44" s="49" t="s">
        <v>5157</v>
      </c>
      <c r="S44" s="47">
        <v>15</v>
      </c>
      <c r="T44" s="49">
        <v>20</v>
      </c>
      <c r="U44" s="49">
        <v>4</v>
      </c>
      <c r="V44" s="49">
        <v>8</v>
      </c>
      <c r="W44" s="49" t="s">
        <v>5127</v>
      </c>
      <c r="X44" s="49" t="s">
        <v>5122</v>
      </c>
      <c r="Y44" s="77" t="s">
        <v>12</v>
      </c>
      <c r="Z44" s="3131"/>
      <c r="AA44" s="3088"/>
      <c r="AB44" s="3089"/>
      <c r="AC44" s="3089"/>
      <c r="AD44" s="3089"/>
      <c r="AE44" s="3090"/>
    </row>
    <row r="45" spans="2:31" ht="14.25" customHeight="1">
      <c r="B45" s="51" t="s">
        <v>5310</v>
      </c>
      <c r="C45" s="49">
        <v>3</v>
      </c>
      <c r="D45" s="47">
        <v>0</v>
      </c>
      <c r="E45" s="47" t="s">
        <v>5311</v>
      </c>
      <c r="F45" s="47" t="s">
        <v>5115</v>
      </c>
      <c r="G45" s="49" t="s">
        <v>522</v>
      </c>
      <c r="H45" s="47" t="s">
        <v>12</v>
      </c>
      <c r="I45" s="79">
        <v>35</v>
      </c>
      <c r="J45" s="3032"/>
      <c r="K45" s="78"/>
      <c r="L45" s="3069"/>
      <c r="M45" s="3069"/>
      <c r="N45" s="3069"/>
      <c r="O45" s="3069"/>
      <c r="Q45" s="105" t="s">
        <v>5312</v>
      </c>
      <c r="R45" s="106" t="s">
        <v>381</v>
      </c>
      <c r="S45" s="107">
        <v>14</v>
      </c>
      <c r="T45" s="108">
        <v>-2</v>
      </c>
      <c r="U45" s="108">
        <v>0</v>
      </c>
      <c r="V45" s="108" t="s">
        <v>92</v>
      </c>
      <c r="W45" s="108" t="s">
        <v>92</v>
      </c>
      <c r="X45" s="107" t="s">
        <v>92</v>
      </c>
      <c r="Y45" s="136" t="s">
        <v>12</v>
      </c>
      <c r="Z45" s="3131"/>
      <c r="AA45" s="3091"/>
      <c r="AB45" s="3092"/>
      <c r="AC45" s="3092"/>
      <c r="AD45" s="3092"/>
      <c r="AE45" s="3093"/>
    </row>
    <row r="46" spans="2:31" ht="14.25" customHeight="1">
      <c r="B46" s="61" t="s">
        <v>5313</v>
      </c>
      <c r="C46" s="62">
        <v>4</v>
      </c>
      <c r="D46" s="63">
        <v>1</v>
      </c>
      <c r="E46" s="63" t="s">
        <v>5314</v>
      </c>
      <c r="F46" s="63" t="s">
        <v>5115</v>
      </c>
      <c r="G46" s="62" t="s">
        <v>522</v>
      </c>
      <c r="H46" s="63" t="s">
        <v>5271</v>
      </c>
      <c r="I46" s="84" t="s">
        <v>4778</v>
      </c>
      <c r="J46" s="3032"/>
      <c r="K46" s="78"/>
      <c r="L46" s="86"/>
      <c r="M46" s="86"/>
      <c r="N46" s="86"/>
      <c r="O46" s="86"/>
      <c r="Q46" s="50" t="s">
        <v>5315</v>
      </c>
      <c r="R46" s="46" t="s">
        <v>5157</v>
      </c>
      <c r="S46" s="46" t="s">
        <v>92</v>
      </c>
      <c r="T46" s="46">
        <v>6</v>
      </c>
      <c r="U46" s="46">
        <v>0</v>
      </c>
      <c r="V46" s="46">
        <v>9</v>
      </c>
      <c r="W46" s="46" t="s">
        <v>5127</v>
      </c>
      <c r="X46" s="122" t="s">
        <v>5122</v>
      </c>
      <c r="Y46" s="76" t="s">
        <v>4535</v>
      </c>
      <c r="Z46" s="3131"/>
      <c r="AA46" s="137"/>
      <c r="AB46" s="134"/>
      <c r="AC46" s="134"/>
      <c r="AD46" s="134"/>
      <c r="AE46" s="134"/>
    </row>
    <row r="47" spans="2:31" ht="14.25" customHeight="1">
      <c r="B47" s="51" t="s">
        <v>5316</v>
      </c>
      <c r="C47" s="49">
        <v>4</v>
      </c>
      <c r="D47" s="47">
        <v>1</v>
      </c>
      <c r="E47" s="47" t="s">
        <v>5314</v>
      </c>
      <c r="F47" s="47" t="s">
        <v>5115</v>
      </c>
      <c r="G47" s="49" t="s">
        <v>522</v>
      </c>
      <c r="H47" s="47" t="s">
        <v>5271</v>
      </c>
      <c r="I47" s="79" t="s">
        <v>4778</v>
      </c>
      <c r="J47" s="3032"/>
      <c r="K47" s="78"/>
      <c r="L47" s="86"/>
      <c r="M47" s="86"/>
      <c r="N47" s="86"/>
      <c r="O47" s="86"/>
      <c r="Q47" s="51" t="s">
        <v>5317</v>
      </c>
      <c r="R47" s="47" t="s">
        <v>5157</v>
      </c>
      <c r="S47" s="47">
        <v>12</v>
      </c>
      <c r="T47" s="47">
        <v>20</v>
      </c>
      <c r="U47" s="47">
        <v>2</v>
      </c>
      <c r="V47" s="47" t="s">
        <v>5318</v>
      </c>
      <c r="W47" s="47" t="s">
        <v>5121</v>
      </c>
      <c r="X47" s="49" t="s">
        <v>5282</v>
      </c>
      <c r="Y47" s="79" t="s">
        <v>3241</v>
      </c>
      <c r="Z47" s="3131"/>
      <c r="AA47" s="137"/>
      <c r="AB47" s="134"/>
      <c r="AC47" s="134"/>
      <c r="AD47" s="134"/>
      <c r="AE47" s="134"/>
    </row>
    <row r="48" spans="2:31" ht="14.25" customHeight="1">
      <c r="B48" s="61" t="s">
        <v>5319</v>
      </c>
      <c r="C48" s="62">
        <v>4</v>
      </c>
      <c r="D48" s="63">
        <v>1</v>
      </c>
      <c r="E48" s="63" t="s">
        <v>5314</v>
      </c>
      <c r="F48" s="63" t="s">
        <v>5115</v>
      </c>
      <c r="G48" s="62" t="s">
        <v>522</v>
      </c>
      <c r="H48" s="63" t="s">
        <v>5271</v>
      </c>
      <c r="I48" s="84" t="s">
        <v>4778</v>
      </c>
      <c r="J48" s="3032"/>
      <c r="K48" s="78"/>
      <c r="L48" s="86"/>
      <c r="M48" s="86"/>
      <c r="N48" s="86"/>
      <c r="O48" s="86"/>
      <c r="Q48" s="103" t="s">
        <v>5320</v>
      </c>
      <c r="R48" s="104" t="s">
        <v>5281</v>
      </c>
      <c r="S48" s="104">
        <v>12</v>
      </c>
      <c r="T48" s="104">
        <v>3</v>
      </c>
      <c r="U48" s="104">
        <v>0</v>
      </c>
      <c r="V48" s="104" t="s">
        <v>5318</v>
      </c>
      <c r="W48" s="104" t="s">
        <v>5121</v>
      </c>
      <c r="X48" s="121" t="s">
        <v>5282</v>
      </c>
      <c r="Y48" s="135" t="s">
        <v>4535</v>
      </c>
      <c r="Z48" s="3131"/>
      <c r="AA48" s="137"/>
      <c r="AB48" s="134"/>
      <c r="AC48" s="134"/>
      <c r="AD48" s="134"/>
      <c r="AE48" s="134"/>
    </row>
    <row r="49" spans="2:31" ht="14.25" customHeight="1">
      <c r="B49" s="51" t="s">
        <v>5321</v>
      </c>
      <c r="C49" s="49">
        <v>5</v>
      </c>
      <c r="D49" s="47">
        <v>1</v>
      </c>
      <c r="E49" s="47" t="s">
        <v>5322</v>
      </c>
      <c r="F49" s="47" t="s">
        <v>5115</v>
      </c>
      <c r="G49" s="49" t="s">
        <v>522</v>
      </c>
      <c r="H49" s="47" t="s">
        <v>5271</v>
      </c>
      <c r="I49" s="79" t="s">
        <v>4778</v>
      </c>
      <c r="J49" s="3032"/>
      <c r="K49" s="78"/>
      <c r="L49" s="86"/>
      <c r="M49" s="86"/>
      <c r="N49" s="86"/>
      <c r="O49" s="86"/>
      <c r="Q49" s="109" t="s">
        <v>5323</v>
      </c>
      <c r="R49" s="110" t="s">
        <v>5188</v>
      </c>
      <c r="S49" s="110">
        <v>9</v>
      </c>
      <c r="T49" s="110">
        <v>3</v>
      </c>
      <c r="U49" s="110">
        <v>0</v>
      </c>
      <c r="V49" s="110" t="s">
        <v>5318</v>
      </c>
      <c r="W49" s="110" t="s">
        <v>5121</v>
      </c>
      <c r="X49" s="123" t="s">
        <v>5121</v>
      </c>
      <c r="Y49" s="138" t="s">
        <v>5271</v>
      </c>
      <c r="Z49" s="3132" t="s">
        <v>5324</v>
      </c>
      <c r="AA49" s="137"/>
      <c r="AB49" s="134"/>
      <c r="AC49" s="134"/>
      <c r="AD49" s="134"/>
      <c r="AE49" s="134"/>
    </row>
    <row r="50" spans="2:31" ht="14.25" customHeight="1">
      <c r="B50" s="61" t="s">
        <v>5325</v>
      </c>
      <c r="C50" s="62">
        <v>4</v>
      </c>
      <c r="D50" s="63">
        <v>0</v>
      </c>
      <c r="E50" s="63" t="s">
        <v>5314</v>
      </c>
      <c r="F50" s="63" t="s">
        <v>5115</v>
      </c>
      <c r="G50" s="62" t="s">
        <v>522</v>
      </c>
      <c r="H50" s="63" t="s">
        <v>5271</v>
      </c>
      <c r="I50" s="84" t="s">
        <v>4778</v>
      </c>
      <c r="J50" s="3032"/>
      <c r="K50" s="78"/>
      <c r="L50" s="86"/>
      <c r="M50" s="86"/>
      <c r="N50" s="86"/>
      <c r="O50" s="86"/>
      <c r="Q50" s="51" t="s">
        <v>5326</v>
      </c>
      <c r="R50" s="47" t="s">
        <v>5188</v>
      </c>
      <c r="S50" s="47">
        <v>9</v>
      </c>
      <c r="T50" s="47">
        <v>3</v>
      </c>
      <c r="U50" s="47">
        <v>0</v>
      </c>
      <c r="V50" s="47" t="s">
        <v>5327</v>
      </c>
      <c r="W50" s="47" t="s">
        <v>5194</v>
      </c>
      <c r="X50" s="49" t="s">
        <v>5171</v>
      </c>
      <c r="Y50" s="79" t="s">
        <v>5271</v>
      </c>
      <c r="Z50" s="3132"/>
      <c r="AA50" s="134"/>
      <c r="AB50" s="134"/>
      <c r="AC50" s="134"/>
      <c r="AD50" s="134"/>
      <c r="AE50" s="134"/>
    </row>
    <row r="51" spans="2:31" ht="14.25" customHeight="1">
      <c r="B51" s="51" t="s">
        <v>5328</v>
      </c>
      <c r="C51" s="49">
        <v>5</v>
      </c>
      <c r="D51" s="47">
        <v>1</v>
      </c>
      <c r="E51" s="47" t="s">
        <v>5322</v>
      </c>
      <c r="F51" s="47" t="s">
        <v>5115</v>
      </c>
      <c r="G51" s="49" t="s">
        <v>522</v>
      </c>
      <c r="H51" s="47" t="s">
        <v>5271</v>
      </c>
      <c r="I51" s="79" t="s">
        <v>4778</v>
      </c>
      <c r="J51" s="3032"/>
      <c r="K51" s="78"/>
      <c r="L51" s="86"/>
      <c r="M51" s="86"/>
      <c r="N51" s="86"/>
      <c r="O51" s="86"/>
      <c r="Q51" s="109" t="s">
        <v>5329</v>
      </c>
      <c r="R51" s="110" t="s">
        <v>5330</v>
      </c>
      <c r="S51" s="110">
        <v>12</v>
      </c>
      <c r="T51" s="110">
        <v>4</v>
      </c>
      <c r="U51" s="110">
        <v>0</v>
      </c>
      <c r="V51" s="110">
        <v>13</v>
      </c>
      <c r="W51" s="110" t="s">
        <v>5194</v>
      </c>
      <c r="X51" s="123" t="s">
        <v>5171</v>
      </c>
      <c r="Y51" s="138" t="s">
        <v>4535</v>
      </c>
      <c r="Z51" s="3132"/>
      <c r="AA51" s="134"/>
      <c r="AB51" s="134"/>
      <c r="AC51" s="134"/>
      <c r="AD51" s="134"/>
      <c r="AE51" s="134"/>
    </row>
    <row r="52" spans="2:31" ht="14.25" customHeight="1">
      <c r="B52" s="61" t="s">
        <v>5331</v>
      </c>
      <c r="C52" s="62">
        <v>4</v>
      </c>
      <c r="D52" s="63">
        <v>1</v>
      </c>
      <c r="E52" s="63" t="s">
        <v>5322</v>
      </c>
      <c r="F52" s="63" t="s">
        <v>5115</v>
      </c>
      <c r="G52" s="62" t="s">
        <v>522</v>
      </c>
      <c r="H52" s="63" t="s">
        <v>5271</v>
      </c>
      <c r="I52" s="84" t="s">
        <v>4778</v>
      </c>
      <c r="J52" s="3032"/>
      <c r="K52" s="78"/>
      <c r="L52" s="86"/>
      <c r="M52" s="86"/>
      <c r="N52" s="86"/>
      <c r="O52" s="86"/>
      <c r="Q52" s="51" t="s">
        <v>5332</v>
      </c>
      <c r="R52" s="47" t="s">
        <v>5330</v>
      </c>
      <c r="S52" s="111" t="s">
        <v>5333</v>
      </c>
      <c r="T52" s="47">
        <v>3</v>
      </c>
      <c r="U52" s="47">
        <v>0</v>
      </c>
      <c r="V52" s="47">
        <v>1</v>
      </c>
      <c r="W52" s="47" t="s">
        <v>5127</v>
      </c>
      <c r="X52" s="49" t="s">
        <v>92</v>
      </c>
      <c r="Y52" s="79" t="s">
        <v>4535</v>
      </c>
      <c r="Z52" s="3132"/>
      <c r="AA52" s="134"/>
      <c r="AB52" s="134"/>
      <c r="AC52" s="134"/>
      <c r="AD52" s="134"/>
      <c r="AE52" s="134"/>
    </row>
    <row r="53" spans="2:31" ht="14.25" customHeight="1">
      <c r="B53" s="51" t="s">
        <v>5334</v>
      </c>
      <c r="C53" s="49">
        <v>3</v>
      </c>
      <c r="D53" s="47">
        <v>0</v>
      </c>
      <c r="E53" s="47" t="s">
        <v>5314</v>
      </c>
      <c r="F53" s="47" t="s">
        <v>5115</v>
      </c>
      <c r="G53" s="49" t="s">
        <v>522</v>
      </c>
      <c r="H53" s="47" t="s">
        <v>5271</v>
      </c>
      <c r="I53" s="79" t="s">
        <v>4778</v>
      </c>
      <c r="J53" s="3032"/>
      <c r="K53" s="78"/>
      <c r="L53" s="86"/>
      <c r="M53" s="86"/>
      <c r="N53" s="86"/>
      <c r="O53" s="86"/>
      <c r="Q53" s="109" t="s">
        <v>5335</v>
      </c>
      <c r="R53" s="110" t="s">
        <v>5188</v>
      </c>
      <c r="S53" s="110">
        <v>8</v>
      </c>
      <c r="T53" s="110">
        <v>5</v>
      </c>
      <c r="U53" s="110">
        <v>0</v>
      </c>
      <c r="V53" s="110">
        <v>12</v>
      </c>
      <c r="W53" s="110" t="s">
        <v>5127</v>
      </c>
      <c r="X53" s="123" t="s">
        <v>5122</v>
      </c>
      <c r="Y53" s="138" t="s">
        <v>5336</v>
      </c>
      <c r="Z53" s="3132"/>
      <c r="AA53" s="134"/>
      <c r="AB53" s="134"/>
      <c r="AC53" s="134"/>
      <c r="AD53" s="134"/>
      <c r="AE53" s="134"/>
    </row>
    <row r="54" spans="2:31" ht="14.25" customHeight="1">
      <c r="B54" s="61" t="s">
        <v>5337</v>
      </c>
      <c r="C54" s="62">
        <v>4</v>
      </c>
      <c r="D54" s="63">
        <v>0</v>
      </c>
      <c r="E54" s="63" t="s">
        <v>5114</v>
      </c>
      <c r="F54" s="63" t="s">
        <v>5115</v>
      </c>
      <c r="G54" s="62" t="s">
        <v>522</v>
      </c>
      <c r="H54" s="63" t="s">
        <v>12</v>
      </c>
      <c r="I54" s="84">
        <v>40</v>
      </c>
      <c r="J54" s="3032"/>
      <c r="K54" s="78"/>
      <c r="L54" s="86"/>
      <c r="M54" s="86"/>
      <c r="N54" s="86"/>
      <c r="O54" s="86"/>
      <c r="Q54" s="51" t="s">
        <v>5338</v>
      </c>
      <c r="R54" s="47" t="s">
        <v>5198</v>
      </c>
      <c r="S54" s="47">
        <v>13</v>
      </c>
      <c r="T54" s="47">
        <v>5</v>
      </c>
      <c r="U54" s="47">
        <v>0</v>
      </c>
      <c r="V54" s="47">
        <v>9</v>
      </c>
      <c r="W54" s="47" t="s">
        <v>5189</v>
      </c>
      <c r="X54" s="49" t="s">
        <v>5122</v>
      </c>
      <c r="Y54" s="79" t="s">
        <v>4535</v>
      </c>
      <c r="Z54" s="3132"/>
      <c r="AA54" s="134"/>
      <c r="AB54" s="134"/>
      <c r="AC54" s="134"/>
      <c r="AD54" s="134"/>
      <c r="AE54" s="134"/>
    </row>
    <row r="55" spans="2:31" ht="14.25" customHeight="1">
      <c r="B55" s="51" t="s">
        <v>5339</v>
      </c>
      <c r="C55" s="49">
        <v>6</v>
      </c>
      <c r="D55" s="47">
        <v>0</v>
      </c>
      <c r="E55" s="47" t="s">
        <v>5114</v>
      </c>
      <c r="F55" s="47" t="s">
        <v>5115</v>
      </c>
      <c r="G55" s="49" t="s">
        <v>522</v>
      </c>
      <c r="H55" s="47" t="s">
        <v>4535</v>
      </c>
      <c r="I55" s="79" t="s">
        <v>4778</v>
      </c>
      <c r="J55" s="3032"/>
      <c r="K55" s="78"/>
      <c r="L55" s="86"/>
      <c r="M55" s="86"/>
      <c r="N55" s="86"/>
      <c r="O55" s="86"/>
      <c r="Q55" s="109" t="s">
        <v>5340</v>
      </c>
      <c r="R55" s="110" t="s">
        <v>5210</v>
      </c>
      <c r="S55" s="110">
        <v>10</v>
      </c>
      <c r="T55" s="110">
        <v>12</v>
      </c>
      <c r="U55" s="110" t="s">
        <v>5203</v>
      </c>
      <c r="V55" s="110" t="s">
        <v>5341</v>
      </c>
      <c r="W55" s="110" t="s">
        <v>5127</v>
      </c>
      <c r="X55" s="123" t="s">
        <v>5217</v>
      </c>
      <c r="Y55" s="138" t="s">
        <v>4535</v>
      </c>
      <c r="Z55" s="3132"/>
      <c r="AA55" s="133"/>
      <c r="AB55" s="134"/>
      <c r="AC55" s="134"/>
      <c r="AD55" s="134"/>
      <c r="AE55" s="134"/>
    </row>
    <row r="56" spans="2:31" ht="14.25" customHeight="1">
      <c r="B56" s="61" t="s">
        <v>5342</v>
      </c>
      <c r="C56" s="62">
        <v>5</v>
      </c>
      <c r="D56" s="63">
        <v>1</v>
      </c>
      <c r="E56" s="63" t="s">
        <v>5343</v>
      </c>
      <c r="F56" s="63" t="s">
        <v>5115</v>
      </c>
      <c r="G56" s="62" t="s">
        <v>522</v>
      </c>
      <c r="H56" s="63" t="s">
        <v>12</v>
      </c>
      <c r="I56" s="84">
        <v>120</v>
      </c>
      <c r="J56" s="3032"/>
      <c r="K56" s="78"/>
      <c r="L56" s="86"/>
      <c r="M56" s="86"/>
      <c r="N56" s="86"/>
      <c r="O56" s="86"/>
      <c r="Q56" s="51" t="s">
        <v>5344</v>
      </c>
      <c r="R56" s="47" t="s">
        <v>5210</v>
      </c>
      <c r="S56" s="47">
        <v>10</v>
      </c>
      <c r="T56" s="47">
        <v>11</v>
      </c>
      <c r="U56" s="47" t="s">
        <v>5203</v>
      </c>
      <c r="V56" s="47" t="s">
        <v>3991</v>
      </c>
      <c r="W56" s="47" t="s">
        <v>5127</v>
      </c>
      <c r="X56" s="49" t="s">
        <v>5171</v>
      </c>
      <c r="Y56" s="79" t="s">
        <v>4535</v>
      </c>
      <c r="Z56" s="3132"/>
      <c r="AA56" s="133"/>
      <c r="AB56" s="134"/>
      <c r="AC56" s="134"/>
      <c r="AD56" s="134"/>
      <c r="AE56" s="134"/>
    </row>
    <row r="57" spans="2:31" ht="14.25" customHeight="1">
      <c r="B57" s="64" t="s">
        <v>5345</v>
      </c>
      <c r="C57" s="49">
        <v>12</v>
      </c>
      <c r="D57" s="49">
        <v>1</v>
      </c>
      <c r="E57" s="49" t="s">
        <v>5150</v>
      </c>
      <c r="F57" s="49" t="s">
        <v>5115</v>
      </c>
      <c r="G57" s="49" t="s">
        <v>522</v>
      </c>
      <c r="H57" s="49" t="s">
        <v>12</v>
      </c>
      <c r="I57" s="87" t="s">
        <v>4778</v>
      </c>
      <c r="J57" s="3032"/>
      <c r="K57" s="78"/>
      <c r="L57" s="86"/>
      <c r="M57" s="86"/>
      <c r="N57" s="86"/>
      <c r="O57" s="86"/>
      <c r="Q57" s="109" t="s">
        <v>5346</v>
      </c>
      <c r="R57" s="110" t="s">
        <v>5347</v>
      </c>
      <c r="S57" s="110">
        <v>7</v>
      </c>
      <c r="T57" s="110">
        <v>90</v>
      </c>
      <c r="U57" s="110" t="s">
        <v>5203</v>
      </c>
      <c r="V57" s="110" t="s">
        <v>5348</v>
      </c>
      <c r="W57" s="110" t="s">
        <v>5162</v>
      </c>
      <c r="X57" s="123" t="s">
        <v>5349</v>
      </c>
      <c r="Y57" s="138" t="s">
        <v>4535</v>
      </c>
      <c r="Z57" s="3133"/>
      <c r="AA57" s="134"/>
      <c r="AB57" s="134"/>
      <c r="AC57" s="134"/>
      <c r="AD57" s="134"/>
      <c r="AE57" s="134"/>
    </row>
    <row r="58" spans="2:31" ht="14.25" customHeight="1">
      <c r="B58" s="61" t="s">
        <v>5350</v>
      </c>
      <c r="C58" s="62" t="s">
        <v>5351</v>
      </c>
      <c r="D58" s="63">
        <v>1</v>
      </c>
      <c r="E58" s="63" t="s">
        <v>5150</v>
      </c>
      <c r="F58" s="63" t="s">
        <v>5115</v>
      </c>
      <c r="G58" s="62" t="s">
        <v>491</v>
      </c>
      <c r="H58" s="63" t="s">
        <v>4535</v>
      </c>
      <c r="I58" s="84" t="s">
        <v>4778</v>
      </c>
      <c r="J58" s="3032"/>
      <c r="K58" s="78"/>
      <c r="L58" s="86"/>
      <c r="M58" s="86"/>
      <c r="N58" s="86"/>
      <c r="O58" s="86"/>
      <c r="Q58" s="112" t="s">
        <v>5352</v>
      </c>
      <c r="R58" s="113" t="s">
        <v>5268</v>
      </c>
      <c r="S58" s="113">
        <v>13</v>
      </c>
      <c r="T58" s="113">
        <v>16</v>
      </c>
      <c r="U58" s="113">
        <v>6</v>
      </c>
      <c r="V58" s="113" t="s">
        <v>4218</v>
      </c>
      <c r="W58" s="113" t="s">
        <v>5127</v>
      </c>
      <c r="X58" s="124" t="s">
        <v>5171</v>
      </c>
      <c r="Y58" s="139" t="s">
        <v>12</v>
      </c>
      <c r="Z58" s="3134" t="s">
        <v>5353</v>
      </c>
      <c r="AA58" s="137"/>
      <c r="AB58" s="134"/>
      <c r="AC58" s="134"/>
      <c r="AD58" s="134"/>
      <c r="AE58" s="134"/>
    </row>
    <row r="59" spans="2:31" ht="14.25" customHeight="1">
      <c r="B59" s="65" t="s">
        <v>5354</v>
      </c>
      <c r="C59" s="66">
        <v>1</v>
      </c>
      <c r="D59" s="67">
        <v>0</v>
      </c>
      <c r="E59" s="67" t="s">
        <v>1627</v>
      </c>
      <c r="F59" s="67" t="s">
        <v>5355</v>
      </c>
      <c r="G59" s="66" t="s">
        <v>491</v>
      </c>
      <c r="H59" s="67" t="s">
        <v>4535</v>
      </c>
      <c r="I59" s="88" t="s">
        <v>5356</v>
      </c>
      <c r="J59" s="3033" t="s">
        <v>5357</v>
      </c>
      <c r="K59" s="78"/>
      <c r="L59" s="78"/>
      <c r="Q59" s="51" t="s">
        <v>5358</v>
      </c>
      <c r="R59" s="47" t="s">
        <v>5268</v>
      </c>
      <c r="S59" s="114">
        <v>11</v>
      </c>
      <c r="T59" s="47">
        <v>8</v>
      </c>
      <c r="U59" s="47">
        <v>4</v>
      </c>
      <c r="V59" s="47" t="s">
        <v>3908</v>
      </c>
      <c r="W59" s="47" t="s">
        <v>5127</v>
      </c>
      <c r="X59" s="49" t="s">
        <v>5171</v>
      </c>
      <c r="Y59" s="79" t="s">
        <v>4535</v>
      </c>
      <c r="Z59" s="3134"/>
      <c r="AA59" s="137"/>
      <c r="AB59" s="134"/>
      <c r="AC59" s="134"/>
      <c r="AD59" s="134"/>
      <c r="AE59" s="134"/>
    </row>
    <row r="60" spans="2:31" ht="14.25" customHeight="1">
      <c r="B60" s="51" t="s">
        <v>5359</v>
      </c>
      <c r="C60" s="49">
        <v>2</v>
      </c>
      <c r="D60" s="47">
        <v>0</v>
      </c>
      <c r="E60" s="47" t="s">
        <v>1627</v>
      </c>
      <c r="F60" s="47" t="s">
        <v>5355</v>
      </c>
      <c r="G60" s="49" t="s">
        <v>522</v>
      </c>
      <c r="H60" s="47" t="s">
        <v>12</v>
      </c>
      <c r="I60" s="79">
        <v>20</v>
      </c>
      <c r="J60" s="3034"/>
      <c r="K60" s="78"/>
      <c r="L60" s="78"/>
      <c r="Q60" s="112" t="s">
        <v>5360</v>
      </c>
      <c r="R60" s="113" t="s">
        <v>5268</v>
      </c>
      <c r="S60" s="115" t="s">
        <v>4800</v>
      </c>
      <c r="T60" s="113">
        <v>6</v>
      </c>
      <c r="U60" s="113">
        <v>2</v>
      </c>
      <c r="V60" s="113" t="s">
        <v>3965</v>
      </c>
      <c r="W60" s="113" t="s">
        <v>5127</v>
      </c>
      <c r="X60" s="124" t="s">
        <v>5171</v>
      </c>
      <c r="Y60" s="139" t="s">
        <v>12</v>
      </c>
      <c r="Z60" s="3134"/>
      <c r="AA60" s="3014" t="s">
        <v>5361</v>
      </c>
      <c r="AB60" s="3015"/>
      <c r="AC60" s="3015"/>
      <c r="AD60" s="3015"/>
      <c r="AE60" s="3016"/>
    </row>
    <row r="61" spans="2:31" ht="14.25" customHeight="1">
      <c r="B61" s="68" t="s">
        <v>5362</v>
      </c>
      <c r="C61" s="66">
        <v>1</v>
      </c>
      <c r="D61" s="69">
        <v>0</v>
      </c>
      <c r="E61" s="69" t="s">
        <v>1627</v>
      </c>
      <c r="F61" s="69" t="s">
        <v>5355</v>
      </c>
      <c r="G61" s="66" t="s">
        <v>491</v>
      </c>
      <c r="H61" s="69" t="s">
        <v>4535</v>
      </c>
      <c r="I61" s="89" t="s">
        <v>5308</v>
      </c>
      <c r="J61" s="3034"/>
      <c r="K61" s="78"/>
      <c r="L61" s="78"/>
      <c r="Q61" s="51" t="s">
        <v>5363</v>
      </c>
      <c r="R61" s="47" t="s">
        <v>2486</v>
      </c>
      <c r="S61" s="114" t="s">
        <v>4666</v>
      </c>
      <c r="T61" s="47">
        <v>4</v>
      </c>
      <c r="U61" s="47">
        <v>2</v>
      </c>
      <c r="V61" s="114" t="s">
        <v>5364</v>
      </c>
      <c r="W61" s="47" t="s">
        <v>92</v>
      </c>
      <c r="X61" s="49" t="s">
        <v>5122</v>
      </c>
      <c r="Y61" s="79" t="s">
        <v>4535</v>
      </c>
      <c r="Z61" s="3134"/>
      <c r="AA61" s="140" t="s">
        <v>328</v>
      </c>
      <c r="AB61" s="141">
        <v>5</v>
      </c>
      <c r="AC61" s="141">
        <v>6</v>
      </c>
      <c r="AD61" s="141">
        <v>7</v>
      </c>
      <c r="AE61" s="144">
        <v>8</v>
      </c>
    </row>
    <row r="62" spans="2:31" ht="14.25" customHeight="1">
      <c r="B62" s="51" t="s">
        <v>5365</v>
      </c>
      <c r="C62" s="49">
        <v>1</v>
      </c>
      <c r="D62" s="47">
        <v>0</v>
      </c>
      <c r="E62" s="47" t="s">
        <v>1627</v>
      </c>
      <c r="F62" s="47" t="s">
        <v>5355</v>
      </c>
      <c r="G62" s="49" t="s">
        <v>522</v>
      </c>
      <c r="H62" s="47" t="s">
        <v>12</v>
      </c>
      <c r="I62" s="79" t="s">
        <v>4778</v>
      </c>
      <c r="J62" s="3034"/>
      <c r="K62" s="78"/>
      <c r="L62" s="78"/>
      <c r="Q62" s="112" t="s">
        <v>5366</v>
      </c>
      <c r="R62" s="113" t="s">
        <v>5268</v>
      </c>
      <c r="S62" s="115" t="s">
        <v>4662</v>
      </c>
      <c r="T62" s="113">
        <v>35</v>
      </c>
      <c r="U62" s="113">
        <v>3</v>
      </c>
      <c r="V62" s="113" t="s">
        <v>3991</v>
      </c>
      <c r="W62" s="113" t="s">
        <v>5127</v>
      </c>
      <c r="X62" s="124" t="s">
        <v>5171</v>
      </c>
      <c r="Y62" s="139" t="s">
        <v>12</v>
      </c>
      <c r="Z62" s="3134"/>
      <c r="AA62" s="142" t="s">
        <v>5367</v>
      </c>
      <c r="AB62" s="143">
        <v>3</v>
      </c>
      <c r="AC62" s="143">
        <v>4</v>
      </c>
      <c r="AD62" s="143">
        <v>6</v>
      </c>
      <c r="AE62" s="87">
        <v>8</v>
      </c>
    </row>
    <row r="63" spans="2:31" ht="14.25" customHeight="1">
      <c r="B63" s="65" t="s">
        <v>5368</v>
      </c>
      <c r="C63" s="66">
        <v>2</v>
      </c>
      <c r="D63" s="67">
        <v>0</v>
      </c>
      <c r="E63" s="67" t="s">
        <v>1627</v>
      </c>
      <c r="F63" s="67" t="s">
        <v>5355</v>
      </c>
      <c r="G63" s="66" t="s">
        <v>522</v>
      </c>
      <c r="H63" s="67" t="s">
        <v>4535</v>
      </c>
      <c r="I63" s="89" t="s">
        <v>5308</v>
      </c>
      <c r="J63" s="3034"/>
      <c r="K63" s="78"/>
      <c r="L63" s="78"/>
      <c r="Q63" s="51" t="s">
        <v>5369</v>
      </c>
      <c r="R63" s="47" t="s">
        <v>5268</v>
      </c>
      <c r="S63" s="114" t="s">
        <v>5370</v>
      </c>
      <c r="T63" s="47">
        <v>30</v>
      </c>
      <c r="U63" s="47">
        <v>3</v>
      </c>
      <c r="V63" s="114" t="s">
        <v>3971</v>
      </c>
      <c r="W63" s="47" t="s">
        <v>5127</v>
      </c>
      <c r="X63" s="49" t="s">
        <v>5171</v>
      </c>
      <c r="Y63" s="79" t="s">
        <v>12</v>
      </c>
      <c r="Z63" s="3134"/>
      <c r="AA63" s="140" t="s">
        <v>328</v>
      </c>
      <c r="AB63" s="141">
        <v>9</v>
      </c>
      <c r="AC63" s="141">
        <v>10</v>
      </c>
      <c r="AD63" s="141">
        <v>11</v>
      </c>
      <c r="AE63" s="144">
        <v>12</v>
      </c>
    </row>
    <row r="64" spans="2:31" ht="14.25" customHeight="1">
      <c r="B64" s="51" t="s">
        <v>5371</v>
      </c>
      <c r="C64" s="49">
        <v>2</v>
      </c>
      <c r="D64" s="47">
        <v>0</v>
      </c>
      <c r="E64" s="47" t="s">
        <v>1627</v>
      </c>
      <c r="F64" s="47" t="s">
        <v>5355</v>
      </c>
      <c r="G64" s="49" t="s">
        <v>522</v>
      </c>
      <c r="H64" s="47" t="s">
        <v>5271</v>
      </c>
      <c r="I64" s="79" t="s">
        <v>4778</v>
      </c>
      <c r="J64" s="3034"/>
      <c r="K64" s="78"/>
      <c r="L64" s="78"/>
      <c r="Q64" s="112" t="s">
        <v>5372</v>
      </c>
      <c r="R64" s="113" t="s">
        <v>5268</v>
      </c>
      <c r="S64" s="115" t="s">
        <v>5373</v>
      </c>
      <c r="T64" s="113">
        <v>16</v>
      </c>
      <c r="U64" s="113">
        <v>2</v>
      </c>
      <c r="V64" s="113" t="s">
        <v>3630</v>
      </c>
      <c r="W64" s="113" t="s">
        <v>5127</v>
      </c>
      <c r="X64" s="124" t="s">
        <v>5122</v>
      </c>
      <c r="Y64" s="139" t="s">
        <v>12</v>
      </c>
      <c r="Z64" s="3135"/>
      <c r="AA64" s="142" t="s">
        <v>5367</v>
      </c>
      <c r="AB64" s="143">
        <v>12</v>
      </c>
      <c r="AC64" s="143">
        <v>18</v>
      </c>
      <c r="AD64" s="143">
        <v>27</v>
      </c>
      <c r="AE64" s="87">
        <v>40</v>
      </c>
    </row>
    <row r="65" spans="2:31" ht="14.25" customHeight="1">
      <c r="B65" s="68" t="s">
        <v>5374</v>
      </c>
      <c r="C65" s="66">
        <v>1</v>
      </c>
      <c r="D65" s="69">
        <v>0</v>
      </c>
      <c r="E65" s="69" t="s">
        <v>1747</v>
      </c>
      <c r="F65" s="69" t="s">
        <v>5375</v>
      </c>
      <c r="G65" s="66" t="s">
        <v>491</v>
      </c>
      <c r="H65" s="69" t="s">
        <v>4535</v>
      </c>
      <c r="I65" s="163" t="s">
        <v>5376</v>
      </c>
      <c r="J65" s="3034"/>
      <c r="K65" s="78"/>
      <c r="L65" s="78"/>
      <c r="Q65" s="172"/>
      <c r="R65" s="173"/>
      <c r="S65" s="173"/>
      <c r="T65" s="173"/>
      <c r="U65" s="173"/>
      <c r="V65" s="173"/>
      <c r="W65" s="173"/>
      <c r="X65" s="182"/>
      <c r="Y65" s="190"/>
      <c r="Z65" s="133"/>
      <c r="AA65" s="140" t="s">
        <v>328</v>
      </c>
      <c r="AB65" s="141">
        <v>13</v>
      </c>
      <c r="AC65" s="141">
        <v>14</v>
      </c>
      <c r="AD65" s="141">
        <v>15</v>
      </c>
      <c r="AE65" s="144">
        <v>16</v>
      </c>
    </row>
    <row r="66" spans="2:31" ht="14.25" customHeight="1">
      <c r="B66" s="51" t="s">
        <v>5377</v>
      </c>
      <c r="C66" s="49">
        <v>2</v>
      </c>
      <c r="D66" s="47">
        <v>1</v>
      </c>
      <c r="E66" s="47" t="s">
        <v>1747</v>
      </c>
      <c r="F66" s="47" t="s">
        <v>5375</v>
      </c>
      <c r="G66" s="49" t="s">
        <v>522</v>
      </c>
      <c r="H66" s="47" t="s">
        <v>5271</v>
      </c>
      <c r="I66" s="79" t="s">
        <v>4778</v>
      </c>
      <c r="J66" s="3034"/>
      <c r="K66" s="78"/>
      <c r="L66" s="78"/>
      <c r="Q66" s="174"/>
      <c r="R66" s="175"/>
      <c r="S66" s="175"/>
      <c r="T66" s="175"/>
      <c r="U66" s="175"/>
      <c r="V66" s="175"/>
      <c r="W66" s="175"/>
      <c r="X66" s="179"/>
      <c r="Y66" s="191"/>
      <c r="Z66" s="133"/>
      <c r="AA66" s="142" t="s">
        <v>5367</v>
      </c>
      <c r="AB66" s="143">
        <v>60</v>
      </c>
      <c r="AC66" s="143">
        <v>90</v>
      </c>
      <c r="AD66" s="143">
        <v>135</v>
      </c>
      <c r="AE66" s="87">
        <v>200</v>
      </c>
    </row>
    <row r="67" spans="2:31" ht="14.25" customHeight="1">
      <c r="B67" s="65" t="s">
        <v>5378</v>
      </c>
      <c r="C67" s="66">
        <v>2</v>
      </c>
      <c r="D67" s="67">
        <v>1</v>
      </c>
      <c r="E67" s="67" t="s">
        <v>1747</v>
      </c>
      <c r="F67" s="67" t="s">
        <v>5375</v>
      </c>
      <c r="G67" s="66" t="s">
        <v>491</v>
      </c>
      <c r="H67" s="67" t="s">
        <v>4535</v>
      </c>
      <c r="I67" s="164" t="s">
        <v>5379</v>
      </c>
      <c r="J67" s="3034"/>
      <c r="Q67" s="172"/>
      <c r="R67" s="173"/>
      <c r="S67" s="173"/>
      <c r="T67" s="173"/>
      <c r="U67" s="173"/>
      <c r="V67" s="173"/>
      <c r="W67" s="182"/>
      <c r="X67" s="173"/>
      <c r="Y67" s="192"/>
      <c r="Z67" s="133"/>
      <c r="AA67" s="140" t="s">
        <v>328</v>
      </c>
      <c r="AB67" s="141">
        <v>17</v>
      </c>
      <c r="AC67" s="141">
        <v>18</v>
      </c>
      <c r="AD67" s="141">
        <v>19</v>
      </c>
      <c r="AE67" s="144">
        <v>20</v>
      </c>
    </row>
    <row r="68" spans="2:31" ht="14.25" customHeight="1">
      <c r="B68" s="145" t="s">
        <v>5380</v>
      </c>
      <c r="C68" s="146">
        <v>9</v>
      </c>
      <c r="D68" s="147">
        <v>1</v>
      </c>
      <c r="E68" s="147" t="s">
        <v>92</v>
      </c>
      <c r="F68" s="147" t="s">
        <v>5381</v>
      </c>
      <c r="G68" s="146" t="s">
        <v>522</v>
      </c>
      <c r="H68" s="147" t="s">
        <v>12</v>
      </c>
      <c r="I68" s="165">
        <v>40</v>
      </c>
      <c r="J68" s="3035" t="s">
        <v>5382</v>
      </c>
      <c r="K68" s="2743" t="s">
        <v>5383</v>
      </c>
      <c r="L68" s="3126" t="s">
        <v>5384</v>
      </c>
      <c r="M68" s="3126"/>
      <c r="N68" s="3126"/>
      <c r="O68" s="3126"/>
      <c r="Q68" s="176"/>
      <c r="R68" s="177"/>
      <c r="S68" s="177"/>
      <c r="T68" s="177"/>
      <c r="U68" s="177"/>
      <c r="V68" s="177"/>
      <c r="W68" s="183"/>
      <c r="X68" s="177"/>
      <c r="Y68" s="193"/>
      <c r="Z68" s="133"/>
      <c r="AA68" s="194" t="s">
        <v>5367</v>
      </c>
      <c r="AB68" s="195">
        <v>300</v>
      </c>
      <c r="AC68" s="195">
        <v>450</v>
      </c>
      <c r="AD68" s="195">
        <v>675</v>
      </c>
      <c r="AE68" s="199">
        <v>1000</v>
      </c>
    </row>
    <row r="69" spans="2:31" ht="14.25" customHeight="1">
      <c r="B69" s="148" t="s">
        <v>5385</v>
      </c>
      <c r="C69" s="49">
        <v>25</v>
      </c>
      <c r="D69" s="149">
        <v>1</v>
      </c>
      <c r="E69" s="149" t="s">
        <v>92</v>
      </c>
      <c r="F69" s="149" t="s">
        <v>5381</v>
      </c>
      <c r="G69" s="49" t="s">
        <v>522</v>
      </c>
      <c r="H69" s="149" t="s">
        <v>12</v>
      </c>
      <c r="I69" s="166" t="s">
        <v>4778</v>
      </c>
      <c r="J69" s="3035"/>
      <c r="K69" s="2743"/>
      <c r="L69" s="3126"/>
      <c r="M69" s="3126"/>
      <c r="N69" s="3126"/>
      <c r="O69" s="3126"/>
      <c r="Q69" s="178"/>
      <c r="R69" s="179"/>
      <c r="S69" s="179"/>
      <c r="T69" s="179"/>
      <c r="U69" s="179"/>
      <c r="V69" s="179"/>
      <c r="W69" s="179"/>
      <c r="X69" s="134"/>
      <c r="Y69" s="134"/>
      <c r="Z69" s="134"/>
      <c r="AA69" s="3017" t="s">
        <v>5386</v>
      </c>
      <c r="AB69" s="3017"/>
      <c r="AC69" s="3017"/>
      <c r="AD69" s="3017"/>
      <c r="AE69" s="3017"/>
    </row>
    <row r="70" spans="2:31" ht="14.25" customHeight="1">
      <c r="B70" s="145" t="s">
        <v>5387</v>
      </c>
      <c r="C70" s="146">
        <v>30</v>
      </c>
      <c r="D70" s="147">
        <v>2</v>
      </c>
      <c r="E70" s="147" t="s">
        <v>92</v>
      </c>
      <c r="F70" s="147" t="s">
        <v>5381</v>
      </c>
      <c r="G70" s="146" t="s">
        <v>522</v>
      </c>
      <c r="H70" s="147" t="s">
        <v>12</v>
      </c>
      <c r="I70" s="165" t="s">
        <v>4778</v>
      </c>
      <c r="J70" s="3035"/>
      <c r="K70" s="2743"/>
      <c r="L70" s="3126"/>
      <c r="M70" s="3126"/>
      <c r="N70" s="3126"/>
      <c r="O70" s="3126"/>
      <c r="Q70" s="2569" t="s">
        <v>5388</v>
      </c>
      <c r="R70" s="2570"/>
      <c r="S70" s="2570"/>
      <c r="T70" s="2570"/>
      <c r="U70" s="2570"/>
      <c r="V70" s="2570"/>
      <c r="W70" s="2570"/>
      <c r="X70" s="2570"/>
      <c r="Y70" s="2570"/>
      <c r="Z70" s="2571"/>
      <c r="AA70" s="134"/>
      <c r="AB70" s="196"/>
      <c r="AC70" s="134"/>
      <c r="AD70" s="134"/>
      <c r="AE70" s="134"/>
    </row>
    <row r="71" spans="2:31" ht="14.25" customHeight="1">
      <c r="B71" s="150" t="s">
        <v>5389</v>
      </c>
      <c r="C71" s="151">
        <v>15</v>
      </c>
      <c r="D71" s="152">
        <v>0</v>
      </c>
      <c r="E71" s="152" t="s">
        <v>5390</v>
      </c>
      <c r="F71" s="152" t="s">
        <v>5391</v>
      </c>
      <c r="G71" s="151" t="s">
        <v>522</v>
      </c>
      <c r="H71" s="152" t="s">
        <v>5271</v>
      </c>
      <c r="I71" s="167" t="s">
        <v>4778</v>
      </c>
      <c r="J71" s="3035"/>
      <c r="K71" s="2743"/>
      <c r="L71" s="3126"/>
      <c r="M71" s="3126"/>
      <c r="N71" s="3126"/>
      <c r="O71" s="3126"/>
      <c r="Q71" s="3110" t="s">
        <v>5392</v>
      </c>
      <c r="R71" s="3111"/>
      <c r="S71" s="3111"/>
      <c r="T71" s="3111"/>
      <c r="U71" s="3111"/>
      <c r="V71" s="3111"/>
      <c r="W71" s="3111"/>
      <c r="X71" s="3111"/>
      <c r="Y71" s="3111"/>
      <c r="Z71" s="3112"/>
      <c r="AA71" s="134"/>
      <c r="AB71" s="196"/>
      <c r="AC71" s="134"/>
      <c r="AD71" s="134"/>
      <c r="AE71" s="134"/>
    </row>
    <row r="72" spans="2:31" ht="14.25" customHeight="1">
      <c r="B72" s="145" t="s">
        <v>5393</v>
      </c>
      <c r="C72" s="146">
        <v>10</v>
      </c>
      <c r="D72" s="147">
        <v>1</v>
      </c>
      <c r="E72" s="147" t="s">
        <v>92</v>
      </c>
      <c r="F72" s="147" t="s">
        <v>5381</v>
      </c>
      <c r="G72" s="146" t="s">
        <v>522</v>
      </c>
      <c r="H72" s="147" t="s">
        <v>5271</v>
      </c>
      <c r="I72" s="165" t="s">
        <v>4778</v>
      </c>
      <c r="J72" s="3035"/>
      <c r="K72" s="2743"/>
      <c r="L72" s="3188" t="s">
        <v>5394</v>
      </c>
      <c r="M72" s="3188"/>
      <c r="N72" s="3188"/>
      <c r="O72" s="3188"/>
      <c r="Q72" s="3113"/>
      <c r="R72" s="3114"/>
      <c r="S72" s="3114"/>
      <c r="T72" s="3114"/>
      <c r="U72" s="3114"/>
      <c r="V72" s="3114"/>
      <c r="W72" s="3114"/>
      <c r="X72" s="3114"/>
      <c r="Y72" s="3114"/>
      <c r="Z72" s="3115"/>
      <c r="AA72" s="134"/>
      <c r="AB72" s="196"/>
      <c r="AC72" s="134"/>
      <c r="AD72" s="134"/>
      <c r="AE72" s="134"/>
    </row>
    <row r="73" spans="2:31" ht="14.25" customHeight="1">
      <c r="B73" s="148" t="s">
        <v>5395</v>
      </c>
      <c r="C73" s="49">
        <v>15</v>
      </c>
      <c r="D73" s="149">
        <v>1</v>
      </c>
      <c r="E73" s="149" t="s">
        <v>92</v>
      </c>
      <c r="F73" s="149" t="s">
        <v>5381</v>
      </c>
      <c r="G73" s="49" t="s">
        <v>522</v>
      </c>
      <c r="H73" s="149" t="s">
        <v>5271</v>
      </c>
      <c r="I73" s="166" t="s">
        <v>4778</v>
      </c>
      <c r="J73" s="3035"/>
      <c r="K73" s="2743"/>
      <c r="L73" s="3188"/>
      <c r="M73" s="3188"/>
      <c r="N73" s="3188"/>
      <c r="O73" s="3188"/>
      <c r="Q73" s="3116"/>
      <c r="R73" s="3117"/>
      <c r="S73" s="3117"/>
      <c r="T73" s="3117"/>
      <c r="U73" s="3117"/>
      <c r="V73" s="3117"/>
      <c r="W73" s="3117"/>
      <c r="X73" s="3117"/>
      <c r="Y73" s="3117"/>
      <c r="Z73" s="3118"/>
      <c r="AA73" s="134"/>
      <c r="AB73" s="196"/>
      <c r="AC73" s="134"/>
      <c r="AD73" s="134"/>
      <c r="AE73" s="134"/>
    </row>
    <row r="74" spans="2:31" ht="14.25" customHeight="1">
      <c r="B74" s="145" t="s">
        <v>5396</v>
      </c>
      <c r="C74" s="146">
        <v>20</v>
      </c>
      <c r="D74" s="147">
        <v>2</v>
      </c>
      <c r="E74" s="147" t="s">
        <v>92</v>
      </c>
      <c r="F74" s="147" t="s">
        <v>5381</v>
      </c>
      <c r="G74" s="146" t="s">
        <v>522</v>
      </c>
      <c r="H74" s="147" t="s">
        <v>5271</v>
      </c>
      <c r="I74" s="165" t="s">
        <v>4778</v>
      </c>
      <c r="J74" s="3035"/>
      <c r="K74" s="2743"/>
      <c r="L74" s="3188"/>
      <c r="M74" s="3188"/>
      <c r="N74" s="3188"/>
      <c r="O74" s="3188"/>
      <c r="Q74" s="3110" t="s">
        <v>5397</v>
      </c>
      <c r="R74" s="3174"/>
      <c r="S74" s="3174"/>
      <c r="T74" s="3174"/>
      <c r="U74" s="3174"/>
      <c r="V74" s="3174"/>
      <c r="W74" s="3174"/>
      <c r="X74" s="3174"/>
      <c r="Y74" s="3174"/>
      <c r="Z74" s="3175"/>
      <c r="AA74" s="134"/>
      <c r="AB74" s="196"/>
      <c r="AC74" s="134"/>
      <c r="AD74" s="134"/>
      <c r="AE74" s="134"/>
    </row>
    <row r="75" spans="2:31" ht="14.25" customHeight="1">
      <c r="B75" s="153" t="s">
        <v>5398</v>
      </c>
      <c r="C75" s="154">
        <v>20</v>
      </c>
      <c r="D75" s="154" t="s">
        <v>92</v>
      </c>
      <c r="E75" s="154" t="s">
        <v>92</v>
      </c>
      <c r="F75" s="154" t="s">
        <v>1393</v>
      </c>
      <c r="G75" s="154" t="s">
        <v>522</v>
      </c>
      <c r="H75" s="154" t="s">
        <v>5271</v>
      </c>
      <c r="I75" s="168" t="s">
        <v>4778</v>
      </c>
      <c r="J75" s="3035"/>
      <c r="K75" s="2743"/>
      <c r="L75" s="3188"/>
      <c r="M75" s="3188"/>
      <c r="N75" s="3188"/>
      <c r="O75" s="3188"/>
      <c r="Q75" s="3176"/>
      <c r="R75" s="3177"/>
      <c r="S75" s="3177"/>
      <c r="T75" s="3177"/>
      <c r="U75" s="3177"/>
      <c r="V75" s="3177"/>
      <c r="W75" s="3177"/>
      <c r="X75" s="3177"/>
      <c r="Y75" s="3177"/>
      <c r="Z75" s="3178"/>
      <c r="AA75" s="134"/>
      <c r="AB75" s="196"/>
      <c r="AC75" s="134"/>
      <c r="AD75" s="134"/>
      <c r="AE75" s="134"/>
    </row>
    <row r="76" spans="2:31" ht="14.25" customHeight="1">
      <c r="B76" s="155" t="s">
        <v>50</v>
      </c>
      <c r="C76" s="156">
        <v>0</v>
      </c>
      <c r="D76" s="157"/>
      <c r="E76" s="157"/>
      <c r="F76" s="157"/>
      <c r="G76" s="156"/>
      <c r="H76" s="157"/>
      <c r="I76" s="157"/>
      <c r="J76" s="3036" t="s">
        <v>1485</v>
      </c>
      <c r="N76" s="171"/>
      <c r="Q76" s="3176"/>
      <c r="R76" s="3177"/>
      <c r="S76" s="3177"/>
      <c r="T76" s="3177"/>
      <c r="U76" s="3177"/>
      <c r="V76" s="3177"/>
      <c r="W76" s="3177"/>
      <c r="X76" s="3177"/>
      <c r="Y76" s="3177"/>
      <c r="Z76" s="3178"/>
      <c r="AA76" s="134"/>
      <c r="AB76" s="196"/>
      <c r="AC76" s="134"/>
      <c r="AD76" s="134"/>
      <c r="AE76" s="134"/>
    </row>
    <row r="77" spans="2:31" ht="14.25" customHeight="1">
      <c r="B77" s="155"/>
      <c r="C77" s="157"/>
      <c r="D77" s="157"/>
      <c r="E77" s="157"/>
      <c r="F77" s="157"/>
      <c r="G77" s="157"/>
      <c r="H77" s="157"/>
      <c r="I77" s="157"/>
      <c r="J77" s="3036"/>
      <c r="N77" s="171"/>
      <c r="Q77" s="3018" t="s">
        <v>5399</v>
      </c>
      <c r="R77" s="3019"/>
      <c r="S77" s="3019"/>
      <c r="T77" s="3019"/>
      <c r="U77" s="3019"/>
      <c r="V77" s="3019"/>
      <c r="W77" s="3019"/>
      <c r="X77" s="3019"/>
      <c r="Y77" s="3019"/>
      <c r="Z77" s="3020"/>
      <c r="AA77" s="134"/>
      <c r="AB77" s="196"/>
      <c r="AC77" s="134"/>
      <c r="AD77" s="134"/>
      <c r="AE77" s="134"/>
    </row>
    <row r="78" spans="2:31" ht="14.25" customHeight="1">
      <c r="B78" s="155"/>
      <c r="C78" s="157"/>
      <c r="D78" s="157"/>
      <c r="E78" s="157"/>
      <c r="F78" s="157"/>
      <c r="G78" s="157"/>
      <c r="H78" s="157"/>
      <c r="I78" s="157"/>
      <c r="J78" s="3036"/>
      <c r="N78" s="171"/>
      <c r="Q78" s="3168" t="s">
        <v>5400</v>
      </c>
      <c r="R78" s="3169"/>
      <c r="S78" s="3169"/>
      <c r="T78" s="3169"/>
      <c r="U78" s="3169"/>
      <c r="V78" s="3169"/>
      <c r="W78" s="3169"/>
      <c r="X78" s="3169"/>
      <c r="Y78" s="3169"/>
      <c r="Z78" s="3170"/>
      <c r="AA78" s="134"/>
      <c r="AB78" s="196"/>
      <c r="AC78" s="134"/>
      <c r="AD78" s="134"/>
      <c r="AE78" s="134"/>
    </row>
    <row r="79" spans="2:31" ht="14.25" customHeight="1">
      <c r="B79" s="155"/>
      <c r="C79" s="157"/>
      <c r="D79" s="157"/>
      <c r="E79" s="157"/>
      <c r="F79" s="157"/>
      <c r="G79" s="157"/>
      <c r="H79" s="157"/>
      <c r="I79" s="157"/>
      <c r="J79" s="3036"/>
      <c r="K79" s="78"/>
      <c r="Q79" s="3168"/>
      <c r="R79" s="3169"/>
      <c r="S79" s="3169"/>
      <c r="T79" s="3169"/>
      <c r="U79" s="3169"/>
      <c r="V79" s="3169"/>
      <c r="W79" s="3169"/>
      <c r="X79" s="3169"/>
      <c r="Y79" s="3169"/>
      <c r="Z79" s="3170"/>
      <c r="AA79" s="134"/>
      <c r="AB79" s="196"/>
      <c r="AC79" s="134"/>
      <c r="AD79" s="134"/>
      <c r="AE79" s="134"/>
    </row>
    <row r="80" spans="2:31" ht="14.25" customHeight="1">
      <c r="B80" s="155"/>
      <c r="C80" s="157"/>
      <c r="D80" s="157"/>
      <c r="E80" s="157"/>
      <c r="F80" s="157"/>
      <c r="G80" s="157"/>
      <c r="H80" s="157"/>
      <c r="I80" s="157"/>
      <c r="J80" s="3036"/>
      <c r="K80" s="78"/>
      <c r="Q80" s="3168"/>
      <c r="R80" s="3169"/>
      <c r="S80" s="3169"/>
      <c r="T80" s="3169"/>
      <c r="U80" s="3169"/>
      <c r="V80" s="3169"/>
      <c r="W80" s="3169"/>
      <c r="X80" s="3169"/>
      <c r="Y80" s="3169"/>
      <c r="Z80" s="3170"/>
      <c r="AA80" s="134"/>
      <c r="AB80" s="196"/>
      <c r="AC80" s="134"/>
      <c r="AD80" s="134"/>
      <c r="AE80" s="134"/>
    </row>
    <row r="81" spans="2:31" ht="14.25" customHeight="1">
      <c r="B81" s="155"/>
      <c r="C81" s="157"/>
      <c r="D81" s="157"/>
      <c r="E81" s="157"/>
      <c r="F81" s="157"/>
      <c r="G81" s="157"/>
      <c r="H81" s="157"/>
      <c r="I81" s="157"/>
      <c r="J81" s="3036"/>
      <c r="K81" s="78"/>
      <c r="Q81" s="3165" t="s">
        <v>5401</v>
      </c>
      <c r="R81" s="3166"/>
      <c r="S81" s="3166"/>
      <c r="T81" s="3166"/>
      <c r="U81" s="3166"/>
      <c r="V81" s="3166"/>
      <c r="W81" s="3166"/>
      <c r="X81" s="3166"/>
      <c r="Y81" s="3166"/>
      <c r="Z81" s="3167"/>
      <c r="AA81" s="133"/>
    </row>
    <row r="82" spans="2:31" ht="14.25" customHeight="1">
      <c r="B82" s="155"/>
      <c r="C82" s="157"/>
      <c r="D82" s="157"/>
      <c r="E82" s="157"/>
      <c r="F82" s="157"/>
      <c r="G82" s="157"/>
      <c r="H82" s="157"/>
      <c r="I82" s="157"/>
      <c r="J82" s="3036"/>
      <c r="K82" s="78"/>
      <c r="Q82" s="3168"/>
      <c r="R82" s="3169"/>
      <c r="S82" s="3169"/>
      <c r="T82" s="3169"/>
      <c r="U82" s="3169"/>
      <c r="V82" s="3169"/>
      <c r="W82" s="3169"/>
      <c r="X82" s="3169"/>
      <c r="Y82" s="3169"/>
      <c r="Z82" s="3170"/>
      <c r="AA82" s="133"/>
    </row>
    <row r="83" spans="2:31" ht="14.25" customHeight="1">
      <c r="K83" s="78"/>
      <c r="M83" s="78"/>
      <c r="N83" s="171"/>
      <c r="Q83" s="3171"/>
      <c r="R83" s="3172"/>
      <c r="S83" s="3172"/>
      <c r="T83" s="3172"/>
      <c r="U83" s="3172"/>
      <c r="V83" s="3172"/>
      <c r="W83" s="3172"/>
      <c r="X83" s="3172"/>
      <c r="Y83" s="3172"/>
      <c r="Z83" s="3173"/>
      <c r="AA83" s="133"/>
    </row>
    <row r="84" spans="2:31" ht="14.25" customHeight="1">
      <c r="B84" s="3021" t="s">
        <v>4941</v>
      </c>
      <c r="C84" s="3022"/>
      <c r="D84" s="3022"/>
      <c r="E84" s="3022"/>
      <c r="F84" s="3022"/>
      <c r="G84" s="3022"/>
      <c r="H84" s="3022"/>
      <c r="I84" s="3022"/>
      <c r="J84" s="3023"/>
      <c r="K84" s="78"/>
      <c r="L84" s="78"/>
      <c r="M84" s="78"/>
      <c r="N84" s="171"/>
      <c r="Q84" s="3168" t="s">
        <v>5402</v>
      </c>
      <c r="R84" s="3181"/>
      <c r="S84" s="3181"/>
      <c r="T84" s="3181"/>
      <c r="U84" s="3181"/>
      <c r="V84" s="3181"/>
      <c r="W84" s="3181"/>
      <c r="X84" s="3181"/>
      <c r="Y84" s="3181"/>
      <c r="Z84" s="3182"/>
      <c r="AA84" s="133"/>
      <c r="AB84" s="196"/>
      <c r="AC84" s="134"/>
      <c r="AD84" s="134"/>
      <c r="AE84" s="134"/>
    </row>
    <row r="85" spans="2:31" ht="14.25" customHeight="1">
      <c r="B85" s="3024" t="s">
        <v>5403</v>
      </c>
      <c r="C85" s="3025"/>
      <c r="D85" s="3025"/>
      <c r="E85" s="3025"/>
      <c r="F85" s="3025"/>
      <c r="G85" s="3025"/>
      <c r="H85" s="3025"/>
      <c r="I85" s="3025"/>
      <c r="J85" s="3026"/>
      <c r="K85" s="78"/>
      <c r="L85" s="78"/>
      <c r="M85" s="78"/>
      <c r="N85" s="171"/>
      <c r="Q85" s="3189"/>
      <c r="R85" s="3190"/>
      <c r="S85" s="3190"/>
      <c r="T85" s="3190"/>
      <c r="U85" s="3190"/>
      <c r="V85" s="3190"/>
      <c r="W85" s="3190"/>
      <c r="X85" s="3190"/>
      <c r="Y85" s="3190"/>
      <c r="Z85" s="3191"/>
      <c r="AA85" s="133"/>
      <c r="AB85" s="196"/>
      <c r="AC85" s="134"/>
      <c r="AD85" s="134"/>
      <c r="AE85" s="134"/>
    </row>
    <row r="86" spans="2:31" ht="14.25" customHeight="1">
      <c r="B86" s="3024" t="s">
        <v>5404</v>
      </c>
      <c r="C86" s="3025"/>
      <c r="D86" s="3025"/>
      <c r="E86" s="3025"/>
      <c r="F86" s="3025"/>
      <c r="G86" s="3025"/>
      <c r="H86" s="3025"/>
      <c r="I86" s="3025"/>
      <c r="J86" s="3026"/>
      <c r="K86" s="78"/>
      <c r="L86" s="78"/>
      <c r="M86" s="78"/>
      <c r="N86" s="171"/>
      <c r="Q86" s="3168" t="s">
        <v>5405</v>
      </c>
      <c r="R86" s="3181"/>
      <c r="S86" s="3181"/>
      <c r="T86" s="3181"/>
      <c r="U86" s="3181"/>
      <c r="V86" s="3181"/>
      <c r="W86" s="3181"/>
      <c r="X86" s="3181"/>
      <c r="Y86" s="3181"/>
      <c r="Z86" s="3182"/>
      <c r="AA86" s="133"/>
      <c r="AB86" s="196"/>
      <c r="AC86" s="134"/>
      <c r="AD86" s="134"/>
      <c r="AE86" s="134"/>
    </row>
    <row r="87" spans="2:31" ht="14.25" customHeight="1">
      <c r="B87" s="3024" t="s">
        <v>5406</v>
      </c>
      <c r="C87" s="3025"/>
      <c r="D87" s="3025"/>
      <c r="E87" s="3025"/>
      <c r="F87" s="3025"/>
      <c r="G87" s="3025"/>
      <c r="H87" s="3025"/>
      <c r="I87" s="3025"/>
      <c r="J87" s="3026"/>
      <c r="K87" s="78"/>
      <c r="L87" s="78"/>
      <c r="M87" s="78"/>
      <c r="N87" s="171"/>
      <c r="Q87" s="3183"/>
      <c r="R87" s="3184"/>
      <c r="S87" s="3184"/>
      <c r="T87" s="3184"/>
      <c r="U87" s="3184"/>
      <c r="V87" s="3184"/>
      <c r="W87" s="3184"/>
      <c r="X87" s="3184"/>
      <c r="Y87" s="3184"/>
      <c r="Z87" s="3185"/>
    </row>
    <row r="88" spans="2:31" ht="14.25" customHeight="1">
      <c r="B88" s="3024" t="s">
        <v>5407</v>
      </c>
      <c r="C88" s="3025"/>
      <c r="D88" s="3025"/>
      <c r="E88" s="3025"/>
      <c r="F88" s="3025"/>
      <c r="G88" s="3025"/>
      <c r="H88" s="3025"/>
      <c r="I88" s="3025"/>
      <c r="J88" s="3026"/>
      <c r="K88" s="78"/>
      <c r="L88" s="78"/>
      <c r="M88" s="78"/>
      <c r="N88" s="171"/>
    </row>
    <row r="89" spans="2:31" ht="14.25" customHeight="1">
      <c r="B89" s="3043" t="s">
        <v>5408</v>
      </c>
      <c r="C89" s="2704"/>
      <c r="D89" s="2704"/>
      <c r="E89" s="2704"/>
      <c r="F89" s="2704"/>
      <c r="G89" s="2704"/>
      <c r="H89" s="2704"/>
      <c r="I89" s="2704"/>
      <c r="J89" s="2768"/>
      <c r="K89" s="78"/>
      <c r="L89" s="78"/>
      <c r="M89" s="78"/>
      <c r="N89" s="171"/>
    </row>
    <row r="90" spans="2:31" ht="14.25" customHeight="1">
      <c r="B90" s="158"/>
      <c r="C90" s="158"/>
      <c r="D90" s="158"/>
      <c r="E90" s="158"/>
      <c r="F90" s="158"/>
      <c r="G90" s="158"/>
      <c r="H90" s="158"/>
      <c r="I90" s="158"/>
      <c r="J90" s="158"/>
      <c r="K90" s="78"/>
      <c r="L90" s="78"/>
      <c r="M90" s="78"/>
      <c r="N90" s="171"/>
      <c r="Q90" s="2196" t="s">
        <v>5409</v>
      </c>
      <c r="R90" s="2197"/>
      <c r="S90" s="2197"/>
      <c r="T90" s="2197"/>
      <c r="U90" s="2197"/>
      <c r="V90" s="2197"/>
      <c r="W90" s="2197"/>
      <c r="X90" s="2197"/>
      <c r="Y90" s="2197"/>
      <c r="Z90" s="2197"/>
      <c r="AA90" s="2197"/>
      <c r="AB90" s="2197"/>
      <c r="AC90" s="2197"/>
      <c r="AD90" s="2197"/>
      <c r="AE90" s="2198"/>
    </row>
    <row r="91" spans="2:31" ht="14.25" customHeight="1">
      <c r="K91" s="78"/>
      <c r="L91" s="78"/>
      <c r="Q91" s="2199"/>
      <c r="R91" s="2200"/>
      <c r="S91" s="2200"/>
      <c r="T91" s="2200"/>
      <c r="U91" s="2200"/>
      <c r="V91" s="2200"/>
      <c r="W91" s="2200"/>
      <c r="X91" s="2200"/>
      <c r="Y91" s="2200"/>
      <c r="Z91" s="2200"/>
      <c r="AA91" s="2200"/>
      <c r="AB91" s="2200"/>
      <c r="AC91" s="2200"/>
      <c r="AD91" s="2200"/>
      <c r="AE91" s="2201"/>
    </row>
    <row r="92" spans="2:31" ht="14.25" customHeight="1">
      <c r="K92" s="78"/>
      <c r="L92" s="78"/>
      <c r="Q92" s="2202"/>
      <c r="R92" s="2203"/>
      <c r="S92" s="2203"/>
      <c r="T92" s="2203"/>
      <c r="U92" s="2203"/>
      <c r="V92" s="2203"/>
      <c r="W92" s="2203"/>
      <c r="X92" s="2203"/>
      <c r="Y92" s="2203"/>
      <c r="Z92" s="2203"/>
      <c r="AA92" s="2203"/>
      <c r="AB92" s="2203"/>
      <c r="AC92" s="2203"/>
      <c r="AD92" s="2203"/>
      <c r="AE92" s="2204"/>
    </row>
    <row r="93" spans="2:31" ht="14.25" customHeight="1">
      <c r="K93" s="78"/>
      <c r="L93" s="78"/>
      <c r="Q93" s="180"/>
      <c r="R93" s="180"/>
      <c r="S93" s="180"/>
      <c r="T93" s="180"/>
      <c r="U93" s="180"/>
      <c r="V93" s="180"/>
      <c r="W93" s="180"/>
      <c r="X93" s="180"/>
      <c r="Y93" s="180"/>
      <c r="Z93" s="180"/>
      <c r="AA93" s="180"/>
      <c r="AB93" s="180"/>
      <c r="AC93" s="180"/>
      <c r="AD93" s="180"/>
      <c r="AE93" s="180"/>
    </row>
    <row r="94" spans="2:31" ht="14.25" customHeight="1">
      <c r="K94" s="78"/>
      <c r="L94" s="78"/>
      <c r="Q94" s="2288" t="s">
        <v>5410</v>
      </c>
      <c r="R94" s="2289"/>
      <c r="S94" s="2289"/>
      <c r="T94" s="2289"/>
      <c r="U94" s="2289"/>
      <c r="V94" s="2290"/>
      <c r="W94" s="184"/>
      <c r="X94" s="3119" t="s">
        <v>5411</v>
      </c>
      <c r="Y94" s="3120"/>
      <c r="Z94" s="3120"/>
      <c r="AA94" s="3120"/>
      <c r="AB94" s="3120"/>
      <c r="AC94" s="3120"/>
      <c r="AD94" s="3120"/>
      <c r="AE94" s="3121"/>
    </row>
    <row r="95" spans="2:31" ht="14.25" customHeight="1">
      <c r="K95" s="78"/>
      <c r="L95" s="78"/>
      <c r="Q95" s="2294"/>
      <c r="R95" s="2295"/>
      <c r="S95" s="2295"/>
      <c r="T95" s="2295"/>
      <c r="U95" s="2295"/>
      <c r="V95" s="2296"/>
      <c r="W95" s="184"/>
      <c r="X95" s="3122"/>
      <c r="Y95" s="3123"/>
      <c r="Z95" s="3123"/>
      <c r="AA95" s="3123"/>
      <c r="AB95" s="3123"/>
      <c r="AC95" s="3123"/>
      <c r="AD95" s="3123"/>
      <c r="AE95" s="3193"/>
    </row>
    <row r="96" spans="2:31" ht="14.25" customHeight="1">
      <c r="K96" s="78"/>
      <c r="L96" s="78"/>
      <c r="Q96" s="2173" t="s">
        <v>5412</v>
      </c>
      <c r="R96" s="2174"/>
      <c r="S96" s="2174"/>
      <c r="T96" s="2174"/>
      <c r="U96" s="2174"/>
      <c r="V96" s="2175"/>
      <c r="W96" s="185"/>
      <c r="X96" s="3060" t="s">
        <v>5413</v>
      </c>
      <c r="Y96" s="3045"/>
      <c r="Z96" s="3045"/>
      <c r="AA96" s="3045"/>
      <c r="AB96" s="3063"/>
      <c r="AC96" s="3044" t="s">
        <v>5414</v>
      </c>
      <c r="AD96" s="3045"/>
      <c r="AE96" s="3046"/>
    </row>
    <row r="97" spans="1:31" ht="14.25" customHeight="1">
      <c r="K97" s="78"/>
      <c r="L97" s="78"/>
      <c r="Q97" s="2176"/>
      <c r="R97" s="2177"/>
      <c r="S97" s="2177"/>
      <c r="T97" s="2177"/>
      <c r="U97" s="2177"/>
      <c r="V97" s="2178"/>
      <c r="W97" s="185"/>
      <c r="X97" s="2194"/>
      <c r="Y97" s="2184"/>
      <c r="Z97" s="2184"/>
      <c r="AA97" s="2184"/>
      <c r="AB97" s="3064"/>
      <c r="AC97" s="197" t="s">
        <v>5415</v>
      </c>
      <c r="AD97" s="3044" t="s">
        <v>5416</v>
      </c>
      <c r="AE97" s="3046"/>
    </row>
    <row r="98" spans="1:31" ht="14.25" customHeight="1">
      <c r="K98" s="3052"/>
      <c r="L98" s="3052"/>
      <c r="N98" s="3052"/>
      <c r="O98" s="3052"/>
      <c r="Q98" s="2176"/>
      <c r="R98" s="2177"/>
      <c r="S98" s="2177"/>
      <c r="T98" s="2177"/>
      <c r="U98" s="2177"/>
      <c r="V98" s="2178"/>
      <c r="W98" s="185"/>
      <c r="X98" s="2194"/>
      <c r="Y98" s="2184"/>
      <c r="Z98" s="2184"/>
      <c r="AA98" s="2184"/>
      <c r="AB98" s="3127"/>
      <c r="AC98" s="200" t="s">
        <v>5417</v>
      </c>
      <c r="AD98" s="3047" t="s">
        <v>5418</v>
      </c>
      <c r="AE98" s="3048"/>
    </row>
    <row r="99" spans="1:31" ht="14.25" customHeight="1">
      <c r="K99" s="3052"/>
      <c r="L99" s="3052"/>
      <c r="N99" s="3052"/>
      <c r="O99" s="3052"/>
      <c r="Q99" s="2176"/>
      <c r="R99" s="2177"/>
      <c r="S99" s="2177"/>
      <c r="T99" s="2177"/>
      <c r="U99" s="2177"/>
      <c r="V99" s="2178"/>
      <c r="W99" s="185"/>
      <c r="X99" s="2194"/>
      <c r="Y99" s="2184"/>
      <c r="Z99" s="2184"/>
      <c r="AA99" s="2184"/>
      <c r="AB99" s="3127"/>
      <c r="AC99" s="198" t="s">
        <v>5419</v>
      </c>
      <c r="AD99" s="3049" t="s">
        <v>5420</v>
      </c>
      <c r="AE99" s="3050"/>
    </row>
    <row r="100" spans="1:31" ht="14.25" customHeight="1">
      <c r="K100" s="3052"/>
      <c r="L100" s="3052"/>
      <c r="N100" s="3052"/>
      <c r="O100" s="3052"/>
      <c r="Q100" s="2179"/>
      <c r="R100" s="2180"/>
      <c r="S100" s="2180"/>
      <c r="T100" s="2180"/>
      <c r="U100" s="2180"/>
      <c r="V100" s="2181"/>
      <c r="W100" s="185"/>
      <c r="X100" s="3061"/>
      <c r="Y100" s="3062"/>
      <c r="Z100" s="3062"/>
      <c r="AA100" s="3062"/>
      <c r="AB100" s="3064"/>
      <c r="AC100" s="198" t="s">
        <v>5421</v>
      </c>
      <c r="AD100" s="3049" t="s">
        <v>5422</v>
      </c>
      <c r="AE100" s="3050"/>
    </row>
    <row r="101" spans="1:31" ht="14.25" customHeight="1">
      <c r="K101" s="3052"/>
      <c r="L101" s="3052"/>
      <c r="N101" s="3052"/>
      <c r="O101" s="3052"/>
      <c r="Q101" s="181"/>
      <c r="R101" s="181"/>
      <c r="S101" s="181"/>
      <c r="T101" s="181"/>
      <c r="U101" s="181"/>
      <c r="V101" s="181"/>
      <c r="W101" s="185"/>
      <c r="X101" s="3195" t="s">
        <v>5423</v>
      </c>
      <c r="Y101" s="3196"/>
      <c r="Z101" s="3196"/>
      <c r="AA101" s="3196"/>
      <c r="AB101" s="3197"/>
      <c r="AC101" s="3196"/>
      <c r="AD101" s="3196"/>
      <c r="AE101" s="3198"/>
    </row>
    <row r="102" spans="1:31" ht="14.25" customHeight="1">
      <c r="K102" s="3052"/>
      <c r="L102" s="3052"/>
      <c r="N102" s="3052"/>
      <c r="O102" s="3052"/>
      <c r="Q102" s="3203" t="s">
        <v>5424</v>
      </c>
      <c r="R102" s="3204"/>
      <c r="S102" s="3204"/>
      <c r="T102" s="3204"/>
      <c r="U102" s="3204"/>
      <c r="V102" s="3205"/>
      <c r="W102" s="186"/>
      <c r="X102" s="3199"/>
      <c r="Y102" s="3200"/>
      <c r="Z102" s="3200"/>
      <c r="AA102" s="3200"/>
      <c r="AB102" s="3201"/>
      <c r="AC102" s="3200"/>
      <c r="AD102" s="3200"/>
      <c r="AE102" s="3202"/>
    </row>
    <row r="103" spans="1:31" ht="27" customHeight="1">
      <c r="K103" s="3052"/>
      <c r="L103" s="3052"/>
      <c r="N103" s="3052"/>
      <c r="O103" s="3052"/>
      <c r="Q103" s="3206"/>
      <c r="R103" s="3207"/>
      <c r="S103" s="3207"/>
      <c r="T103" s="3207"/>
      <c r="U103" s="3207"/>
      <c r="V103" s="3208"/>
      <c r="W103" s="186"/>
      <c r="X103" s="186"/>
      <c r="Y103" s="186"/>
      <c r="Z103" s="186"/>
      <c r="AA103" s="186"/>
      <c r="AB103" s="186"/>
      <c r="AC103" s="186"/>
      <c r="AD103" s="185"/>
      <c r="AE103" s="185"/>
    </row>
    <row r="104" spans="1:31" ht="27" customHeight="1">
      <c r="K104" s="3052"/>
      <c r="L104" s="3052"/>
      <c r="N104" s="3052"/>
      <c r="O104" s="3052"/>
      <c r="Q104" s="1871" t="s">
        <v>5425</v>
      </c>
      <c r="R104" s="1845"/>
      <c r="S104" s="1845"/>
      <c r="T104" s="1845"/>
      <c r="U104" s="1845"/>
      <c r="V104" s="2409"/>
      <c r="W104" s="187"/>
      <c r="X104" s="3119" t="s">
        <v>5426</v>
      </c>
      <c r="Y104" s="3120"/>
      <c r="Z104" s="3120"/>
      <c r="AA104" s="3120"/>
      <c r="AB104" s="3120"/>
      <c r="AC104" s="3120"/>
      <c r="AD104" s="3120"/>
      <c r="AE104" s="3121"/>
    </row>
    <row r="105" spans="1:31" ht="27" customHeight="1">
      <c r="A105" s="159"/>
      <c r="K105" s="3052"/>
      <c r="L105" s="3052"/>
      <c r="N105" s="3052"/>
      <c r="O105" s="3052"/>
      <c r="Q105" s="3209"/>
      <c r="R105" s="2325"/>
      <c r="S105" s="2325"/>
      <c r="T105" s="2325"/>
      <c r="U105" s="2325"/>
      <c r="V105" s="2326"/>
      <c r="W105" s="187"/>
      <c r="X105" s="3122"/>
      <c r="Y105" s="3123"/>
      <c r="Z105" s="3123"/>
      <c r="AA105" s="3123"/>
      <c r="AB105" s="3123"/>
      <c r="AC105" s="3124"/>
      <c r="AD105" s="3124"/>
      <c r="AE105" s="3125"/>
    </row>
    <row r="106" spans="1:31" ht="27" customHeight="1">
      <c r="A106" s="159"/>
      <c r="K106" s="3051"/>
      <c r="L106" s="3051"/>
      <c r="M106" s="3051"/>
      <c r="N106" s="3051"/>
      <c r="O106" s="3051"/>
      <c r="Q106" s="2303" t="s">
        <v>5427</v>
      </c>
      <c r="R106" s="3216"/>
      <c r="S106" s="3160" t="s">
        <v>5428</v>
      </c>
      <c r="T106" s="2304"/>
      <c r="U106" s="2304"/>
      <c r="V106" s="3161"/>
      <c r="W106" s="185"/>
      <c r="X106" s="3060" t="s">
        <v>5429</v>
      </c>
      <c r="Y106" s="3045"/>
      <c r="Z106" s="3045"/>
      <c r="AA106" s="3063"/>
      <c r="AB106" s="3044" t="s">
        <v>5430</v>
      </c>
      <c r="AC106" s="2184" t="s">
        <v>5431</v>
      </c>
      <c r="AD106" s="2184"/>
      <c r="AE106" s="2185"/>
    </row>
    <row r="107" spans="1:31" ht="27" customHeight="1">
      <c r="A107" s="159"/>
      <c r="Q107" s="2303"/>
      <c r="R107" s="3216"/>
      <c r="S107" s="3160"/>
      <c r="T107" s="2304"/>
      <c r="U107" s="2304"/>
      <c r="V107" s="3161"/>
      <c r="W107" s="185"/>
      <c r="X107" s="2194"/>
      <c r="Y107" s="2184"/>
      <c r="Z107" s="2184"/>
      <c r="AA107" s="3127"/>
      <c r="AB107" s="3049"/>
      <c r="AC107" s="2184"/>
      <c r="AD107" s="2184"/>
      <c r="AE107" s="2185"/>
    </row>
    <row r="108" spans="1:31" ht="15" customHeight="1">
      <c r="A108" s="159"/>
      <c r="K108" s="3051"/>
      <c r="L108" s="3051"/>
      <c r="M108" s="3051"/>
      <c r="N108" s="3051"/>
      <c r="O108" s="3051"/>
      <c r="Q108" s="2303"/>
      <c r="R108" s="3216"/>
      <c r="S108" s="3162"/>
      <c r="T108" s="3163"/>
      <c r="U108" s="3163"/>
      <c r="V108" s="3164"/>
      <c r="W108" s="185"/>
      <c r="X108" s="2194"/>
      <c r="Y108" s="2184"/>
      <c r="Z108" s="2184"/>
      <c r="AA108" s="2184"/>
      <c r="AB108" s="3137" t="s">
        <v>5432</v>
      </c>
      <c r="AC108" s="3219" t="s">
        <v>5433</v>
      </c>
      <c r="AD108" s="3045"/>
      <c r="AE108" s="3046"/>
    </row>
    <row r="109" spans="1:31" ht="18">
      <c r="A109" s="159"/>
      <c r="K109" s="3051"/>
      <c r="L109" s="3051"/>
      <c r="N109" s="3051"/>
      <c r="O109" s="3051"/>
      <c r="Q109" s="2303"/>
      <c r="R109" s="3216"/>
      <c r="S109" s="3153" t="s">
        <v>5434</v>
      </c>
      <c r="T109" s="2177"/>
      <c r="U109" s="2177" t="s">
        <v>5435</v>
      </c>
      <c r="V109" s="2178" t="s">
        <v>5436</v>
      </c>
      <c r="W109" s="185"/>
      <c r="X109" s="2194"/>
      <c r="Y109" s="2184"/>
      <c r="Z109" s="2184"/>
      <c r="AA109" s="2184"/>
      <c r="AB109" s="3137"/>
      <c r="AC109" s="3220"/>
      <c r="AD109" s="3062"/>
      <c r="AE109" s="3050"/>
    </row>
    <row r="110" spans="1:31" ht="18">
      <c r="A110" s="159"/>
      <c r="K110" s="3051"/>
      <c r="L110" s="3051"/>
      <c r="M110" s="143"/>
      <c r="N110" s="3051"/>
      <c r="O110" s="3051"/>
      <c r="Q110" s="2303"/>
      <c r="R110" s="3216"/>
      <c r="S110" s="3153"/>
      <c r="T110" s="2177"/>
      <c r="U110" s="2177"/>
      <c r="V110" s="2178"/>
      <c r="W110" s="185"/>
      <c r="X110" s="2713" t="s">
        <v>5437</v>
      </c>
      <c r="Y110" s="2714"/>
      <c r="Z110" s="2714"/>
      <c r="AA110" s="3128"/>
      <c r="AB110" s="3138" t="s">
        <v>5438</v>
      </c>
      <c r="AC110" s="3137" t="s">
        <v>5439</v>
      </c>
      <c r="AD110" s="2184"/>
      <c r="AE110" s="2185"/>
    </row>
    <row r="111" spans="1:31" ht="16" customHeight="1">
      <c r="A111" s="159"/>
      <c r="K111" s="3051"/>
      <c r="L111" s="3051"/>
      <c r="M111" s="143"/>
      <c r="N111" s="3051"/>
      <c r="O111" s="3051"/>
      <c r="Q111" s="2303"/>
      <c r="R111" s="3216"/>
      <c r="S111" s="3153"/>
      <c r="T111" s="2177"/>
      <c r="U111" s="2177"/>
      <c r="V111" s="2178"/>
      <c r="W111" s="185"/>
      <c r="X111" s="2713"/>
      <c r="Y111" s="2714"/>
      <c r="Z111" s="2714"/>
      <c r="AA111" s="3128"/>
      <c r="AB111" s="2714"/>
      <c r="AC111" s="3137"/>
      <c r="AD111" s="2184"/>
      <c r="AE111" s="2185"/>
    </row>
    <row r="112" spans="1:31" ht="18">
      <c r="A112" s="159"/>
      <c r="K112" s="3051"/>
      <c r="L112" s="3051"/>
      <c r="M112" s="143"/>
      <c r="N112" s="3051"/>
      <c r="O112" s="3051"/>
      <c r="Q112" s="3217"/>
      <c r="R112" s="3218"/>
      <c r="S112" s="3154"/>
      <c r="T112" s="3058"/>
      <c r="U112" s="3058"/>
      <c r="V112" s="3059"/>
      <c r="W112" s="185"/>
      <c r="X112" s="2713"/>
      <c r="Y112" s="2714"/>
      <c r="Z112" s="2714"/>
      <c r="AA112" s="3128"/>
      <c r="AB112" s="3139"/>
      <c r="AC112" s="3221"/>
      <c r="AD112" s="3222"/>
      <c r="AE112" s="3048"/>
    </row>
    <row r="113" spans="1:31" ht="18">
      <c r="A113" s="159"/>
      <c r="K113" s="3051"/>
      <c r="L113" s="3051"/>
      <c r="M113" s="143"/>
      <c r="N113" s="3051"/>
      <c r="O113" s="3051"/>
      <c r="Q113" s="2176" t="s">
        <v>5440</v>
      </c>
      <c r="R113" s="2177"/>
      <c r="S113" s="2177"/>
      <c r="T113" s="2177"/>
      <c r="U113" s="2177"/>
      <c r="V113" s="2178"/>
      <c r="W113" s="185"/>
      <c r="X113" s="2713"/>
      <c r="Y113" s="2714"/>
      <c r="Z113" s="2714"/>
      <c r="AA113" s="3128"/>
      <c r="AB113" s="3224" t="s">
        <v>5441</v>
      </c>
      <c r="AC113" s="2714"/>
      <c r="AD113" s="2714"/>
      <c r="AE113" s="2817"/>
    </row>
    <row r="114" spans="1:31" ht="18">
      <c r="A114" s="159"/>
      <c r="K114" s="2655"/>
      <c r="L114" s="2655"/>
      <c r="M114" s="169"/>
      <c r="N114" s="2655"/>
      <c r="O114" s="2655"/>
      <c r="P114" s="170"/>
      <c r="Q114" s="2176"/>
      <c r="R114" s="2177"/>
      <c r="S114" s="2177"/>
      <c r="T114" s="2177"/>
      <c r="U114" s="2177"/>
      <c r="V114" s="2178"/>
      <c r="W114" s="185"/>
      <c r="X114" s="3140" t="s">
        <v>5442</v>
      </c>
      <c r="Y114" s="3141"/>
      <c r="Z114" s="3141"/>
      <c r="AA114" s="3142"/>
      <c r="AB114" s="3225"/>
      <c r="AC114" s="3139"/>
      <c r="AD114" s="3139"/>
      <c r="AE114" s="3226"/>
    </row>
    <row r="115" spans="1:31" ht="18">
      <c r="A115" s="159"/>
      <c r="K115" s="2655"/>
      <c r="L115" s="2655"/>
      <c r="M115" s="169"/>
      <c r="N115" s="2655"/>
      <c r="O115" s="2655"/>
      <c r="P115" s="170"/>
      <c r="Q115" s="2179"/>
      <c r="R115" s="2180"/>
      <c r="S115" s="2180"/>
      <c r="T115" s="2180"/>
      <c r="U115" s="2180"/>
      <c r="V115" s="2181"/>
      <c r="W115" s="185"/>
      <c r="X115" s="3060" t="s">
        <v>5443</v>
      </c>
      <c r="Y115" s="3045" t="s">
        <v>5444</v>
      </c>
      <c r="Z115" s="3045" t="s">
        <v>5445</v>
      </c>
      <c r="AA115" s="3045"/>
      <c r="AB115" s="3045"/>
      <c r="AC115" s="3063"/>
      <c r="AD115" s="3219" t="s">
        <v>5446</v>
      </c>
      <c r="AE115" s="3046"/>
    </row>
    <row r="116" spans="1:31" ht="18">
      <c r="A116" s="159"/>
      <c r="K116" s="2655"/>
      <c r="L116" s="2655"/>
      <c r="M116" s="169"/>
      <c r="N116" s="2655"/>
      <c r="O116" s="2655"/>
      <c r="P116" s="170"/>
      <c r="Q116" s="180"/>
      <c r="R116" s="180"/>
      <c r="S116" s="180"/>
      <c r="T116" s="180"/>
      <c r="U116" s="180"/>
      <c r="V116" s="180"/>
      <c r="W116" s="188"/>
      <c r="X116" s="3061"/>
      <c r="Y116" s="3062"/>
      <c r="Z116" s="3062"/>
      <c r="AA116" s="3062"/>
      <c r="AB116" s="3062"/>
      <c r="AC116" s="3064"/>
      <c r="AD116" s="3137"/>
      <c r="AE116" s="2185"/>
    </row>
    <row r="117" spans="1:31" ht="18">
      <c r="A117" s="159"/>
      <c r="K117" s="2655"/>
      <c r="L117" s="2655"/>
      <c r="M117" s="169"/>
      <c r="N117" s="2655"/>
      <c r="O117" s="2655"/>
      <c r="P117" s="170"/>
      <c r="Q117" s="180"/>
      <c r="R117" s="180"/>
      <c r="S117" s="180"/>
      <c r="T117" s="180"/>
      <c r="U117" s="180"/>
      <c r="V117" s="180"/>
      <c r="W117" s="188"/>
      <c r="X117" s="3060" t="s">
        <v>5447</v>
      </c>
      <c r="Y117" s="3045" t="s">
        <v>5448</v>
      </c>
      <c r="Z117" s="3045" t="s">
        <v>5449</v>
      </c>
      <c r="AA117" s="3045"/>
      <c r="AB117" s="3045"/>
      <c r="AC117" s="3063"/>
      <c r="AD117" s="3137"/>
      <c r="AE117" s="2185"/>
    </row>
    <row r="118" spans="1:31" ht="18">
      <c r="A118" s="159"/>
      <c r="K118" s="170"/>
      <c r="L118" s="170"/>
      <c r="M118" s="170"/>
      <c r="N118" s="170"/>
      <c r="O118" s="170"/>
      <c r="P118" s="170"/>
      <c r="Q118" s="180"/>
      <c r="R118" s="180"/>
      <c r="S118" s="180"/>
      <c r="T118" s="180"/>
      <c r="U118" s="180"/>
      <c r="V118" s="180"/>
      <c r="W118" s="188"/>
      <c r="X118" s="3061"/>
      <c r="Y118" s="3062"/>
      <c r="Z118" s="3062"/>
      <c r="AA118" s="3062"/>
      <c r="AB118" s="3062"/>
      <c r="AC118" s="3064"/>
      <c r="AD118" s="3137"/>
      <c r="AE118" s="2185"/>
    </row>
    <row r="119" spans="1:31" ht="18">
      <c r="A119" s="159"/>
      <c r="K119" s="170"/>
      <c r="L119" s="170"/>
      <c r="M119" s="170"/>
      <c r="N119" s="170"/>
      <c r="O119" s="170"/>
      <c r="P119" s="170"/>
      <c r="Q119" s="180"/>
      <c r="R119" s="180"/>
      <c r="S119" s="180"/>
      <c r="T119" s="180"/>
      <c r="U119" s="180"/>
      <c r="V119" s="180"/>
      <c r="W119" s="188"/>
      <c r="X119" s="3060" t="s">
        <v>5450</v>
      </c>
      <c r="Y119" s="3045" t="s">
        <v>1492</v>
      </c>
      <c r="Z119" s="3045" t="s">
        <v>5451</v>
      </c>
      <c r="AA119" s="3045"/>
      <c r="AB119" s="3045"/>
      <c r="AC119" s="3063"/>
      <c r="AD119" s="3137"/>
      <c r="AE119" s="2185"/>
    </row>
    <row r="120" spans="1:31" ht="18">
      <c r="A120" s="159"/>
      <c r="B120" s="160"/>
      <c r="C120" s="160"/>
      <c r="D120" s="160"/>
      <c r="E120" s="160"/>
      <c r="F120" s="160"/>
      <c r="G120" s="160"/>
      <c r="H120" s="160"/>
      <c r="I120" s="170"/>
      <c r="J120" s="170"/>
      <c r="K120" s="170"/>
      <c r="L120" s="170"/>
      <c r="M120" s="170"/>
      <c r="N120" s="170"/>
      <c r="O120" s="170"/>
      <c r="P120" s="170"/>
      <c r="Q120" s="180"/>
      <c r="R120" s="180"/>
      <c r="S120" s="180"/>
      <c r="T120" s="180"/>
      <c r="U120" s="180"/>
      <c r="V120" s="180"/>
      <c r="W120" s="188"/>
      <c r="X120" s="2195"/>
      <c r="Y120" s="2186"/>
      <c r="Z120" s="2186"/>
      <c r="AA120" s="2186"/>
      <c r="AB120" s="2186"/>
      <c r="AC120" s="3192"/>
      <c r="AD120" s="3223"/>
      <c r="AE120" s="2187"/>
    </row>
    <row r="121" spans="1:31" ht="17">
      <c r="A121" s="159"/>
      <c r="B121" s="160"/>
      <c r="C121" s="160"/>
      <c r="D121" s="160"/>
      <c r="E121" s="160"/>
      <c r="F121" s="160"/>
      <c r="G121" s="160"/>
      <c r="H121" s="160"/>
      <c r="I121" s="160"/>
      <c r="J121" s="170"/>
      <c r="K121" s="170"/>
      <c r="L121" s="170"/>
      <c r="M121" s="170"/>
      <c r="N121" s="170"/>
      <c r="O121" s="170"/>
      <c r="P121" s="170"/>
      <c r="Q121" s="134"/>
      <c r="R121" s="134"/>
      <c r="S121" s="134"/>
      <c r="T121" s="134"/>
      <c r="U121" s="134"/>
      <c r="V121" s="134"/>
      <c r="W121" s="134"/>
      <c r="X121" s="134"/>
      <c r="Y121" s="134"/>
      <c r="Z121" s="134"/>
      <c r="AA121" s="134"/>
      <c r="AB121" s="134"/>
      <c r="AC121" s="134"/>
      <c r="AD121" s="134"/>
      <c r="AE121" s="134"/>
    </row>
    <row r="122" spans="1:31" ht="17">
      <c r="A122" s="159"/>
      <c r="B122" s="160"/>
      <c r="C122" s="160"/>
      <c r="D122" s="160"/>
      <c r="E122" s="160"/>
      <c r="F122" s="160"/>
      <c r="G122" s="160"/>
      <c r="H122" s="160"/>
      <c r="I122" s="160"/>
      <c r="J122" s="170"/>
      <c r="K122" s="170"/>
      <c r="L122" s="170"/>
      <c r="M122" s="170"/>
      <c r="N122" s="170"/>
      <c r="O122" s="170"/>
      <c r="P122" s="170"/>
      <c r="Q122" s="3210" t="s">
        <v>5452</v>
      </c>
      <c r="R122" s="3211"/>
      <c r="S122" s="3211"/>
      <c r="T122" s="3211"/>
      <c r="U122" s="3211"/>
      <c r="V122" s="3211"/>
      <c r="W122" s="3211"/>
      <c r="X122" s="3211"/>
      <c r="Y122" s="3211"/>
      <c r="Z122" s="3211"/>
      <c r="AA122" s="3211"/>
      <c r="AB122" s="3211"/>
      <c r="AC122" s="3211"/>
      <c r="AD122" s="3211"/>
      <c r="AE122" s="3212"/>
    </row>
    <row r="123" spans="1:31" ht="17">
      <c r="A123" s="159"/>
      <c r="B123" s="161"/>
      <c r="C123" s="160"/>
      <c r="D123" s="160"/>
      <c r="E123" s="162"/>
      <c r="F123" s="162"/>
      <c r="G123" s="162"/>
      <c r="H123" s="162"/>
      <c r="I123" s="162"/>
      <c r="J123" s="170"/>
      <c r="K123" s="170"/>
      <c r="L123" s="170"/>
      <c r="M123" s="170"/>
      <c r="N123" s="170"/>
      <c r="O123" s="170"/>
      <c r="P123" s="170"/>
      <c r="Q123" s="3213"/>
      <c r="R123" s="3214"/>
      <c r="S123" s="3214"/>
      <c r="T123" s="3214"/>
      <c r="U123" s="3214"/>
      <c r="V123" s="3214"/>
      <c r="W123" s="3214"/>
      <c r="X123" s="3214"/>
      <c r="Y123" s="3214"/>
      <c r="Z123" s="3214"/>
      <c r="AA123" s="3214"/>
      <c r="AB123" s="3214"/>
      <c r="AC123" s="3214"/>
      <c r="AD123" s="3214"/>
      <c r="AE123" s="3215"/>
    </row>
    <row r="124" spans="1:31" ht="17">
      <c r="A124" s="159"/>
      <c r="B124" s="161"/>
      <c r="C124" s="160"/>
      <c r="D124" s="160"/>
      <c r="E124" s="162"/>
      <c r="F124" s="162"/>
      <c r="G124" s="162"/>
      <c r="H124" s="162"/>
      <c r="I124" s="162"/>
      <c r="J124" s="170"/>
      <c r="K124" s="170"/>
      <c r="L124" s="162"/>
      <c r="M124" s="162"/>
      <c r="N124" s="162"/>
      <c r="O124" s="162"/>
      <c r="P124" s="162"/>
      <c r="Q124" s="3213"/>
      <c r="R124" s="3214"/>
      <c r="S124" s="3214"/>
      <c r="T124" s="3214"/>
      <c r="U124" s="3214"/>
      <c r="V124" s="3214"/>
      <c r="W124" s="3214"/>
      <c r="X124" s="3214"/>
      <c r="Y124" s="3214"/>
      <c r="Z124" s="3214"/>
      <c r="AA124" s="3214"/>
      <c r="AB124" s="3214"/>
      <c r="AC124" s="3214"/>
      <c r="AD124" s="3214"/>
      <c r="AE124" s="3215"/>
    </row>
    <row r="125" spans="1:31" ht="18">
      <c r="A125" s="159"/>
      <c r="B125" s="161"/>
      <c r="C125" s="160"/>
      <c r="D125" s="160"/>
      <c r="E125" s="162"/>
      <c r="F125" s="162"/>
      <c r="G125" s="162"/>
      <c r="H125" s="162"/>
      <c r="I125" s="162"/>
      <c r="J125" s="170"/>
      <c r="K125" s="170"/>
      <c r="L125" s="162"/>
      <c r="M125" s="162"/>
      <c r="N125" s="162"/>
      <c r="O125" s="162"/>
      <c r="P125" s="162"/>
      <c r="Q125" s="3053" t="s">
        <v>5453</v>
      </c>
      <c r="R125" s="3054"/>
      <c r="S125" s="3054"/>
      <c r="T125" s="3054"/>
      <c r="U125" s="3054"/>
      <c r="V125" s="3054" t="s">
        <v>164</v>
      </c>
      <c r="W125" s="3054"/>
      <c r="X125" s="3054" t="s">
        <v>5454</v>
      </c>
      <c r="Y125" s="3054"/>
      <c r="Z125" s="3054"/>
      <c r="AA125" s="3054"/>
      <c r="AB125" s="3054"/>
      <c r="AC125" s="3054"/>
      <c r="AD125" s="3054"/>
      <c r="AE125" s="3055"/>
    </row>
    <row r="126" spans="1:31" ht="17">
      <c r="A126" s="159"/>
      <c r="B126" s="161"/>
      <c r="C126" s="160"/>
      <c r="D126" s="160"/>
      <c r="E126" s="162"/>
      <c r="F126" s="162"/>
      <c r="G126" s="162"/>
      <c r="H126" s="162"/>
      <c r="I126" s="162"/>
      <c r="J126" s="170"/>
      <c r="K126" s="170"/>
      <c r="L126" s="162"/>
      <c r="M126" s="162"/>
      <c r="N126" s="162"/>
      <c r="O126" s="162"/>
      <c r="P126" s="162"/>
      <c r="Q126" s="3149" t="s">
        <v>5455</v>
      </c>
      <c r="R126" s="3150"/>
      <c r="S126" s="3150"/>
      <c r="T126" s="3150"/>
      <c r="U126" s="3150"/>
      <c r="V126" s="2652" t="s">
        <v>5456</v>
      </c>
      <c r="W126" s="2655"/>
      <c r="X126" s="2655" t="s">
        <v>5457</v>
      </c>
      <c r="Y126" s="2655"/>
      <c r="Z126" s="2655"/>
      <c r="AA126" s="2655"/>
      <c r="AB126" s="2655"/>
      <c r="AC126" s="2655"/>
      <c r="AD126" s="2655"/>
      <c r="AE126" s="3065"/>
    </row>
    <row r="127" spans="1:31" ht="17">
      <c r="A127" s="159"/>
      <c r="B127" s="161"/>
      <c r="C127" s="160"/>
      <c r="D127" s="160"/>
      <c r="E127" s="162"/>
      <c r="F127" s="162"/>
      <c r="G127" s="162"/>
      <c r="H127" s="162"/>
      <c r="I127" s="162"/>
      <c r="J127" s="170"/>
      <c r="K127" s="170"/>
      <c r="L127" s="162"/>
      <c r="M127" s="162"/>
      <c r="N127" s="162"/>
      <c r="O127" s="162"/>
      <c r="P127" s="162"/>
      <c r="Q127" s="3149"/>
      <c r="R127" s="3150"/>
      <c r="S127" s="3150"/>
      <c r="T127" s="3150"/>
      <c r="U127" s="3150"/>
      <c r="V127" s="2655"/>
      <c r="W127" s="2655"/>
      <c r="X127" s="2655"/>
      <c r="Y127" s="2655"/>
      <c r="Z127" s="2655"/>
      <c r="AA127" s="2655"/>
      <c r="AB127" s="2655"/>
      <c r="AC127" s="2655"/>
      <c r="AD127" s="2655"/>
      <c r="AE127" s="3065"/>
    </row>
    <row r="128" spans="1:31" ht="17">
      <c r="A128" s="159"/>
      <c r="B128" s="161"/>
      <c r="C128" s="160"/>
      <c r="D128" s="160"/>
      <c r="E128" s="162"/>
      <c r="F128" s="162"/>
      <c r="G128" s="162"/>
      <c r="H128" s="162"/>
      <c r="I128" s="162"/>
      <c r="J128" s="170"/>
      <c r="K128" s="170"/>
      <c r="L128" s="162"/>
      <c r="M128" s="162"/>
      <c r="N128" s="162"/>
      <c r="O128" s="162"/>
      <c r="P128" s="162"/>
      <c r="Q128" s="3149"/>
      <c r="R128" s="3150"/>
      <c r="S128" s="3150"/>
      <c r="T128" s="3150"/>
      <c r="U128" s="3150"/>
      <c r="V128" s="2655"/>
      <c r="W128" s="2655"/>
      <c r="X128" s="2655"/>
      <c r="Y128" s="2655"/>
      <c r="Z128" s="2655"/>
      <c r="AA128" s="2655"/>
      <c r="AB128" s="2655"/>
      <c r="AC128" s="2655"/>
      <c r="AD128" s="2655"/>
      <c r="AE128" s="3065"/>
    </row>
    <row r="129" spans="1:31" ht="17">
      <c r="A129" s="159"/>
      <c r="B129" s="161"/>
      <c r="C129" s="160"/>
      <c r="D129" s="160"/>
      <c r="E129" s="162"/>
      <c r="F129" s="162"/>
      <c r="G129" s="162"/>
      <c r="H129" s="162"/>
      <c r="I129" s="162"/>
      <c r="J129" s="170"/>
      <c r="K129" s="170"/>
      <c r="L129" s="162"/>
      <c r="M129" s="162"/>
      <c r="N129" s="162"/>
      <c r="O129" s="162"/>
      <c r="P129" s="162"/>
      <c r="Q129" s="3186" t="s">
        <v>5458</v>
      </c>
      <c r="R129" s="3187"/>
      <c r="S129" s="3187"/>
      <c r="T129" s="3187"/>
      <c r="U129" s="3187"/>
      <c r="V129" s="3179" t="s">
        <v>5459</v>
      </c>
      <c r="W129" s="3129"/>
      <c r="X129" s="3129" t="s">
        <v>5460</v>
      </c>
      <c r="Y129" s="3129"/>
      <c r="Z129" s="3129"/>
      <c r="AA129" s="3129"/>
      <c r="AB129" s="3129"/>
      <c r="AC129" s="3129"/>
      <c r="AD129" s="3129"/>
      <c r="AE129" s="3130"/>
    </row>
    <row r="130" spans="1:31" ht="17">
      <c r="A130" s="159"/>
      <c r="B130" s="161"/>
      <c r="C130" s="160"/>
      <c r="D130" s="160"/>
      <c r="E130" s="162"/>
      <c r="F130" s="162"/>
      <c r="G130" s="162"/>
      <c r="H130" s="162"/>
      <c r="I130" s="162"/>
      <c r="J130" s="170"/>
      <c r="K130" s="170"/>
      <c r="L130" s="162"/>
      <c r="M130" s="162"/>
      <c r="N130" s="162"/>
      <c r="O130" s="162"/>
      <c r="P130" s="162"/>
      <c r="Q130" s="3186"/>
      <c r="R130" s="3187"/>
      <c r="S130" s="3187"/>
      <c r="T130" s="3187"/>
      <c r="U130" s="3187"/>
      <c r="V130" s="3129"/>
      <c r="W130" s="3129"/>
      <c r="X130" s="3129"/>
      <c r="Y130" s="3129"/>
      <c r="Z130" s="3129"/>
      <c r="AA130" s="3129"/>
      <c r="AB130" s="3129"/>
      <c r="AC130" s="3129"/>
      <c r="AD130" s="3129"/>
      <c r="AE130" s="3130"/>
    </row>
    <row r="131" spans="1:31" ht="17">
      <c r="A131" s="159"/>
      <c r="B131" s="161"/>
      <c r="C131" s="160"/>
      <c r="D131" s="160"/>
      <c r="E131" s="162"/>
      <c r="F131" s="162"/>
      <c r="G131" s="162"/>
      <c r="H131" s="162"/>
      <c r="I131" s="162"/>
      <c r="J131" s="170"/>
      <c r="K131" s="170"/>
      <c r="L131" s="162"/>
      <c r="M131" s="162"/>
      <c r="N131" s="162"/>
      <c r="O131" s="162"/>
      <c r="P131" s="162"/>
      <c r="Q131" s="3186"/>
      <c r="R131" s="3187"/>
      <c r="S131" s="3187"/>
      <c r="T131" s="3187"/>
      <c r="U131" s="3187"/>
      <c r="V131" s="3129"/>
      <c r="W131" s="3129"/>
      <c r="X131" s="3129"/>
      <c r="Y131" s="3129"/>
      <c r="Z131" s="3129"/>
      <c r="AA131" s="3129"/>
      <c r="AB131" s="3129"/>
      <c r="AC131" s="3129"/>
      <c r="AD131" s="3129"/>
      <c r="AE131" s="3130"/>
    </row>
    <row r="132" spans="1:31" ht="17">
      <c r="A132" s="159"/>
      <c r="B132" s="160"/>
      <c r="C132" s="160"/>
      <c r="D132" s="160"/>
      <c r="E132" s="170"/>
      <c r="F132" s="170"/>
      <c r="G132" s="170"/>
      <c r="H132" s="170"/>
      <c r="I132" s="170"/>
      <c r="J132" s="170"/>
      <c r="K132" s="170"/>
      <c r="L132" s="162"/>
      <c r="M132" s="162"/>
      <c r="N132" s="162"/>
      <c r="O132" s="162"/>
      <c r="P132" s="162"/>
      <c r="Q132" s="3149" t="s">
        <v>5461</v>
      </c>
      <c r="R132" s="3150"/>
      <c r="S132" s="3150"/>
      <c r="T132" s="3150"/>
      <c r="U132" s="3150"/>
      <c r="V132" s="2652" t="s">
        <v>5462</v>
      </c>
      <c r="W132" s="2655"/>
      <c r="X132" s="2655" t="s">
        <v>5463</v>
      </c>
      <c r="Y132" s="2655"/>
      <c r="Z132" s="2655"/>
      <c r="AA132" s="2655"/>
      <c r="AB132" s="2655"/>
      <c r="AC132" s="2655"/>
      <c r="AD132" s="2655"/>
      <c r="AE132" s="3065"/>
    </row>
    <row r="133" spans="1:31" ht="17">
      <c r="A133" s="159"/>
      <c r="B133" s="160"/>
      <c r="C133" s="160"/>
      <c r="D133" s="160"/>
      <c r="E133" s="170"/>
      <c r="F133" s="170"/>
      <c r="G133" s="170"/>
      <c r="H133" s="170"/>
      <c r="I133" s="170"/>
      <c r="J133" s="170"/>
      <c r="K133" s="170"/>
      <c r="L133" s="162"/>
      <c r="M133" s="162"/>
      <c r="N133" s="162"/>
      <c r="O133" s="162"/>
      <c r="P133" s="162"/>
      <c r="Q133" s="3149"/>
      <c r="R133" s="3150"/>
      <c r="S133" s="3150"/>
      <c r="T133" s="3150"/>
      <c r="U133" s="3150"/>
      <c r="V133" s="2655"/>
      <c r="W133" s="2655"/>
      <c r="X133" s="2655"/>
      <c r="Y133" s="2655"/>
      <c r="Z133" s="2655"/>
      <c r="AA133" s="2655"/>
      <c r="AB133" s="2655"/>
      <c r="AC133" s="2655"/>
      <c r="AD133" s="2655"/>
      <c r="AE133" s="3065"/>
    </row>
    <row r="134" spans="1:31" ht="17">
      <c r="A134" s="159"/>
      <c r="B134" s="160"/>
      <c r="C134" s="160"/>
      <c r="D134" s="160"/>
      <c r="E134" s="170"/>
      <c r="F134" s="170"/>
      <c r="G134" s="170"/>
      <c r="H134" s="170"/>
      <c r="I134" s="170"/>
      <c r="J134" s="170"/>
      <c r="K134" s="170"/>
      <c r="L134" s="162"/>
      <c r="M134" s="162"/>
      <c r="N134" s="162"/>
      <c r="O134" s="162"/>
      <c r="P134" s="162"/>
      <c r="Q134" s="3149"/>
      <c r="R134" s="3150"/>
      <c r="S134" s="3150"/>
      <c r="T134" s="3150"/>
      <c r="U134" s="3150"/>
      <c r="V134" s="2655"/>
      <c r="W134" s="2655"/>
      <c r="X134" s="2655"/>
      <c r="Y134" s="2655"/>
      <c r="Z134" s="2655"/>
      <c r="AA134" s="2655"/>
      <c r="AB134" s="2655"/>
      <c r="AC134" s="2655"/>
      <c r="AD134" s="2655"/>
      <c r="AE134" s="3065"/>
    </row>
    <row r="135" spans="1:31" ht="17">
      <c r="A135" s="159"/>
      <c r="B135" s="160"/>
      <c r="C135" s="160"/>
      <c r="D135" s="160"/>
      <c r="E135" s="170"/>
      <c r="F135" s="170"/>
      <c r="G135" s="170"/>
      <c r="H135" s="170"/>
      <c r="I135" s="170"/>
      <c r="J135" s="170"/>
      <c r="K135" s="170"/>
      <c r="L135" s="162"/>
      <c r="M135" s="162"/>
      <c r="N135" s="162"/>
      <c r="O135" s="162"/>
      <c r="P135" s="162"/>
      <c r="Q135" s="3186" t="s">
        <v>5464</v>
      </c>
      <c r="R135" s="3187"/>
      <c r="S135" s="3187"/>
      <c r="T135" s="3187"/>
      <c r="U135" s="3187"/>
      <c r="V135" s="3179" t="s">
        <v>5465</v>
      </c>
      <c r="W135" s="3129"/>
      <c r="X135" s="3129" t="s">
        <v>5466</v>
      </c>
      <c r="Y135" s="3129"/>
      <c r="Z135" s="3129"/>
      <c r="AA135" s="3129"/>
      <c r="AB135" s="3129"/>
      <c r="AC135" s="3129"/>
      <c r="AD135" s="3129"/>
      <c r="AE135" s="3130"/>
    </row>
    <row r="136" spans="1:31" ht="17">
      <c r="A136" s="159"/>
      <c r="B136" s="160"/>
      <c r="C136" s="160"/>
      <c r="D136" s="160"/>
      <c r="E136" s="170"/>
      <c r="F136" s="170"/>
      <c r="G136" s="170"/>
      <c r="H136" s="170"/>
      <c r="I136" s="170"/>
      <c r="J136" s="170"/>
      <c r="K136" s="170"/>
      <c r="L136" s="162"/>
      <c r="M136" s="162"/>
      <c r="N136" s="162"/>
      <c r="O136" s="162"/>
      <c r="P136" s="162"/>
      <c r="Q136" s="3186"/>
      <c r="R136" s="3187"/>
      <c r="S136" s="3187"/>
      <c r="T136" s="3187"/>
      <c r="U136" s="3187"/>
      <c r="V136" s="3129"/>
      <c r="W136" s="3129"/>
      <c r="X136" s="3129"/>
      <c r="Y136" s="3129"/>
      <c r="Z136" s="3129"/>
      <c r="AA136" s="3129"/>
      <c r="AB136" s="3129"/>
      <c r="AC136" s="3129"/>
      <c r="AD136" s="3129"/>
      <c r="AE136" s="3130"/>
    </row>
    <row r="137" spans="1:31" ht="17">
      <c r="A137" s="159"/>
      <c r="B137" s="160"/>
      <c r="C137" s="160"/>
      <c r="D137" s="160"/>
      <c r="E137" s="170"/>
      <c r="F137" s="170"/>
      <c r="G137" s="170"/>
      <c r="H137" s="170"/>
      <c r="I137" s="170"/>
      <c r="J137" s="170"/>
      <c r="K137" s="170"/>
      <c r="L137" s="162"/>
      <c r="M137" s="162"/>
      <c r="N137" s="162"/>
      <c r="O137" s="162"/>
      <c r="P137" s="162"/>
      <c r="Q137" s="3186"/>
      <c r="R137" s="3187"/>
      <c r="S137" s="3187"/>
      <c r="T137" s="3187"/>
      <c r="U137" s="3187"/>
      <c r="V137" s="3129"/>
      <c r="W137" s="3129"/>
      <c r="X137" s="3129"/>
      <c r="Y137" s="3129"/>
      <c r="Z137" s="3129"/>
      <c r="AA137" s="3129"/>
      <c r="AB137" s="3129"/>
      <c r="AC137" s="3129"/>
      <c r="AD137" s="3129"/>
      <c r="AE137" s="3130"/>
    </row>
    <row r="138" spans="1:31" ht="17">
      <c r="A138" s="159"/>
      <c r="B138" s="160"/>
      <c r="C138" s="160"/>
      <c r="D138" s="160"/>
      <c r="E138" s="170"/>
      <c r="F138" s="170"/>
      <c r="G138" s="170"/>
      <c r="H138" s="170"/>
      <c r="I138" s="170"/>
      <c r="J138" s="170"/>
      <c r="K138" s="170"/>
      <c r="L138" s="162"/>
      <c r="M138" s="162"/>
      <c r="N138" s="162"/>
      <c r="O138" s="162"/>
      <c r="P138" s="162"/>
      <c r="Q138" s="3149" t="s">
        <v>5467</v>
      </c>
      <c r="R138" s="3150"/>
      <c r="S138" s="3150"/>
      <c r="T138" s="3150"/>
      <c r="U138" s="3150"/>
      <c r="V138" s="2652" t="s">
        <v>5468</v>
      </c>
      <c r="W138" s="2655"/>
      <c r="X138" s="2655" t="s">
        <v>5469</v>
      </c>
      <c r="Y138" s="2655"/>
      <c r="Z138" s="2655"/>
      <c r="AA138" s="2655"/>
      <c r="AB138" s="2655"/>
      <c r="AC138" s="2655"/>
      <c r="AD138" s="2655"/>
      <c r="AE138" s="3065"/>
    </row>
    <row r="139" spans="1:31" ht="17">
      <c r="A139" s="159"/>
      <c r="B139" s="160"/>
      <c r="C139" s="160"/>
      <c r="D139" s="160"/>
      <c r="E139" s="170"/>
      <c r="F139" s="170"/>
      <c r="G139" s="170"/>
      <c r="H139" s="170"/>
      <c r="I139" s="170"/>
      <c r="J139" s="170"/>
      <c r="K139" s="170"/>
      <c r="L139" s="162"/>
      <c r="M139" s="162"/>
      <c r="N139" s="162"/>
      <c r="O139" s="162"/>
      <c r="P139" s="162"/>
      <c r="Q139" s="3149"/>
      <c r="R139" s="3150"/>
      <c r="S139" s="3150"/>
      <c r="T139" s="3150"/>
      <c r="U139" s="3150"/>
      <c r="V139" s="2655"/>
      <c r="W139" s="2655"/>
      <c r="X139" s="2655"/>
      <c r="Y139" s="2655"/>
      <c r="Z139" s="2655"/>
      <c r="AA139" s="2655"/>
      <c r="AB139" s="2655"/>
      <c r="AC139" s="2655"/>
      <c r="AD139" s="2655"/>
      <c r="AE139" s="3065"/>
    </row>
    <row r="140" spans="1:31" ht="17">
      <c r="A140" s="159"/>
      <c r="B140" s="160"/>
      <c r="C140" s="160"/>
      <c r="D140" s="160"/>
      <c r="E140" s="170"/>
      <c r="F140" s="170"/>
      <c r="G140" s="170"/>
      <c r="H140" s="170"/>
      <c r="I140" s="170"/>
      <c r="J140" s="170"/>
      <c r="K140" s="170"/>
      <c r="L140" s="162"/>
      <c r="M140" s="162"/>
      <c r="N140" s="162"/>
      <c r="O140" s="162"/>
      <c r="P140" s="162"/>
      <c r="Q140" s="3151"/>
      <c r="R140" s="3152"/>
      <c r="S140" s="3152"/>
      <c r="T140" s="3152"/>
      <c r="U140" s="3152"/>
      <c r="V140" s="2860"/>
      <c r="W140" s="2860"/>
      <c r="X140" s="2860"/>
      <c r="Y140" s="2860"/>
      <c r="Z140" s="2860"/>
      <c r="AA140" s="2860"/>
      <c r="AB140" s="2860"/>
      <c r="AC140" s="2860"/>
      <c r="AD140" s="2860"/>
      <c r="AE140" s="2861"/>
    </row>
    <row r="141" spans="1:31">
      <c r="A141" s="159"/>
      <c r="B141" s="33"/>
      <c r="C141" s="33"/>
      <c r="D141" s="33"/>
      <c r="E141" s="33"/>
      <c r="F141" s="33"/>
      <c r="G141" s="33"/>
      <c r="H141" s="33"/>
    </row>
    <row r="142" spans="1:31" ht="40">
      <c r="A142" s="159"/>
      <c r="B142" s="201"/>
      <c r="C142" s="201"/>
      <c r="D142" s="201"/>
      <c r="E142" s="201"/>
      <c r="F142" s="201"/>
      <c r="G142" s="201"/>
      <c r="H142" s="201"/>
      <c r="I142" s="201"/>
      <c r="J142" s="201"/>
      <c r="K142" s="201"/>
      <c r="L142" s="201"/>
      <c r="M142" s="201"/>
      <c r="N142" s="201"/>
      <c r="O142" s="201"/>
      <c r="P142" s="201"/>
      <c r="Q142" s="201"/>
    </row>
    <row r="143" spans="1:31" ht="40">
      <c r="A143" s="159"/>
      <c r="B143" s="201"/>
      <c r="C143" s="201"/>
      <c r="D143" s="201"/>
      <c r="E143" s="201"/>
      <c r="F143" s="201"/>
      <c r="G143" s="201"/>
      <c r="H143" s="201"/>
      <c r="I143" s="201"/>
      <c r="J143" s="201"/>
      <c r="K143" s="201"/>
      <c r="L143" s="201"/>
      <c r="M143" s="201"/>
      <c r="N143" s="201"/>
      <c r="O143" s="201"/>
      <c r="P143" s="201"/>
      <c r="Q143" s="201"/>
    </row>
    <row r="144" spans="1:31" ht="40">
      <c r="A144" s="159"/>
      <c r="B144" s="201"/>
      <c r="C144" s="201"/>
      <c r="D144" s="201"/>
      <c r="E144" s="201"/>
      <c r="F144" s="201"/>
      <c r="G144" s="201"/>
      <c r="H144" s="201"/>
      <c r="I144" s="201"/>
      <c r="J144" s="201"/>
      <c r="K144" s="201"/>
      <c r="L144" s="201"/>
      <c r="M144" s="201"/>
      <c r="N144" s="201"/>
      <c r="O144" s="201"/>
      <c r="P144" s="201"/>
      <c r="Q144" s="201"/>
    </row>
    <row r="145" spans="1:18" ht="17">
      <c r="A145" s="159"/>
      <c r="B145" s="202"/>
      <c r="C145" s="202"/>
      <c r="D145" s="202"/>
      <c r="E145" s="202"/>
      <c r="F145" s="202"/>
      <c r="G145" s="160"/>
      <c r="H145" s="160"/>
      <c r="I145" s="170"/>
      <c r="J145" s="170"/>
      <c r="K145" s="170"/>
      <c r="L145" s="170"/>
      <c r="M145" s="170"/>
      <c r="N145" s="170"/>
      <c r="O145" s="170"/>
      <c r="P145" s="170"/>
      <c r="Q145" s="170"/>
    </row>
    <row r="146" spans="1:18" ht="23" customHeight="1">
      <c r="A146" s="159"/>
      <c r="B146" s="203"/>
      <c r="C146" s="202"/>
      <c r="D146" s="3056"/>
      <c r="E146" s="3056"/>
      <c r="F146" s="3056"/>
      <c r="G146" s="3056"/>
      <c r="H146" s="160"/>
      <c r="I146" s="3057"/>
      <c r="J146" s="3057"/>
      <c r="K146" s="170"/>
      <c r="L146" s="3057"/>
      <c r="M146" s="3057"/>
      <c r="N146" s="170"/>
      <c r="O146" s="3057"/>
      <c r="P146" s="3057"/>
      <c r="Q146" s="3057"/>
    </row>
    <row r="147" spans="1:18" ht="17">
      <c r="A147" s="159"/>
      <c r="B147" s="2573"/>
      <c r="C147" s="202"/>
      <c r="D147" s="2573"/>
      <c r="E147" s="2656"/>
      <c r="F147" s="2573"/>
      <c r="G147" s="2573"/>
      <c r="H147" s="202"/>
      <c r="I147" s="2652"/>
      <c r="J147" s="2652"/>
      <c r="K147" s="170"/>
      <c r="L147" s="2652"/>
      <c r="M147" s="2652"/>
      <c r="N147" s="170"/>
      <c r="O147" s="2652"/>
      <c r="P147" s="2655"/>
      <c r="Q147" s="2655"/>
    </row>
    <row r="148" spans="1:18" ht="17">
      <c r="A148" s="159"/>
      <c r="B148" s="2630"/>
      <c r="C148" s="202"/>
      <c r="D148" s="2656"/>
      <c r="E148" s="2656"/>
      <c r="F148" s="2573"/>
      <c r="G148" s="2573"/>
      <c r="H148" s="202"/>
      <c r="I148" s="2652"/>
      <c r="J148" s="2652"/>
      <c r="K148" s="170"/>
      <c r="L148" s="2652"/>
      <c r="M148" s="2652"/>
      <c r="N148" s="170"/>
      <c r="O148" s="2655"/>
      <c r="P148" s="2655"/>
      <c r="Q148" s="2655"/>
    </row>
    <row r="149" spans="1:18" ht="17">
      <c r="A149" s="159"/>
      <c r="B149" s="2630"/>
      <c r="C149" s="202"/>
      <c r="D149" s="2656"/>
      <c r="E149" s="2656"/>
      <c r="F149" s="2573"/>
      <c r="G149" s="2573"/>
      <c r="H149" s="202"/>
      <c r="I149" s="2652"/>
      <c r="J149" s="2652"/>
      <c r="K149" s="170"/>
      <c r="L149" s="2652"/>
      <c r="M149" s="2652"/>
      <c r="N149" s="170"/>
      <c r="O149" s="2655"/>
      <c r="P149" s="2655"/>
      <c r="Q149" s="2655"/>
    </row>
    <row r="150" spans="1:18" ht="17">
      <c r="A150" s="159"/>
      <c r="B150" s="2630"/>
      <c r="C150" s="202"/>
      <c r="D150" s="2656"/>
      <c r="E150" s="2656"/>
      <c r="F150" s="2573"/>
      <c r="G150" s="2573"/>
      <c r="H150" s="202"/>
      <c r="I150" s="2652"/>
      <c r="J150" s="2652"/>
      <c r="K150" s="170"/>
      <c r="L150" s="2652"/>
      <c r="M150" s="2652"/>
      <c r="N150" s="170"/>
      <c r="O150" s="2655"/>
      <c r="P150" s="2655"/>
      <c r="Q150" s="2655"/>
    </row>
    <row r="151" spans="1:18" ht="17">
      <c r="A151" s="159"/>
      <c r="B151" s="2630"/>
      <c r="C151" s="202"/>
      <c r="D151" s="2656"/>
      <c r="E151" s="2656"/>
      <c r="F151" s="2573"/>
      <c r="G151" s="2573"/>
      <c r="H151" s="202"/>
      <c r="I151" s="2652"/>
      <c r="J151" s="2652"/>
      <c r="K151" s="170"/>
      <c r="L151" s="2652"/>
      <c r="M151" s="2652"/>
      <c r="N151" s="170"/>
      <c r="O151" s="2655"/>
      <c r="P151" s="2655"/>
      <c r="Q151" s="2655"/>
    </row>
    <row r="152" spans="1:18" ht="17">
      <c r="A152" s="159"/>
      <c r="B152" s="2630"/>
      <c r="C152" s="202"/>
      <c r="D152" s="2656"/>
      <c r="E152" s="2656"/>
      <c r="F152" s="2573"/>
      <c r="G152" s="2573"/>
      <c r="H152" s="202"/>
      <c r="I152" s="2652"/>
      <c r="J152" s="2652"/>
      <c r="K152" s="170"/>
      <c r="L152" s="2652"/>
      <c r="M152" s="2652"/>
      <c r="N152" s="170"/>
      <c r="O152" s="2655"/>
      <c r="P152" s="2655"/>
      <c r="Q152" s="2655"/>
    </row>
    <row r="153" spans="1:18" ht="17">
      <c r="A153" s="159"/>
      <c r="B153" s="2630"/>
      <c r="C153" s="202"/>
      <c r="D153" s="2656"/>
      <c r="E153" s="2656"/>
      <c r="F153" s="2573"/>
      <c r="G153" s="2573"/>
      <c r="H153" s="202"/>
      <c r="I153" s="2652"/>
      <c r="J153" s="2652"/>
      <c r="K153" s="170"/>
      <c r="L153" s="2652"/>
      <c r="M153" s="2652"/>
      <c r="N153" s="170"/>
      <c r="O153" s="2655"/>
      <c r="P153" s="2655"/>
      <c r="Q153" s="2655"/>
    </row>
    <row r="154" spans="1:18" ht="17">
      <c r="A154" s="159"/>
      <c r="B154" s="2630"/>
      <c r="C154" s="202"/>
      <c r="D154" s="2656"/>
      <c r="E154" s="2656"/>
      <c r="F154" s="2573"/>
      <c r="G154" s="2573"/>
      <c r="H154" s="202"/>
      <c r="I154" s="2652"/>
      <c r="J154" s="2652"/>
      <c r="K154" s="170"/>
      <c r="L154" s="2652"/>
      <c r="M154" s="2652"/>
      <c r="N154" s="170"/>
      <c r="O154" s="2655"/>
      <c r="P154" s="2655"/>
      <c r="Q154" s="2655"/>
    </row>
    <row r="155" spans="1:18" ht="17">
      <c r="A155" s="159"/>
      <c r="B155" s="202"/>
      <c r="C155" s="202"/>
      <c r="D155" s="202"/>
      <c r="E155" s="202"/>
      <c r="F155" s="202"/>
      <c r="G155" s="202"/>
      <c r="H155" s="202"/>
      <c r="I155" s="170"/>
      <c r="J155" s="170"/>
      <c r="K155" s="170"/>
      <c r="L155" s="170"/>
      <c r="M155" s="170"/>
      <c r="N155" s="170"/>
      <c r="O155" s="170"/>
      <c r="P155" s="170"/>
      <c r="Q155" s="170"/>
    </row>
    <row r="156" spans="1:18" ht="17">
      <c r="A156" s="159"/>
      <c r="B156" s="202"/>
      <c r="C156" s="202"/>
      <c r="D156" s="202"/>
      <c r="E156" s="202"/>
      <c r="F156" s="202"/>
      <c r="G156" s="202"/>
      <c r="H156" s="202"/>
      <c r="I156" s="170"/>
      <c r="J156" s="170"/>
      <c r="K156" s="170"/>
      <c r="L156" s="170"/>
      <c r="M156" s="170"/>
      <c r="N156" s="170"/>
      <c r="O156" s="170"/>
      <c r="P156" s="170"/>
      <c r="Q156" s="170"/>
    </row>
    <row r="157" spans="1:18" ht="17">
      <c r="A157" s="159"/>
      <c r="B157" s="3056"/>
      <c r="C157" s="3056"/>
      <c r="D157" s="3056"/>
      <c r="E157" s="202"/>
      <c r="F157" s="3056"/>
      <c r="G157" s="3056"/>
      <c r="H157" s="3056"/>
      <c r="I157" s="3056"/>
      <c r="J157" s="170"/>
      <c r="K157" s="3057"/>
      <c r="L157" s="3057"/>
      <c r="M157" s="3057"/>
      <c r="N157" s="3057"/>
      <c r="O157" s="3057"/>
      <c r="P157" s="3057"/>
      <c r="Q157" s="3057"/>
    </row>
    <row r="158" spans="1:18" ht="17">
      <c r="A158" s="159"/>
      <c r="B158" s="3056"/>
      <c r="C158" s="3056"/>
      <c r="D158" s="3056"/>
      <c r="E158" s="202"/>
      <c r="F158" s="3056"/>
      <c r="G158" s="3056"/>
      <c r="H158" s="3056"/>
      <c r="I158" s="3056"/>
      <c r="J158" s="170"/>
      <c r="K158" s="3057"/>
      <c r="L158" s="3057"/>
      <c r="M158" s="3057"/>
      <c r="N158" s="3057"/>
      <c r="O158" s="3057"/>
      <c r="P158" s="3057"/>
      <c r="Q158" s="3057"/>
    </row>
    <row r="159" spans="1:18" ht="17">
      <c r="A159" s="159"/>
      <c r="B159" s="2579"/>
      <c r="C159" s="2573"/>
      <c r="D159" s="2573"/>
      <c r="E159" s="202"/>
      <c r="F159" s="2573"/>
      <c r="G159" s="2573"/>
      <c r="H159" s="2579"/>
      <c r="I159" s="2579"/>
      <c r="J159" s="170"/>
      <c r="K159" s="2652"/>
      <c r="L159" s="2652"/>
      <c r="M159" s="2652"/>
      <c r="N159" s="2652"/>
      <c r="O159" s="3180"/>
      <c r="P159" s="3180"/>
      <c r="Q159" s="3180"/>
      <c r="R159" s="162"/>
    </row>
    <row r="160" spans="1:18" ht="17">
      <c r="A160" s="159"/>
      <c r="B160" s="2579"/>
      <c r="C160" s="2573"/>
      <c r="D160" s="2573"/>
      <c r="E160" s="202"/>
      <c r="F160" s="2573"/>
      <c r="G160" s="2573"/>
      <c r="H160" s="2579"/>
      <c r="I160" s="2579"/>
      <c r="J160" s="170"/>
      <c r="K160" s="2652"/>
      <c r="L160" s="2652"/>
      <c r="M160" s="2652"/>
      <c r="N160" s="2652"/>
      <c r="O160" s="3180"/>
      <c r="P160" s="3180"/>
      <c r="Q160" s="3180"/>
      <c r="R160" s="162"/>
    </row>
    <row r="161" spans="2:18" ht="17">
      <c r="B161" s="2579"/>
      <c r="C161" s="204"/>
      <c r="D161" s="204"/>
      <c r="E161" s="160"/>
      <c r="F161" s="2573"/>
      <c r="G161" s="2573"/>
      <c r="H161" s="2579"/>
      <c r="I161" s="2579"/>
      <c r="J161" s="170"/>
      <c r="K161" s="3194"/>
      <c r="L161" s="3194"/>
      <c r="M161" s="3194"/>
      <c r="N161" s="3194"/>
      <c r="O161" s="3194"/>
      <c r="P161" s="3194"/>
      <c r="Q161" s="3194"/>
    </row>
    <row r="162" spans="2:18" ht="17">
      <c r="B162" s="2579"/>
      <c r="C162" s="204"/>
      <c r="D162" s="204"/>
      <c r="E162" s="160"/>
      <c r="F162" s="2573"/>
      <c r="G162" s="2573"/>
      <c r="H162" s="2579"/>
      <c r="I162" s="2579"/>
      <c r="J162" s="170"/>
      <c r="K162" s="3194"/>
      <c r="L162" s="3194"/>
      <c r="M162" s="3194"/>
      <c r="N162" s="3194"/>
      <c r="O162" s="3194"/>
      <c r="P162" s="3194"/>
      <c r="Q162" s="3194"/>
    </row>
    <row r="163" spans="2:18" ht="17">
      <c r="B163" s="2579"/>
      <c r="C163" s="204"/>
      <c r="D163" s="204"/>
      <c r="E163" s="160"/>
      <c r="F163" s="2573"/>
      <c r="G163" s="2573"/>
      <c r="H163" s="2579"/>
      <c r="I163" s="2579"/>
      <c r="J163" s="170"/>
      <c r="K163" s="2652"/>
      <c r="L163" s="2652"/>
      <c r="M163" s="2652"/>
      <c r="N163" s="2652"/>
      <c r="O163" s="2652"/>
      <c r="P163" s="2652"/>
      <c r="Q163" s="2652"/>
    </row>
    <row r="164" spans="2:18" ht="17">
      <c r="B164" s="2579"/>
      <c r="C164" s="204"/>
      <c r="D164" s="204"/>
      <c r="E164" s="160"/>
      <c r="F164" s="2573"/>
      <c r="G164" s="2573"/>
      <c r="H164" s="2579"/>
      <c r="I164" s="2579"/>
      <c r="J164" s="170"/>
      <c r="K164" s="2652"/>
      <c r="L164" s="2652"/>
      <c r="M164" s="2652"/>
      <c r="N164" s="2652"/>
      <c r="O164" s="2652"/>
      <c r="P164" s="2652"/>
      <c r="Q164" s="2652"/>
    </row>
    <row r="165" spans="2:18" ht="17">
      <c r="B165" s="2579"/>
      <c r="C165" s="204"/>
      <c r="D165" s="204"/>
      <c r="E165" s="160"/>
      <c r="F165" s="2573"/>
      <c r="G165" s="2573"/>
      <c r="H165" s="2579"/>
      <c r="I165" s="2579"/>
      <c r="J165" s="170"/>
      <c r="K165" s="2652"/>
      <c r="L165" s="2652"/>
      <c r="M165" s="2652"/>
      <c r="N165" s="2652"/>
      <c r="O165" s="2652"/>
      <c r="P165" s="2652"/>
      <c r="Q165" s="2652"/>
    </row>
    <row r="166" spans="2:18" ht="17">
      <c r="B166" s="2579"/>
      <c r="C166" s="204"/>
      <c r="D166" s="204"/>
      <c r="E166" s="160"/>
      <c r="F166" s="2573"/>
      <c r="G166" s="2573"/>
      <c r="H166" s="2579"/>
      <c r="I166" s="2579"/>
      <c r="J166" s="170"/>
      <c r="K166" s="2652"/>
      <c r="L166" s="2652"/>
      <c r="M166" s="2652"/>
      <c r="N166" s="2652"/>
      <c r="O166" s="2652"/>
      <c r="P166" s="2652"/>
      <c r="Q166" s="2652"/>
    </row>
    <row r="167" spans="2:18" ht="17">
      <c r="B167" s="2579"/>
      <c r="C167" s="169"/>
      <c r="D167" s="204"/>
      <c r="E167" s="160"/>
      <c r="F167" s="2573"/>
      <c r="G167" s="2573"/>
      <c r="H167" s="2579"/>
      <c r="I167" s="2579"/>
      <c r="J167" s="170"/>
      <c r="K167" s="2652"/>
      <c r="L167" s="2652"/>
      <c r="M167" s="2652"/>
      <c r="N167" s="2652"/>
      <c r="O167" s="2652"/>
      <c r="P167" s="2652"/>
      <c r="Q167" s="2652"/>
      <c r="R167" s="162"/>
    </row>
    <row r="168" spans="2:18" ht="17">
      <c r="B168" s="160"/>
      <c r="D168" s="160"/>
      <c r="E168" s="160"/>
      <c r="F168" s="160"/>
      <c r="G168" s="160"/>
      <c r="H168" s="160"/>
      <c r="I168" s="170"/>
      <c r="J168" s="170"/>
      <c r="K168" s="162"/>
      <c r="L168" s="162"/>
      <c r="M168" s="162"/>
      <c r="N168" s="162"/>
      <c r="O168" s="161"/>
      <c r="P168" s="161"/>
      <c r="Q168" s="161"/>
      <c r="R168" s="162"/>
    </row>
    <row r="169" spans="2:18" ht="17">
      <c r="B169" s="160"/>
      <c r="C169" s="160"/>
      <c r="D169" s="160"/>
      <c r="E169" s="160"/>
      <c r="F169" s="160"/>
      <c r="G169" s="160"/>
      <c r="H169" s="160"/>
      <c r="I169" s="170"/>
      <c r="J169" s="170"/>
      <c r="K169" s="162"/>
      <c r="L169" s="162"/>
      <c r="M169" s="162"/>
      <c r="N169" s="162"/>
      <c r="O169" s="161"/>
      <c r="P169" s="161"/>
      <c r="Q169" s="161"/>
      <c r="R169" s="162"/>
    </row>
    <row r="170" spans="2:18" ht="17">
      <c r="B170" s="3057"/>
      <c r="C170" s="3057"/>
      <c r="D170" s="3057"/>
      <c r="E170" s="160"/>
      <c r="F170" s="3156"/>
      <c r="G170" s="3156"/>
      <c r="H170" s="160"/>
      <c r="I170" s="3057"/>
      <c r="J170" s="3057"/>
      <c r="K170" s="3057"/>
      <c r="L170" s="3057"/>
      <c r="M170" s="3057"/>
      <c r="N170" s="3057"/>
      <c r="O170" s="3057"/>
      <c r="P170" s="3057"/>
      <c r="Q170" s="3057"/>
      <c r="R170" s="162"/>
    </row>
    <row r="171" spans="2:18" ht="17">
      <c r="B171" s="3057"/>
      <c r="C171" s="3057"/>
      <c r="D171" s="3057"/>
      <c r="E171" s="160"/>
      <c r="F171" s="3156"/>
      <c r="G171" s="3156"/>
      <c r="H171" s="160"/>
      <c r="I171" s="3057"/>
      <c r="J171" s="3057"/>
      <c r="K171" s="3057"/>
      <c r="L171" s="3057"/>
      <c r="M171" s="3057"/>
      <c r="N171" s="3057"/>
      <c r="O171" s="3057"/>
      <c r="P171" s="3057"/>
      <c r="Q171" s="3057"/>
      <c r="R171" s="162"/>
    </row>
    <row r="172" spans="2:18" ht="17">
      <c r="B172" s="2693"/>
      <c r="C172" s="2652"/>
      <c r="D172" s="2652"/>
      <c r="E172" s="160"/>
      <c r="F172" s="2652"/>
      <c r="G172" s="2652"/>
      <c r="H172" s="160"/>
      <c r="I172" s="2652"/>
      <c r="J172" s="2652"/>
      <c r="K172" s="2652"/>
      <c r="L172" s="2652"/>
      <c r="M172" s="2652"/>
      <c r="N172" s="2652"/>
      <c r="O172" s="2652"/>
      <c r="P172" s="2652"/>
      <c r="Q172" s="2652"/>
      <c r="R172" s="162"/>
    </row>
    <row r="173" spans="2:18" ht="17">
      <c r="B173" s="2693"/>
      <c r="C173" s="2652"/>
      <c r="D173" s="2652"/>
      <c r="E173" s="160"/>
      <c r="F173" s="2652"/>
      <c r="G173" s="2652"/>
      <c r="I173" s="2652"/>
      <c r="J173" s="2652"/>
      <c r="K173" s="2652"/>
      <c r="L173" s="2652"/>
      <c r="M173" s="2652"/>
      <c r="N173" s="2652"/>
      <c r="O173" s="2652"/>
      <c r="P173" s="2652"/>
      <c r="Q173" s="2652"/>
      <c r="R173" s="162"/>
    </row>
    <row r="174" spans="2:18" ht="17">
      <c r="B174" s="2693"/>
      <c r="C174" s="2652"/>
      <c r="D174" s="2652"/>
      <c r="E174" s="160"/>
      <c r="F174" s="2652"/>
      <c r="G174" s="2652"/>
      <c r="I174" s="2655"/>
      <c r="J174" s="2652"/>
      <c r="K174" s="2652"/>
      <c r="L174" s="2652"/>
      <c r="M174" s="2652"/>
      <c r="N174" s="2652"/>
      <c r="O174" s="2652"/>
      <c r="P174" s="2652"/>
      <c r="Q174" s="2652"/>
      <c r="R174" s="162"/>
    </row>
    <row r="175" spans="2:18" ht="16">
      <c r="B175" s="2693"/>
      <c r="C175" s="2652"/>
      <c r="D175" s="2652"/>
      <c r="E175" s="160"/>
      <c r="F175" s="2652"/>
      <c r="G175" s="2652"/>
      <c r="H175" s="160"/>
      <c r="I175" s="2655"/>
      <c r="J175" s="2652"/>
      <c r="K175" s="2652"/>
      <c r="L175" s="2652"/>
      <c r="M175" s="2652"/>
      <c r="N175" s="2652"/>
      <c r="O175" s="2652"/>
      <c r="P175" s="2652"/>
      <c r="Q175" s="2652"/>
    </row>
    <row r="176" spans="2:18" ht="16">
      <c r="B176" s="2693"/>
      <c r="C176" s="2652"/>
      <c r="D176" s="2652"/>
      <c r="E176" s="160"/>
      <c r="F176" s="2652"/>
      <c r="G176" s="2652"/>
      <c r="H176" s="160"/>
      <c r="I176" s="2655"/>
      <c r="J176" s="2652"/>
      <c r="K176" s="2652"/>
      <c r="L176" s="2652"/>
      <c r="M176" s="2652"/>
      <c r="N176" s="2652"/>
      <c r="O176" s="2652"/>
      <c r="P176" s="2652"/>
      <c r="Q176" s="2652"/>
    </row>
    <row r="177" spans="2:17" ht="17">
      <c r="B177" s="2693"/>
      <c r="C177" s="2652"/>
      <c r="D177" s="2652"/>
      <c r="E177" s="160"/>
      <c r="F177" s="2652"/>
      <c r="G177" s="2652"/>
      <c r="H177" s="160"/>
      <c r="I177" s="169"/>
      <c r="J177" s="2655"/>
      <c r="K177" s="2655"/>
      <c r="L177" s="2655"/>
      <c r="M177" s="2652"/>
      <c r="N177" s="2652"/>
      <c r="O177" s="2652"/>
      <c r="P177" s="2652"/>
      <c r="Q177" s="2652"/>
    </row>
    <row r="178" spans="2:17" ht="17">
      <c r="B178" s="2693"/>
      <c r="C178" s="2652"/>
      <c r="D178" s="2652"/>
      <c r="E178" s="160"/>
      <c r="F178" s="2652"/>
      <c r="G178" s="2652"/>
      <c r="H178" s="160"/>
      <c r="I178" s="169"/>
      <c r="J178" s="2655"/>
      <c r="K178" s="2655"/>
      <c r="L178" s="2655"/>
      <c r="M178" s="2652"/>
      <c r="N178" s="2652"/>
      <c r="O178" s="2652"/>
      <c r="P178" s="2652"/>
      <c r="Q178" s="2652"/>
    </row>
    <row r="179" spans="2:17" ht="17">
      <c r="B179" s="2693"/>
      <c r="C179" s="2652"/>
      <c r="D179" s="2652"/>
      <c r="E179" s="160"/>
      <c r="F179" s="2652"/>
      <c r="G179" s="2652"/>
      <c r="H179" s="160"/>
      <c r="I179" s="169"/>
      <c r="J179" s="2655"/>
      <c r="K179" s="2655"/>
      <c r="L179" s="2655"/>
      <c r="M179" s="2652"/>
      <c r="N179" s="2652"/>
      <c r="O179" s="2652"/>
      <c r="P179" s="2652"/>
      <c r="Q179" s="2652"/>
    </row>
    <row r="180" spans="2:17" ht="17">
      <c r="B180" s="2693"/>
      <c r="C180" s="2652"/>
      <c r="D180" s="2652"/>
      <c r="E180" s="160"/>
      <c r="F180" s="2652"/>
      <c r="G180" s="2652"/>
      <c r="H180" s="160"/>
      <c r="I180" s="2655"/>
      <c r="J180" s="2655"/>
      <c r="K180" s="2655"/>
      <c r="L180" s="2655"/>
      <c r="M180" s="2652"/>
      <c r="N180" s="2652"/>
      <c r="O180" s="2652"/>
      <c r="P180" s="2652"/>
      <c r="Q180" s="2652"/>
    </row>
    <row r="181" spans="2:17" ht="16">
      <c r="B181" s="160"/>
      <c r="C181" s="160"/>
      <c r="D181" s="160"/>
      <c r="E181" s="160"/>
      <c r="F181" s="160"/>
      <c r="G181" s="160"/>
      <c r="H181" s="160"/>
      <c r="I181" s="2652"/>
      <c r="J181" s="2652"/>
      <c r="K181" s="2652"/>
      <c r="L181" s="2652"/>
      <c r="M181" s="2652"/>
      <c r="N181" s="2652"/>
      <c r="O181" s="2652"/>
      <c r="P181" s="2652"/>
      <c r="Q181" s="2652"/>
    </row>
    <row r="182" spans="2:17" ht="16">
      <c r="B182" s="160"/>
      <c r="C182" s="160"/>
      <c r="D182" s="160"/>
      <c r="E182" s="160"/>
      <c r="F182" s="160"/>
      <c r="G182" s="160"/>
      <c r="H182" s="160"/>
      <c r="I182" s="2652"/>
      <c r="J182" s="2652"/>
      <c r="K182" s="2652"/>
      <c r="L182" s="2652"/>
      <c r="M182" s="2652"/>
      <c r="N182" s="2652"/>
      <c r="O182" s="2652"/>
      <c r="P182" s="2652"/>
      <c r="Q182" s="2652"/>
    </row>
    <row r="183" spans="2:17" ht="16">
      <c r="B183" s="160"/>
      <c r="C183" s="160"/>
      <c r="D183" s="160"/>
      <c r="E183" s="160"/>
      <c r="F183" s="160"/>
      <c r="G183" s="160"/>
      <c r="H183" s="160"/>
      <c r="I183" s="2652"/>
      <c r="J183" s="2652"/>
      <c r="K183" s="2652"/>
      <c r="L183" s="2652"/>
      <c r="M183" s="2652"/>
      <c r="N183" s="2652"/>
      <c r="O183" s="2652"/>
      <c r="P183" s="2652"/>
      <c r="Q183" s="2652"/>
    </row>
    <row r="184" spans="2:17" ht="17">
      <c r="B184" s="160"/>
      <c r="C184" s="160"/>
      <c r="D184" s="160"/>
      <c r="E184" s="160"/>
      <c r="F184" s="160"/>
      <c r="G184" s="160"/>
      <c r="H184" s="160"/>
      <c r="I184" s="170"/>
      <c r="J184" s="170"/>
      <c r="K184" s="170"/>
      <c r="L184" s="170"/>
      <c r="M184" s="170"/>
      <c r="N184" s="170"/>
      <c r="O184" s="170"/>
      <c r="P184" s="170"/>
      <c r="Q184" s="170"/>
    </row>
    <row r="185" spans="2:17" ht="15" customHeight="1">
      <c r="B185" s="3157"/>
      <c r="C185" s="3157"/>
      <c r="D185" s="3157"/>
      <c r="E185" s="3157"/>
      <c r="F185" s="3157"/>
      <c r="G185" s="3157"/>
      <c r="H185" s="3157"/>
      <c r="I185" s="3157"/>
      <c r="J185" s="3157"/>
      <c r="K185" s="3157"/>
      <c r="L185" s="3157"/>
      <c r="M185" s="3157"/>
      <c r="N185" s="3157"/>
      <c r="O185" s="3157"/>
      <c r="P185" s="3157"/>
      <c r="Q185" s="3157"/>
    </row>
    <row r="186" spans="2:17" ht="15" customHeight="1">
      <c r="B186" s="3157"/>
      <c r="C186" s="3157"/>
      <c r="D186" s="3157"/>
      <c r="E186" s="3157"/>
      <c r="F186" s="3157"/>
      <c r="G186" s="3157"/>
      <c r="H186" s="3157"/>
      <c r="I186" s="3157"/>
      <c r="J186" s="3157"/>
      <c r="K186" s="3157"/>
      <c r="L186" s="3157"/>
      <c r="M186" s="3157"/>
      <c r="N186" s="3157"/>
      <c r="O186" s="3157"/>
      <c r="P186" s="3157"/>
      <c r="Q186" s="3157"/>
    </row>
    <row r="187" spans="2:17" ht="17" customHeight="1">
      <c r="B187" s="2788"/>
      <c r="C187" s="2788"/>
      <c r="D187" s="2788"/>
      <c r="E187" s="2788"/>
      <c r="F187" s="2788"/>
      <c r="G187" s="2788"/>
      <c r="H187" s="2788"/>
      <c r="I187" s="2788"/>
      <c r="J187" s="2788"/>
      <c r="K187" s="2788"/>
      <c r="L187" s="2788"/>
      <c r="M187" s="2788"/>
      <c r="N187" s="2788"/>
      <c r="O187" s="2788"/>
      <c r="P187" s="2788"/>
      <c r="Q187" s="2788"/>
    </row>
    <row r="188" spans="2:17" ht="17" customHeight="1">
      <c r="B188" s="2788"/>
      <c r="C188" s="2788"/>
      <c r="D188" s="2714"/>
      <c r="E188" s="3067"/>
      <c r="F188" s="3067"/>
      <c r="G188" s="3067"/>
      <c r="H188" s="3067"/>
      <c r="I188" s="3067"/>
      <c r="J188" s="3067"/>
      <c r="K188" s="3067"/>
      <c r="L188" s="3067"/>
      <c r="M188" s="3067"/>
      <c r="N188" s="3067"/>
      <c r="O188" s="3067"/>
      <c r="P188" s="3067"/>
      <c r="Q188" s="3067"/>
    </row>
    <row r="189" spans="2:17" ht="17" customHeight="1">
      <c r="B189" s="2788"/>
      <c r="C189" s="2788"/>
      <c r="D189" s="3067"/>
      <c r="E189" s="3067"/>
      <c r="F189" s="3067"/>
      <c r="G189" s="3067"/>
      <c r="H189" s="3067"/>
      <c r="I189" s="3067"/>
      <c r="J189" s="3067"/>
      <c r="K189" s="3067"/>
      <c r="L189" s="3067"/>
      <c r="M189" s="3067"/>
      <c r="N189" s="3067"/>
      <c r="O189" s="3067"/>
      <c r="P189" s="3067"/>
      <c r="Q189" s="3067"/>
    </row>
    <row r="190" spans="2:17" ht="17" customHeight="1">
      <c r="B190" s="2788"/>
      <c r="C190" s="2788"/>
      <c r="D190" s="3067"/>
      <c r="E190" s="3067"/>
      <c r="F190" s="3067"/>
      <c r="G190" s="3067"/>
      <c r="H190" s="3067"/>
      <c r="I190" s="3067"/>
      <c r="J190" s="3067"/>
      <c r="K190" s="3067"/>
      <c r="L190" s="3067"/>
      <c r="M190" s="3067"/>
      <c r="N190" s="3067"/>
      <c r="O190" s="3067"/>
      <c r="P190" s="3067"/>
      <c r="Q190" s="3067"/>
    </row>
    <row r="191" spans="2:17" ht="17" customHeight="1">
      <c r="B191" s="2788"/>
      <c r="C191" s="2788"/>
      <c r="D191" s="3067"/>
      <c r="E191" s="3067"/>
      <c r="F191" s="3067"/>
      <c r="G191" s="3067"/>
      <c r="H191" s="3067"/>
      <c r="I191" s="3067"/>
      <c r="J191" s="3067"/>
      <c r="K191" s="3067"/>
      <c r="L191" s="3067"/>
      <c r="M191" s="3067"/>
      <c r="N191" s="3067"/>
      <c r="O191" s="3067"/>
      <c r="P191" s="3067"/>
      <c r="Q191" s="3067"/>
    </row>
    <row r="192" spans="2:17" ht="17" customHeight="1">
      <c r="B192" s="2788"/>
      <c r="C192" s="2788"/>
      <c r="D192" s="2714"/>
      <c r="E192" s="3067"/>
      <c r="F192" s="3067"/>
      <c r="G192" s="3067"/>
      <c r="H192" s="3067"/>
      <c r="I192" s="3067"/>
      <c r="J192" s="3067"/>
      <c r="K192" s="3067"/>
      <c r="L192" s="3067"/>
      <c r="M192" s="3067"/>
      <c r="N192" s="3067"/>
      <c r="O192" s="3067"/>
      <c r="P192" s="3067"/>
      <c r="Q192" s="3067"/>
    </row>
    <row r="193" spans="2:17" ht="17" customHeight="1">
      <c r="B193" s="2788"/>
      <c r="C193" s="2788"/>
      <c r="D193" s="3067"/>
      <c r="E193" s="3067"/>
      <c r="F193" s="3067"/>
      <c r="G193" s="3067"/>
      <c r="H193" s="3067"/>
      <c r="I193" s="3067"/>
      <c r="J193" s="3067"/>
      <c r="K193" s="3067"/>
      <c r="L193" s="3067"/>
      <c r="M193" s="3067"/>
      <c r="N193" s="3067"/>
      <c r="O193" s="3067"/>
      <c r="P193" s="3067"/>
      <c r="Q193" s="3067"/>
    </row>
    <row r="194" spans="2:17" ht="17" customHeight="1">
      <c r="B194" s="2788"/>
      <c r="C194" s="2788"/>
      <c r="D194" s="3067"/>
      <c r="E194" s="3067"/>
      <c r="F194" s="3067"/>
      <c r="G194" s="3067"/>
      <c r="H194" s="3067"/>
      <c r="I194" s="3067"/>
      <c r="J194" s="3067"/>
      <c r="K194" s="3067"/>
      <c r="L194" s="3067"/>
      <c r="M194" s="3067"/>
      <c r="N194" s="3067"/>
      <c r="O194" s="3067"/>
      <c r="P194" s="3067"/>
      <c r="Q194" s="3067"/>
    </row>
    <row r="195" spans="2:17" ht="17" customHeight="1">
      <c r="B195" s="2788"/>
      <c r="C195" s="2788"/>
      <c r="D195" s="3067"/>
      <c r="E195" s="3067"/>
      <c r="F195" s="3067"/>
      <c r="G195" s="3067"/>
      <c r="H195" s="3067"/>
      <c r="I195" s="3067"/>
      <c r="J195" s="3067"/>
      <c r="K195" s="3067"/>
      <c r="L195" s="3067"/>
      <c r="M195" s="3067"/>
      <c r="N195" s="3067"/>
      <c r="O195" s="3067"/>
      <c r="P195" s="3067"/>
      <c r="Q195" s="3067"/>
    </row>
    <row r="196" spans="2:17" ht="17" customHeight="1">
      <c r="B196" s="2788"/>
      <c r="C196" s="2788"/>
      <c r="D196" s="2714"/>
      <c r="E196" s="3067"/>
      <c r="F196" s="3067"/>
      <c r="G196" s="3067"/>
      <c r="H196" s="3067"/>
      <c r="I196" s="3067"/>
      <c r="J196" s="3067"/>
      <c r="K196" s="3067"/>
      <c r="L196" s="3067"/>
      <c r="M196" s="3067"/>
      <c r="N196" s="3067"/>
      <c r="O196" s="3067"/>
      <c r="P196" s="3067"/>
      <c r="Q196" s="3067"/>
    </row>
    <row r="197" spans="2:17" ht="17" customHeight="1">
      <c r="B197" s="2788"/>
      <c r="C197" s="2788"/>
      <c r="D197" s="3067"/>
      <c r="E197" s="3067"/>
      <c r="F197" s="3067"/>
      <c r="G197" s="3067"/>
      <c r="H197" s="3067"/>
      <c r="I197" s="3067"/>
      <c r="J197" s="3067"/>
      <c r="K197" s="3067"/>
      <c r="L197" s="3067"/>
      <c r="M197" s="3067"/>
      <c r="N197" s="3067"/>
      <c r="O197" s="3067"/>
      <c r="P197" s="3067"/>
      <c r="Q197" s="3067"/>
    </row>
    <row r="198" spans="2:17" ht="17" customHeight="1">
      <c r="B198" s="2788"/>
      <c r="C198" s="2788"/>
      <c r="D198" s="3067"/>
      <c r="E198" s="3067"/>
      <c r="F198" s="3067"/>
      <c r="G198" s="3067"/>
      <c r="H198" s="3067"/>
      <c r="I198" s="3067"/>
      <c r="J198" s="3067"/>
      <c r="K198" s="3067"/>
      <c r="L198" s="3067"/>
      <c r="M198" s="3067"/>
      <c r="N198" s="3067"/>
      <c r="O198" s="3067"/>
      <c r="P198" s="3067"/>
      <c r="Q198" s="3067"/>
    </row>
    <row r="199" spans="2:17" ht="17" customHeight="1">
      <c r="B199" s="2788"/>
      <c r="C199" s="2788"/>
      <c r="D199" s="3067"/>
      <c r="E199" s="3067"/>
      <c r="F199" s="3067"/>
      <c r="G199" s="3067"/>
      <c r="H199" s="3067"/>
      <c r="I199" s="3067"/>
      <c r="J199" s="3067"/>
      <c r="K199" s="3067"/>
      <c r="L199" s="3067"/>
      <c r="M199" s="3067"/>
      <c r="N199" s="3067"/>
      <c r="O199" s="3067"/>
      <c r="P199" s="3067"/>
      <c r="Q199" s="3067"/>
    </row>
    <row r="200" spans="2:17" ht="17" customHeight="1">
      <c r="B200" s="2788"/>
      <c r="C200" s="2788"/>
      <c r="D200" s="2714"/>
      <c r="E200" s="3067"/>
      <c r="F200" s="3067"/>
      <c r="G200" s="3067"/>
      <c r="H200" s="3067"/>
      <c r="I200" s="3067"/>
      <c r="J200" s="3067"/>
      <c r="K200" s="3067"/>
      <c r="L200" s="3067"/>
      <c r="M200" s="3067"/>
      <c r="N200" s="3067"/>
      <c r="O200" s="3067"/>
      <c r="P200" s="3067"/>
      <c r="Q200" s="3067"/>
    </row>
    <row r="201" spans="2:17" ht="17" customHeight="1">
      <c r="B201" s="2788"/>
      <c r="C201" s="2788"/>
      <c r="D201" s="3067"/>
      <c r="E201" s="3067"/>
      <c r="F201" s="3067"/>
      <c r="G201" s="3067"/>
      <c r="H201" s="3067"/>
      <c r="I201" s="3067"/>
      <c r="J201" s="3067"/>
      <c r="K201" s="3067"/>
      <c r="L201" s="3067"/>
      <c r="M201" s="3067"/>
      <c r="N201" s="3067"/>
      <c r="O201" s="3067"/>
      <c r="P201" s="3067"/>
      <c r="Q201" s="3067"/>
    </row>
    <row r="202" spans="2:17" ht="17" customHeight="1">
      <c r="B202" s="2788"/>
      <c r="C202" s="2788"/>
      <c r="D202" s="3067"/>
      <c r="E202" s="3067"/>
      <c r="F202" s="3067"/>
      <c r="G202" s="3067"/>
      <c r="H202" s="3067"/>
      <c r="I202" s="3067"/>
      <c r="J202" s="3067"/>
      <c r="K202" s="3067"/>
      <c r="L202" s="3067"/>
      <c r="M202" s="3067"/>
      <c r="N202" s="3067"/>
      <c r="O202" s="3067"/>
      <c r="P202" s="3067"/>
      <c r="Q202" s="3067"/>
    </row>
    <row r="203" spans="2:17" ht="17" customHeight="1">
      <c r="B203" s="2788"/>
      <c r="C203" s="2788"/>
      <c r="D203" s="3067"/>
      <c r="E203" s="3067"/>
      <c r="F203" s="3067"/>
      <c r="G203" s="3067"/>
      <c r="H203" s="3067"/>
      <c r="I203" s="3067"/>
      <c r="J203" s="3067"/>
      <c r="K203" s="3067"/>
      <c r="L203" s="3067"/>
      <c r="M203" s="3067"/>
      <c r="N203" s="3067"/>
      <c r="O203" s="3067"/>
      <c r="P203" s="3067"/>
      <c r="Q203" s="3067"/>
    </row>
    <row r="204" spans="2:17" ht="17" customHeight="1">
      <c r="B204" s="2788"/>
      <c r="C204" s="2788"/>
      <c r="D204" s="2714"/>
      <c r="E204" s="3067"/>
      <c r="F204" s="3067"/>
      <c r="G204" s="3067"/>
      <c r="H204" s="3067"/>
      <c r="I204" s="3067"/>
      <c r="J204" s="3067"/>
      <c r="K204" s="3067"/>
      <c r="L204" s="3067"/>
      <c r="M204" s="3067"/>
      <c r="N204" s="3067"/>
      <c r="O204" s="3067"/>
      <c r="P204" s="3067"/>
      <c r="Q204" s="3067"/>
    </row>
    <row r="205" spans="2:17" ht="17" customHeight="1">
      <c r="B205" s="2788"/>
      <c r="C205" s="2788"/>
      <c r="D205" s="3067"/>
      <c r="E205" s="3067"/>
      <c r="F205" s="3067"/>
      <c r="G205" s="3067"/>
      <c r="H205" s="3067"/>
      <c r="I205" s="3067"/>
      <c r="J205" s="3067"/>
      <c r="K205" s="3067"/>
      <c r="L205" s="3067"/>
      <c r="M205" s="3067"/>
      <c r="N205" s="3067"/>
      <c r="O205" s="3067"/>
      <c r="P205" s="3067"/>
      <c r="Q205" s="3067"/>
    </row>
    <row r="206" spans="2:17" ht="17" customHeight="1">
      <c r="B206" s="2788"/>
      <c r="C206" s="2788"/>
      <c r="D206" s="3067"/>
      <c r="E206" s="3067"/>
      <c r="F206" s="3067"/>
      <c r="G206" s="3067"/>
      <c r="H206" s="3067"/>
      <c r="I206" s="3067"/>
      <c r="J206" s="3067"/>
      <c r="K206" s="3067"/>
      <c r="L206" s="3067"/>
      <c r="M206" s="3067"/>
      <c r="N206" s="3067"/>
      <c r="O206" s="3067"/>
      <c r="P206" s="3067"/>
      <c r="Q206" s="3067"/>
    </row>
    <row r="207" spans="2:17" ht="17" customHeight="1">
      <c r="B207" s="2788"/>
      <c r="C207" s="2788"/>
      <c r="D207" s="3067"/>
      <c r="E207" s="3067"/>
      <c r="F207" s="3067"/>
      <c r="G207" s="3067"/>
      <c r="H207" s="3067"/>
      <c r="I207" s="3067"/>
      <c r="J207" s="3067"/>
      <c r="K207" s="3067"/>
      <c r="L207" s="3067"/>
      <c r="M207" s="3067"/>
      <c r="N207" s="3067"/>
      <c r="O207" s="3067"/>
      <c r="P207" s="3067"/>
      <c r="Q207" s="3067"/>
    </row>
    <row r="208" spans="2:17" ht="17" customHeight="1">
      <c r="B208" s="2788"/>
      <c r="C208" s="2788"/>
      <c r="D208" s="2714"/>
      <c r="E208" s="3067"/>
      <c r="F208" s="3067"/>
      <c r="G208" s="3067"/>
      <c r="H208" s="3067"/>
      <c r="I208" s="3067"/>
      <c r="J208" s="3067"/>
      <c r="K208" s="3067"/>
      <c r="L208" s="3067"/>
      <c r="M208" s="3067"/>
      <c r="N208" s="3067"/>
      <c r="O208" s="3067"/>
      <c r="P208" s="3067"/>
      <c r="Q208" s="3067"/>
    </row>
    <row r="209" spans="2:24" ht="17" customHeight="1">
      <c r="B209" s="2788"/>
      <c r="C209" s="2788"/>
      <c r="D209" s="3067"/>
      <c r="E209" s="3067"/>
      <c r="F209" s="3067"/>
      <c r="G209" s="3067"/>
      <c r="H209" s="3067"/>
      <c r="I209" s="3067"/>
      <c r="J209" s="3067"/>
      <c r="K209" s="3067"/>
      <c r="L209" s="3067"/>
      <c r="M209" s="3067"/>
      <c r="N209" s="3067"/>
      <c r="O209" s="3067"/>
      <c r="P209" s="3067"/>
      <c r="Q209" s="3067"/>
    </row>
    <row r="210" spans="2:24" ht="17" customHeight="1">
      <c r="B210" s="2702"/>
      <c r="C210" s="2702"/>
      <c r="D210" s="2702"/>
      <c r="E210" s="2702"/>
      <c r="F210" s="2702"/>
      <c r="G210" s="2702"/>
      <c r="H210" s="2702"/>
      <c r="I210" s="2702"/>
      <c r="J210" s="2702"/>
      <c r="K210" s="2702"/>
      <c r="L210" s="2702"/>
      <c r="M210" s="2702"/>
      <c r="N210" s="2702"/>
      <c r="O210" s="2702"/>
      <c r="P210" s="2702"/>
      <c r="Q210" s="2702"/>
    </row>
    <row r="211" spans="2:24" ht="17" customHeight="1">
      <c r="B211" s="2702"/>
      <c r="C211" s="2702"/>
      <c r="D211" s="2702"/>
      <c r="E211" s="2702"/>
      <c r="F211" s="2702"/>
      <c r="G211" s="2702"/>
      <c r="H211" s="2702"/>
      <c r="I211" s="2702"/>
      <c r="J211" s="2702"/>
      <c r="K211" s="2702"/>
      <c r="L211" s="2702"/>
      <c r="M211" s="2702"/>
      <c r="N211" s="2702"/>
      <c r="O211" s="2702"/>
      <c r="P211" s="2702"/>
      <c r="Q211" s="2702"/>
    </row>
    <row r="212" spans="2:24" ht="18" customHeight="1">
      <c r="B212" s="3155"/>
      <c r="C212" s="3155"/>
      <c r="D212" s="3155"/>
      <c r="E212" s="3155"/>
      <c r="F212" s="3155"/>
      <c r="G212" s="3155"/>
      <c r="H212" s="3155"/>
      <c r="I212" s="3155"/>
      <c r="J212" s="3155"/>
      <c r="K212" s="3155"/>
      <c r="L212" s="3155"/>
      <c r="M212" s="3155"/>
      <c r="N212" s="3155"/>
      <c r="O212" s="3155"/>
      <c r="P212" s="3155"/>
      <c r="Q212" s="3155"/>
      <c r="R212" s="207"/>
      <c r="S212" s="207"/>
      <c r="T212" s="207"/>
      <c r="U212" s="207"/>
      <c r="V212" s="207"/>
      <c r="W212" s="207"/>
      <c r="X212" s="207"/>
    </row>
    <row r="213" spans="2:24" ht="18" customHeight="1">
      <c r="B213" s="3155"/>
      <c r="C213" s="3155"/>
      <c r="D213" s="3155"/>
      <c r="E213" s="3155"/>
      <c r="F213" s="3155"/>
      <c r="G213" s="3155"/>
      <c r="H213" s="3155"/>
      <c r="I213" s="3155"/>
      <c r="J213" s="3155"/>
      <c r="K213" s="3155"/>
      <c r="L213" s="3155"/>
      <c r="M213" s="3155"/>
      <c r="N213" s="3155"/>
      <c r="O213" s="3155"/>
      <c r="P213" s="3155"/>
      <c r="Q213" s="3155"/>
      <c r="R213" s="207"/>
      <c r="S213" s="207"/>
      <c r="T213" s="207"/>
      <c r="U213" s="207"/>
      <c r="V213" s="207"/>
      <c r="W213" s="207"/>
      <c r="X213" s="207"/>
    </row>
    <row r="214" spans="2:24" ht="18" customHeight="1">
      <c r="B214" s="3155"/>
      <c r="C214" s="3155"/>
      <c r="D214" s="3155"/>
      <c r="E214" s="3155"/>
      <c r="F214" s="3155"/>
      <c r="G214" s="3155"/>
      <c r="H214" s="3155"/>
      <c r="I214" s="3155"/>
      <c r="J214" s="3155"/>
      <c r="K214" s="3155"/>
      <c r="L214" s="3155"/>
      <c r="M214" s="3155"/>
      <c r="N214" s="3155"/>
      <c r="O214" s="3155"/>
      <c r="P214" s="3155"/>
      <c r="Q214" s="3155"/>
      <c r="R214" s="207"/>
      <c r="S214" s="207"/>
      <c r="T214" s="207"/>
      <c r="U214" s="207"/>
      <c r="V214" s="207"/>
      <c r="W214" s="207"/>
      <c r="X214" s="207"/>
    </row>
    <row r="215" spans="2:24" ht="18" customHeight="1">
      <c r="B215" s="205"/>
      <c r="C215" s="205"/>
      <c r="D215" s="205"/>
      <c r="E215" s="205"/>
      <c r="F215" s="205"/>
      <c r="G215" s="205"/>
      <c r="H215" s="205"/>
      <c r="I215" s="205"/>
      <c r="J215" s="205"/>
      <c r="K215" s="205"/>
      <c r="L215" s="205"/>
      <c r="M215" s="205"/>
      <c r="N215" s="205"/>
      <c r="O215" s="205"/>
      <c r="P215" s="205"/>
      <c r="Q215" s="205"/>
      <c r="R215" s="15"/>
      <c r="S215" s="15"/>
      <c r="T215" s="15"/>
      <c r="U215" s="15"/>
      <c r="V215" s="15"/>
      <c r="W215" s="15"/>
      <c r="X215" s="15"/>
    </row>
    <row r="216" spans="2:24" ht="18" customHeight="1">
      <c r="B216" s="2356"/>
      <c r="C216" s="2356"/>
      <c r="D216" s="2356"/>
      <c r="E216" s="2356"/>
      <c r="F216" s="2356"/>
      <c r="G216" s="2356"/>
      <c r="J216" s="2356"/>
      <c r="K216" s="2356"/>
      <c r="L216" s="2356"/>
      <c r="M216" s="2356"/>
      <c r="N216" s="2356"/>
      <c r="O216" s="2356"/>
      <c r="P216" s="2356"/>
      <c r="Q216" s="2356"/>
    </row>
    <row r="217" spans="2:24" ht="18" customHeight="1">
      <c r="B217" s="2356"/>
      <c r="C217" s="2356"/>
      <c r="D217" s="2356"/>
      <c r="E217" s="2356"/>
      <c r="F217" s="2356"/>
      <c r="G217" s="2356"/>
      <c r="J217" s="2356"/>
      <c r="K217" s="2356"/>
      <c r="L217" s="2356"/>
      <c r="M217" s="2356"/>
      <c r="N217" s="2356"/>
      <c r="O217" s="2356"/>
      <c r="P217" s="2356"/>
      <c r="Q217" s="2356"/>
    </row>
    <row r="218" spans="2:24" ht="18" customHeight="1">
      <c r="B218" s="2184"/>
      <c r="C218" s="2184"/>
      <c r="D218" s="2184"/>
      <c r="E218" s="2184"/>
      <c r="F218" s="2184"/>
      <c r="G218" s="3066"/>
      <c r="J218" s="3066"/>
      <c r="K218" s="3066"/>
      <c r="L218" s="3066"/>
      <c r="M218" s="3066"/>
      <c r="N218" s="2163"/>
      <c r="O218" s="2163"/>
      <c r="P218" s="2163"/>
      <c r="Q218" s="2163"/>
    </row>
    <row r="219" spans="2:24" ht="18" customHeight="1">
      <c r="B219" s="2184"/>
      <c r="C219" s="2184"/>
      <c r="D219" s="2184"/>
      <c r="E219" s="2184"/>
      <c r="F219" s="2184"/>
      <c r="G219" s="3066"/>
      <c r="J219" s="3066"/>
      <c r="K219" s="3066"/>
      <c r="L219" s="3066"/>
      <c r="M219" s="3066"/>
      <c r="N219" s="3066"/>
      <c r="O219" s="3066"/>
      <c r="P219" s="3066"/>
      <c r="Q219" s="3066"/>
    </row>
    <row r="220" spans="2:24" ht="18" customHeight="1">
      <c r="B220" s="2184"/>
      <c r="C220" s="2184"/>
      <c r="D220" s="2184"/>
      <c r="E220" s="2184"/>
      <c r="F220" s="2184"/>
      <c r="G220" s="3066"/>
      <c r="J220" s="3066"/>
      <c r="K220" s="3066"/>
      <c r="L220" s="3066"/>
      <c r="M220" s="3066"/>
      <c r="N220" s="3066"/>
      <c r="O220" s="3066"/>
      <c r="P220" s="3066"/>
      <c r="Q220" s="3066"/>
    </row>
    <row r="221" spans="2:24" ht="18" customHeight="1">
      <c r="B221" s="2184"/>
      <c r="C221" s="2184"/>
      <c r="D221" s="2184"/>
      <c r="E221" s="2184"/>
      <c r="F221" s="2184"/>
      <c r="G221" s="3066"/>
      <c r="J221" s="3066"/>
      <c r="K221" s="3066"/>
      <c r="L221" s="3066"/>
      <c r="M221" s="3066"/>
      <c r="N221" s="2163"/>
      <c r="O221" s="2163"/>
      <c r="P221" s="2163"/>
      <c r="Q221" s="2163"/>
    </row>
    <row r="222" spans="2:24" ht="18" customHeight="1">
      <c r="B222" s="2184"/>
      <c r="C222" s="2184"/>
      <c r="D222" s="2184"/>
      <c r="E222" s="2184"/>
      <c r="F222" s="2184"/>
      <c r="G222" s="3066"/>
      <c r="J222" s="3066"/>
      <c r="K222" s="3066"/>
      <c r="L222" s="3066"/>
      <c r="M222" s="3066"/>
      <c r="N222" s="3066"/>
      <c r="O222" s="3066"/>
      <c r="P222" s="3066"/>
      <c r="Q222" s="3066"/>
    </row>
    <row r="223" spans="2:24" ht="18" customHeight="1">
      <c r="B223" s="2184"/>
      <c r="C223" s="2184"/>
      <c r="D223" s="2184"/>
      <c r="E223" s="2184"/>
      <c r="F223" s="2184"/>
      <c r="G223" s="3066"/>
      <c r="J223" s="3066"/>
      <c r="K223" s="3066"/>
      <c r="L223" s="3066"/>
      <c r="M223" s="3066"/>
      <c r="N223" s="3066"/>
      <c r="O223" s="3066"/>
      <c r="P223" s="3066"/>
      <c r="Q223" s="3066"/>
    </row>
    <row r="224" spans="2:24" ht="18" customHeight="1">
      <c r="B224" s="2184"/>
      <c r="C224" s="2184"/>
      <c r="D224" s="2184"/>
      <c r="E224" s="2184"/>
      <c r="F224" s="2184"/>
      <c r="G224" s="3066"/>
      <c r="J224" s="3068"/>
      <c r="K224" s="3068"/>
      <c r="L224" s="3068"/>
      <c r="M224" s="3068"/>
      <c r="N224" s="3068"/>
      <c r="O224" s="3068"/>
      <c r="P224" s="3068"/>
      <c r="Q224" s="3068"/>
    </row>
    <row r="225" spans="2:24" ht="18" customHeight="1">
      <c r="B225" s="2184"/>
      <c r="C225" s="2184"/>
      <c r="D225" s="2184"/>
      <c r="E225" s="2184"/>
      <c r="F225" s="2184"/>
      <c r="G225" s="3066"/>
      <c r="J225" s="3068"/>
      <c r="K225" s="3068"/>
      <c r="L225" s="3068"/>
      <c r="M225" s="3068"/>
      <c r="N225" s="3068"/>
      <c r="O225" s="3068"/>
      <c r="P225" s="3068"/>
      <c r="Q225" s="3068"/>
    </row>
    <row r="226" spans="2:24" ht="18" customHeight="1">
      <c r="B226" s="2184"/>
      <c r="C226" s="2184"/>
      <c r="D226" s="2184"/>
      <c r="E226" s="2184"/>
      <c r="F226" s="2184"/>
      <c r="G226" s="3066"/>
      <c r="J226" s="3068"/>
      <c r="K226" s="3068"/>
      <c r="L226" s="3068"/>
      <c r="M226" s="3068"/>
      <c r="N226" s="3068"/>
      <c r="O226" s="3068"/>
      <c r="P226" s="3068"/>
      <c r="Q226" s="3068"/>
    </row>
    <row r="227" spans="2:24" ht="18" customHeight="1">
      <c r="B227" s="2184"/>
      <c r="C227" s="2184"/>
      <c r="D227" s="2184"/>
      <c r="E227" s="2184"/>
      <c r="F227" s="2184"/>
      <c r="G227" s="3066"/>
      <c r="J227" s="3068"/>
      <c r="K227" s="3068"/>
      <c r="L227" s="3068"/>
      <c r="M227" s="3068"/>
      <c r="N227" s="3068"/>
      <c r="O227" s="3068"/>
      <c r="P227" s="3068"/>
      <c r="Q227" s="3068"/>
    </row>
    <row r="228" spans="2:24" ht="18" customHeight="1">
      <c r="B228" s="206"/>
      <c r="C228" s="206"/>
      <c r="D228" s="206"/>
      <c r="E228" s="206"/>
      <c r="F228" s="206"/>
      <c r="G228" s="205"/>
      <c r="J228" s="3068"/>
      <c r="K228" s="3068"/>
      <c r="L228" s="3068"/>
      <c r="M228" s="3068"/>
      <c r="N228" s="3068"/>
      <c r="O228" s="3068"/>
      <c r="P228" s="3068"/>
      <c r="Q228" s="3068"/>
    </row>
    <row r="229" spans="2:24" ht="18" customHeight="1">
      <c r="B229" s="206"/>
      <c r="C229" s="206"/>
      <c r="D229" s="206"/>
      <c r="E229" s="206"/>
      <c r="F229" s="206"/>
      <c r="G229" s="205"/>
      <c r="H229" s="205"/>
      <c r="I229" s="205"/>
      <c r="J229" s="205"/>
      <c r="K229" s="205"/>
      <c r="L229" s="205"/>
      <c r="M229" s="205"/>
      <c r="N229" s="205"/>
      <c r="O229" s="205"/>
      <c r="P229" s="205"/>
    </row>
    <row r="230" spans="2:24" ht="18" customHeight="1">
      <c r="C230" s="33"/>
      <c r="D230" s="33"/>
      <c r="E230" s="33"/>
      <c r="F230" s="33"/>
      <c r="G230" s="33"/>
      <c r="H230" s="33"/>
      <c r="J230" s="2356"/>
      <c r="K230" s="2356"/>
      <c r="L230" s="2356"/>
      <c r="M230" s="2356"/>
      <c r="N230" s="2356"/>
      <c r="O230" s="2356"/>
      <c r="P230" s="2356"/>
      <c r="Q230" s="2356"/>
    </row>
    <row r="231" spans="2:24" ht="18" customHeight="1">
      <c r="C231" s="33"/>
      <c r="D231" s="33"/>
      <c r="E231" s="33"/>
      <c r="F231" s="33"/>
      <c r="G231" s="33"/>
      <c r="H231" s="33"/>
      <c r="J231" s="2356"/>
      <c r="K231" s="2356"/>
      <c r="L231" s="2356"/>
      <c r="M231" s="2356"/>
      <c r="N231" s="2356"/>
      <c r="O231" s="2356"/>
      <c r="P231" s="2356"/>
      <c r="Q231" s="2356"/>
    </row>
    <row r="232" spans="2:24" ht="18" customHeight="1">
      <c r="C232" s="33"/>
      <c r="D232" s="33"/>
      <c r="E232" s="33"/>
      <c r="F232" s="33"/>
      <c r="G232" s="33"/>
      <c r="H232" s="33"/>
      <c r="J232" s="3066"/>
      <c r="K232" s="3066"/>
      <c r="L232" s="3066"/>
      <c r="M232" s="3066"/>
      <c r="N232" s="3066"/>
      <c r="O232" s="3066"/>
      <c r="P232" s="3066"/>
      <c r="Q232" s="3066"/>
    </row>
    <row r="233" spans="2:24" ht="18" customHeight="1">
      <c r="C233" s="33"/>
      <c r="D233" s="33"/>
      <c r="E233" s="33"/>
      <c r="F233" s="33"/>
      <c r="G233" s="33"/>
      <c r="H233" s="33"/>
      <c r="J233" s="3066"/>
      <c r="K233" s="3066"/>
      <c r="L233" s="3066"/>
      <c r="M233" s="3066"/>
      <c r="N233" s="3066"/>
      <c r="O233" s="3066"/>
      <c r="P233" s="3066"/>
      <c r="Q233" s="3066"/>
    </row>
    <row r="234" spans="2:24" ht="18" customHeight="1">
      <c r="C234" s="33"/>
      <c r="D234" s="33"/>
      <c r="E234" s="33"/>
      <c r="F234" s="33"/>
      <c r="G234" s="33"/>
      <c r="H234" s="33"/>
      <c r="J234" s="3068"/>
      <c r="K234" s="3068"/>
      <c r="L234" s="3068"/>
      <c r="M234" s="3068"/>
      <c r="N234" s="3068"/>
      <c r="O234" s="3068"/>
      <c r="P234" s="3068"/>
      <c r="Q234" s="3068"/>
    </row>
    <row r="235" spans="2:24" ht="18" customHeight="1">
      <c r="C235" s="33"/>
      <c r="D235" s="33"/>
      <c r="E235" s="33"/>
      <c r="F235" s="33"/>
      <c r="G235" s="33"/>
      <c r="H235" s="33"/>
      <c r="J235" s="3068"/>
      <c r="K235" s="3068"/>
      <c r="L235" s="3068"/>
      <c r="M235" s="3068"/>
      <c r="N235" s="3068"/>
      <c r="O235" s="3068"/>
      <c r="P235" s="3068"/>
      <c r="Q235" s="3068"/>
    </row>
    <row r="236" spans="2:24" ht="18" customHeight="1">
      <c r="C236" s="33"/>
      <c r="D236" s="33"/>
      <c r="E236" s="33"/>
      <c r="F236" s="33"/>
      <c r="G236" s="33"/>
      <c r="H236" s="33"/>
      <c r="J236" s="3068"/>
      <c r="K236" s="3068"/>
      <c r="L236" s="3068"/>
      <c r="M236" s="3068"/>
      <c r="N236" s="3068"/>
      <c r="O236" s="3068"/>
      <c r="P236" s="3068"/>
      <c r="Q236" s="3068"/>
    </row>
    <row r="237" spans="2:24" ht="18" customHeight="1">
      <c r="C237" s="33"/>
      <c r="D237" s="33"/>
      <c r="E237" s="33"/>
      <c r="F237" s="33"/>
      <c r="G237" s="33"/>
      <c r="H237" s="33"/>
      <c r="J237" s="3068"/>
      <c r="K237" s="3068"/>
      <c r="L237" s="3068"/>
      <c r="M237" s="3068"/>
      <c r="N237" s="3068"/>
      <c r="O237" s="3068"/>
      <c r="P237" s="3068"/>
      <c r="Q237" s="3068"/>
    </row>
    <row r="238" spans="2:24" ht="18" customHeight="1">
      <c r="C238" s="33"/>
      <c r="D238" s="33"/>
      <c r="E238" s="33"/>
      <c r="F238" s="33"/>
      <c r="G238" s="33"/>
      <c r="H238" s="33"/>
      <c r="J238" s="3068"/>
      <c r="K238" s="3068"/>
      <c r="L238" s="3068"/>
      <c r="M238" s="3068"/>
      <c r="N238" s="3068"/>
      <c r="O238" s="3068"/>
      <c r="P238" s="3068"/>
      <c r="Q238" s="3068"/>
    </row>
    <row r="239" spans="2:24" ht="18" customHeight="1">
      <c r="C239" s="33"/>
      <c r="D239" s="33"/>
      <c r="E239" s="33"/>
      <c r="F239" s="33"/>
      <c r="G239" s="33"/>
      <c r="H239" s="33"/>
      <c r="J239" s="3068"/>
      <c r="K239" s="3068"/>
      <c r="L239" s="3068"/>
      <c r="M239" s="3068"/>
      <c r="N239" s="3068"/>
      <c r="O239" s="3068"/>
      <c r="P239" s="3068"/>
      <c r="Q239" s="3068"/>
      <c r="R239" s="15"/>
      <c r="S239" s="15"/>
      <c r="T239" s="15"/>
      <c r="U239" s="15"/>
      <c r="V239" s="15"/>
      <c r="W239" s="15"/>
      <c r="X239" s="15"/>
    </row>
    <row r="240" spans="2:24" ht="18" customHeight="1">
      <c r="B240" s="160"/>
      <c r="C240" s="33"/>
      <c r="D240" s="33"/>
      <c r="E240" s="33"/>
      <c r="F240" s="33"/>
      <c r="G240" s="33"/>
      <c r="H240" s="33"/>
      <c r="I240" s="170"/>
      <c r="J240" s="170"/>
      <c r="K240" s="170"/>
      <c r="L240" s="170"/>
      <c r="M240" s="170"/>
      <c r="N240" s="170"/>
      <c r="O240" s="170"/>
      <c r="P240" s="170"/>
      <c r="Q240" s="170"/>
    </row>
    <row r="241" spans="3:17" ht="18" customHeight="1">
      <c r="C241" s="33"/>
      <c r="D241" s="33"/>
      <c r="E241" s="33"/>
      <c r="F241" s="33"/>
      <c r="G241" s="33"/>
      <c r="H241" s="33"/>
      <c r="J241" s="2356"/>
      <c r="K241" s="2356"/>
      <c r="L241" s="2356"/>
      <c r="M241" s="2356"/>
      <c r="N241" s="2356"/>
      <c r="O241" s="2356"/>
      <c r="P241" s="2356"/>
      <c r="Q241" s="2356"/>
    </row>
    <row r="242" spans="3:17" ht="18" customHeight="1">
      <c r="C242" s="33"/>
      <c r="D242" s="33"/>
      <c r="E242" s="33"/>
      <c r="F242" s="33"/>
      <c r="G242" s="33"/>
      <c r="H242" s="33"/>
      <c r="J242" s="2356"/>
      <c r="K242" s="2356"/>
      <c r="L242" s="2356"/>
      <c r="M242" s="2356"/>
      <c r="N242" s="2356"/>
      <c r="O242" s="2356"/>
      <c r="P242" s="2356"/>
      <c r="Q242" s="2356"/>
    </row>
    <row r="243" spans="3:17" ht="18" customHeight="1">
      <c r="C243" s="33"/>
      <c r="D243" s="33"/>
      <c r="E243" s="33"/>
      <c r="F243" s="33"/>
      <c r="G243" s="33"/>
      <c r="H243" s="33"/>
      <c r="J243" s="3066"/>
      <c r="K243" s="3066"/>
      <c r="L243" s="3066"/>
      <c r="M243" s="3066"/>
      <c r="N243" s="2163"/>
      <c r="O243" s="2163"/>
      <c r="P243" s="2163"/>
      <c r="Q243" s="2163"/>
    </row>
    <row r="244" spans="3:17" ht="18" customHeight="1">
      <c r="J244" s="3066"/>
      <c r="K244" s="3066"/>
      <c r="L244" s="3066"/>
      <c r="M244" s="3066"/>
      <c r="N244" s="3066"/>
      <c r="O244" s="3066"/>
      <c r="P244" s="3066"/>
      <c r="Q244" s="3066"/>
    </row>
    <row r="245" spans="3:17" ht="18" customHeight="1">
      <c r="J245" s="3066"/>
      <c r="K245" s="3066"/>
      <c r="L245" s="3066"/>
      <c r="M245" s="3066"/>
      <c r="N245" s="3066"/>
      <c r="O245" s="3066"/>
      <c r="P245" s="3066"/>
      <c r="Q245" s="3066"/>
    </row>
    <row r="246" spans="3:17" ht="18" customHeight="1">
      <c r="J246" s="3066"/>
      <c r="K246" s="3066"/>
      <c r="L246" s="3066"/>
      <c r="M246" s="3066"/>
      <c r="N246" s="2163"/>
      <c r="O246" s="2163"/>
      <c r="P246" s="2163"/>
      <c r="Q246" s="2163"/>
    </row>
    <row r="247" spans="3:17" ht="18" customHeight="1">
      <c r="J247" s="3066"/>
      <c r="K247" s="3066"/>
      <c r="L247" s="3066"/>
      <c r="M247" s="3066"/>
      <c r="N247" s="3066"/>
      <c r="O247" s="3066"/>
      <c r="P247" s="3066"/>
      <c r="Q247" s="3066"/>
    </row>
    <row r="248" spans="3:17" ht="18" customHeight="1">
      <c r="J248" s="3066"/>
      <c r="K248" s="3066"/>
      <c r="L248" s="3066"/>
      <c r="M248" s="3066"/>
      <c r="N248" s="3066"/>
      <c r="O248" s="3066"/>
      <c r="P248" s="3066"/>
      <c r="Q248" s="3066"/>
    </row>
    <row r="249" spans="3:17">
      <c r="J249" s="3068"/>
      <c r="K249" s="3068"/>
      <c r="L249" s="3068"/>
      <c r="M249" s="3068"/>
      <c r="N249" s="3068"/>
      <c r="O249" s="3068"/>
      <c r="P249" s="3068"/>
      <c r="Q249" s="3068"/>
    </row>
    <row r="250" spans="3:17">
      <c r="J250" s="3068"/>
      <c r="K250" s="3068"/>
      <c r="L250" s="3068"/>
      <c r="M250" s="3068"/>
      <c r="N250" s="3068"/>
      <c r="O250" s="3068"/>
      <c r="P250" s="3068"/>
      <c r="Q250" s="3068"/>
    </row>
    <row r="251" spans="3:17">
      <c r="J251" s="3068"/>
      <c r="K251" s="3068"/>
      <c r="L251" s="3068"/>
      <c r="M251" s="3068"/>
      <c r="N251" s="3068"/>
      <c r="O251" s="3068"/>
      <c r="P251" s="3068"/>
      <c r="Q251" s="3068"/>
    </row>
    <row r="252" spans="3:17">
      <c r="J252" s="3068"/>
      <c r="K252" s="3068"/>
      <c r="L252" s="3068"/>
      <c r="M252" s="3068"/>
      <c r="N252" s="3068"/>
      <c r="O252" s="3068"/>
      <c r="P252" s="3068"/>
      <c r="Q252" s="3068"/>
    </row>
    <row r="253" spans="3:17">
      <c r="J253" s="3068"/>
      <c r="K253" s="3068"/>
      <c r="L253" s="3068"/>
      <c r="M253" s="3068"/>
      <c r="N253" s="3068"/>
      <c r="O253" s="3068"/>
      <c r="P253" s="3068"/>
      <c r="Q253" s="3068"/>
    </row>
    <row r="254" spans="3:17">
      <c r="J254" s="3068"/>
      <c r="K254" s="3068"/>
      <c r="L254" s="3068"/>
      <c r="M254" s="3068"/>
      <c r="N254" s="3068"/>
      <c r="O254" s="3068"/>
      <c r="P254" s="3068"/>
      <c r="Q254" s="3068"/>
    </row>
  </sheetData>
  <sheetProtection sheet="1" objects="1"/>
  <mergeCells count="239">
    <mergeCell ref="B216:G217"/>
    <mergeCell ref="F159:G167"/>
    <mergeCell ref="H159:I167"/>
    <mergeCell ref="H194:Q195"/>
    <mergeCell ref="Q126:U128"/>
    <mergeCell ref="K114:L115"/>
    <mergeCell ref="X132:AE134"/>
    <mergeCell ref="Q135:U137"/>
    <mergeCell ref="Q106:R112"/>
    <mergeCell ref="AC108:AE109"/>
    <mergeCell ref="H204:Q205"/>
    <mergeCell ref="B206:C207"/>
    <mergeCell ref="D206:E207"/>
    <mergeCell ref="F206:G207"/>
    <mergeCell ref="N112:O113"/>
    <mergeCell ref="AC110:AE112"/>
    <mergeCell ref="Q132:U134"/>
    <mergeCell ref="AD115:AE120"/>
    <mergeCell ref="V132:W134"/>
    <mergeCell ref="X138:AE140"/>
    <mergeCell ref="V135:W137"/>
    <mergeCell ref="X129:AE131"/>
    <mergeCell ref="V138:W140"/>
    <mergeCell ref="AB113:AE114"/>
    <mergeCell ref="Q84:Z85"/>
    <mergeCell ref="Z119:AC120"/>
    <mergeCell ref="X96:AB100"/>
    <mergeCell ref="X94:AE95"/>
    <mergeCell ref="B194:C195"/>
    <mergeCell ref="D194:E195"/>
    <mergeCell ref="F194:G195"/>
    <mergeCell ref="K161:Q162"/>
    <mergeCell ref="D147:E154"/>
    <mergeCell ref="F147:G154"/>
    <mergeCell ref="L147:M154"/>
    <mergeCell ref="H188:Q189"/>
    <mergeCell ref="I172:L173"/>
    <mergeCell ref="B188:C189"/>
    <mergeCell ref="D188:E189"/>
    <mergeCell ref="F188:G189"/>
    <mergeCell ref="C157:D158"/>
    <mergeCell ref="Q96:V100"/>
    <mergeCell ref="X101:AE102"/>
    <mergeCell ref="Q102:V103"/>
    <mergeCell ref="Q104:V105"/>
    <mergeCell ref="O164:Q167"/>
    <mergeCell ref="N114:O115"/>
    <mergeCell ref="Q122:AE124"/>
    <mergeCell ref="K2:O12"/>
    <mergeCell ref="N222:Q223"/>
    <mergeCell ref="B218:F222"/>
    <mergeCell ref="B202:C203"/>
    <mergeCell ref="D202:E203"/>
    <mergeCell ref="F202:G203"/>
    <mergeCell ref="S106:V108"/>
    <mergeCell ref="Q81:Z83"/>
    <mergeCell ref="Q78:Z80"/>
    <mergeCell ref="Q74:Z76"/>
    <mergeCell ref="V129:W131"/>
    <mergeCell ref="O159:Q160"/>
    <mergeCell ref="Q86:Z87"/>
    <mergeCell ref="Q129:U131"/>
    <mergeCell ref="Q113:V115"/>
    <mergeCell ref="C159:D160"/>
    <mergeCell ref="L72:O75"/>
    <mergeCell ref="B210:C211"/>
    <mergeCell ref="D210:E211"/>
    <mergeCell ref="F210:G211"/>
    <mergeCell ref="H196:Q197"/>
    <mergeCell ref="B196:C197"/>
    <mergeCell ref="D196:E197"/>
    <mergeCell ref="F196:G197"/>
    <mergeCell ref="N244:Q245"/>
    <mergeCell ref="F157:G158"/>
    <mergeCell ref="H157:I158"/>
    <mergeCell ref="H210:Q211"/>
    <mergeCell ref="B223:F227"/>
    <mergeCell ref="M172:Q180"/>
    <mergeCell ref="J241:Q242"/>
    <mergeCell ref="B200:C201"/>
    <mergeCell ref="D200:E201"/>
    <mergeCell ref="F200:G201"/>
    <mergeCell ref="B204:C205"/>
    <mergeCell ref="D204:E205"/>
    <mergeCell ref="F204:G205"/>
    <mergeCell ref="B208:C209"/>
    <mergeCell ref="D208:E209"/>
    <mergeCell ref="F208:G209"/>
    <mergeCell ref="B198:C199"/>
    <mergeCell ref="D198:E199"/>
    <mergeCell ref="F198:G199"/>
    <mergeCell ref="B185:Q186"/>
    <mergeCell ref="B190:C191"/>
    <mergeCell ref="D190:E191"/>
    <mergeCell ref="F190:G191"/>
    <mergeCell ref="F172:G180"/>
    <mergeCell ref="X114:AA114"/>
    <mergeCell ref="K13:O16"/>
    <mergeCell ref="J249:Q254"/>
    <mergeCell ref="K110:L111"/>
    <mergeCell ref="J224:Q228"/>
    <mergeCell ref="Q138:U140"/>
    <mergeCell ref="K164:N167"/>
    <mergeCell ref="S109:T112"/>
    <mergeCell ref="J230:Q231"/>
    <mergeCell ref="N116:O117"/>
    <mergeCell ref="J216:Q217"/>
    <mergeCell ref="H192:Q193"/>
    <mergeCell ref="J218:M223"/>
    <mergeCell ref="N219:Q220"/>
    <mergeCell ref="B212:Q214"/>
    <mergeCell ref="J174:L176"/>
    <mergeCell ref="C172:D180"/>
    <mergeCell ref="H190:Q191"/>
    <mergeCell ref="N247:Q248"/>
    <mergeCell ref="F170:G171"/>
    <mergeCell ref="I147:J154"/>
    <mergeCell ref="J232:Q233"/>
    <mergeCell ref="I181:Q183"/>
    <mergeCell ref="J243:M248"/>
    <mergeCell ref="L36:O45"/>
    <mergeCell ref="K30:O32"/>
    <mergeCell ref="AA39:AE41"/>
    <mergeCell ref="AA42:AE45"/>
    <mergeCell ref="AB21:AE23"/>
    <mergeCell ref="N110:O111"/>
    <mergeCell ref="K27:O29"/>
    <mergeCell ref="K112:L113"/>
    <mergeCell ref="K98:L102"/>
    <mergeCell ref="Q90:AE92"/>
    <mergeCell ref="Q94:V95"/>
    <mergeCell ref="Q71:Z73"/>
    <mergeCell ref="X104:AE105"/>
    <mergeCell ref="N98:O101"/>
    <mergeCell ref="L68:O71"/>
    <mergeCell ref="X106:AA109"/>
    <mergeCell ref="X110:AA113"/>
    <mergeCell ref="K108:O108"/>
    <mergeCell ref="K109:L109"/>
    <mergeCell ref="N109:O109"/>
    <mergeCell ref="Z37:Z48"/>
    <mergeCell ref="Z49:Z57"/>
    <mergeCell ref="Z58:Z64"/>
    <mergeCell ref="AA2:AA23"/>
    <mergeCell ref="N218:Q218"/>
    <mergeCell ref="N221:Q221"/>
    <mergeCell ref="N243:Q243"/>
    <mergeCell ref="N246:Q246"/>
    <mergeCell ref="B147:B154"/>
    <mergeCell ref="B157:B158"/>
    <mergeCell ref="B159:B167"/>
    <mergeCell ref="B170:B171"/>
    <mergeCell ref="B172:B180"/>
    <mergeCell ref="G218:G227"/>
    <mergeCell ref="I174:I176"/>
    <mergeCell ref="K159:N160"/>
    <mergeCell ref="O147:Q154"/>
    <mergeCell ref="K157:Q158"/>
    <mergeCell ref="C170:D171"/>
    <mergeCell ref="H200:Q201"/>
    <mergeCell ref="H202:Q203"/>
    <mergeCell ref="B192:C193"/>
    <mergeCell ref="D192:E193"/>
    <mergeCell ref="F192:G193"/>
    <mergeCell ref="J234:Q239"/>
    <mergeCell ref="H208:Q209"/>
    <mergeCell ref="H206:Q207"/>
    <mergeCell ref="H198:Q199"/>
    <mergeCell ref="K163:Q163"/>
    <mergeCell ref="J177:L177"/>
    <mergeCell ref="J178:L178"/>
    <mergeCell ref="J179:L179"/>
    <mergeCell ref="I180:L180"/>
    <mergeCell ref="B187:C187"/>
    <mergeCell ref="D187:E187"/>
    <mergeCell ref="F187:G187"/>
    <mergeCell ref="H187:Q187"/>
    <mergeCell ref="I170:Q171"/>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K116:L117"/>
    <mergeCell ref="V126:W128"/>
    <mergeCell ref="Z115:AC116"/>
    <mergeCell ref="X126:AE128"/>
    <mergeCell ref="Z117:AC118"/>
    <mergeCell ref="X135:AE137"/>
    <mergeCell ref="AB108:AB109"/>
    <mergeCell ref="AB110:AB112"/>
    <mergeCell ref="B87:J87"/>
    <mergeCell ref="B88:J88"/>
    <mergeCell ref="B89:J89"/>
    <mergeCell ref="AC96:AE96"/>
    <mergeCell ref="AD97:AE97"/>
    <mergeCell ref="AD98:AE98"/>
    <mergeCell ref="AD99:AE99"/>
    <mergeCell ref="AD100:AE100"/>
    <mergeCell ref="K106:O106"/>
    <mergeCell ref="AC106:AE107"/>
    <mergeCell ref="K103:L105"/>
    <mergeCell ref="N102:O105"/>
    <mergeCell ref="AB106:AB107"/>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8"/>
    <mergeCell ref="J59:J67"/>
    <mergeCell ref="J68:J75"/>
    <mergeCell ref="J76:J82"/>
    <mergeCell ref="K68:K75"/>
    <mergeCell ref="Z2:Z10"/>
    <mergeCell ref="Z11:Z13"/>
    <mergeCell ref="Z14:Z16"/>
    <mergeCell ref="Z17:Z23"/>
    <mergeCell ref="Z24:Z36"/>
  </mergeCells>
  <pageMargins left="0.75" right="0.75" top="1" bottom="1" header="0.51180555555555596" footer="0.5118055555555559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45"/>
  <sheetViews>
    <sheetView showGridLines="0" showRowColHeaders="0" workbookViewId="0">
      <selection activeCell="P19" sqref="P19:Q19"/>
    </sheetView>
  </sheetViews>
  <sheetFormatPr baseColWidth="10" defaultColWidth="9" defaultRowHeight="17"/>
  <cols>
    <col min="1" max="3" width="9" style="15" customWidth="1"/>
    <col min="4" max="4" width="80.6640625" style="15" customWidth="1"/>
    <col min="5" max="6" width="9" style="15" customWidth="1"/>
    <col min="7" max="7" width="80.6640625" style="15" customWidth="1"/>
    <col min="8" max="26" width="9" style="15" customWidth="1"/>
  </cols>
  <sheetData>
    <row r="1" spans="3:7" ht="12" customHeight="1"/>
    <row r="2" spans="3:7" ht="19" customHeight="1">
      <c r="C2" s="1103" t="s">
        <v>5470</v>
      </c>
      <c r="D2" s="3227"/>
      <c r="F2" s="3228" t="s">
        <v>5471</v>
      </c>
      <c r="G2" s="3229"/>
    </row>
    <row r="3" spans="3:7">
      <c r="C3" s="16" t="s">
        <v>414</v>
      </c>
      <c r="D3" s="17" t="s">
        <v>5472</v>
      </c>
      <c r="F3" s="16" t="s">
        <v>414</v>
      </c>
      <c r="G3" s="17" t="s">
        <v>5472</v>
      </c>
    </row>
    <row r="4" spans="3:7" ht="55" customHeight="1">
      <c r="C4" s="18">
        <v>1</v>
      </c>
      <c r="D4" s="19" t="s">
        <v>5473</v>
      </c>
      <c r="F4" s="18">
        <v>1</v>
      </c>
      <c r="G4" s="19" t="s">
        <v>5474</v>
      </c>
    </row>
    <row r="5" spans="3:7" ht="55" customHeight="1">
      <c r="C5" s="20">
        <v>2</v>
      </c>
      <c r="D5" s="21" t="s">
        <v>5475</v>
      </c>
      <c r="F5" s="20">
        <v>2</v>
      </c>
      <c r="G5" s="21" t="s">
        <v>5476</v>
      </c>
    </row>
    <row r="6" spans="3:7" ht="55" customHeight="1">
      <c r="C6" s="18">
        <v>3</v>
      </c>
      <c r="D6" s="19" t="s">
        <v>5477</v>
      </c>
      <c r="F6" s="18">
        <v>3</v>
      </c>
      <c r="G6" s="19" t="s">
        <v>5478</v>
      </c>
    </row>
    <row r="7" spans="3:7" ht="55" customHeight="1">
      <c r="C7" s="20">
        <v>4</v>
      </c>
      <c r="D7" s="21" t="s">
        <v>5479</v>
      </c>
      <c r="F7" s="20">
        <v>4</v>
      </c>
      <c r="G7" s="21" t="s">
        <v>5480</v>
      </c>
    </row>
    <row r="8" spans="3:7" ht="55" customHeight="1">
      <c r="C8" s="18">
        <v>5</v>
      </c>
      <c r="D8" s="19" t="s">
        <v>5481</v>
      </c>
      <c r="F8" s="18">
        <v>5</v>
      </c>
      <c r="G8" s="19" t="s">
        <v>5482</v>
      </c>
    </row>
    <row r="9" spans="3:7" ht="55" customHeight="1">
      <c r="C9" s="20">
        <v>6</v>
      </c>
      <c r="D9" s="21" t="s">
        <v>5483</v>
      </c>
      <c r="F9" s="20">
        <v>6</v>
      </c>
      <c r="G9" s="21" t="s">
        <v>5484</v>
      </c>
    </row>
    <row r="10" spans="3:7" ht="55" customHeight="1">
      <c r="C10" s="18">
        <v>7</v>
      </c>
      <c r="D10" s="19" t="s">
        <v>5485</v>
      </c>
      <c r="F10" s="18">
        <v>7</v>
      </c>
      <c r="G10" s="19" t="s">
        <v>5486</v>
      </c>
    </row>
    <row r="11" spans="3:7" ht="55" customHeight="1">
      <c r="C11" s="20">
        <v>8</v>
      </c>
      <c r="D11" s="21" t="s">
        <v>5487</v>
      </c>
      <c r="F11" s="20">
        <v>8</v>
      </c>
      <c r="G11" s="21" t="s">
        <v>5488</v>
      </c>
    </row>
    <row r="12" spans="3:7" ht="55" customHeight="1">
      <c r="C12" s="18">
        <v>9</v>
      </c>
      <c r="D12" s="19" t="s">
        <v>5489</v>
      </c>
      <c r="F12" s="18">
        <v>9</v>
      </c>
      <c r="G12" s="19" t="s">
        <v>5490</v>
      </c>
    </row>
    <row r="13" spans="3:7" ht="55" customHeight="1">
      <c r="C13" s="22">
        <v>10</v>
      </c>
      <c r="D13" s="23" t="s">
        <v>5491</v>
      </c>
      <c r="F13" s="22">
        <v>10</v>
      </c>
      <c r="G13" s="30" t="s">
        <v>5492</v>
      </c>
    </row>
    <row r="15" spans="3:7">
      <c r="C15" s="1103" t="s">
        <v>2289</v>
      </c>
      <c r="D15" s="3230"/>
      <c r="F15" s="1103" t="s">
        <v>2290</v>
      </c>
      <c r="G15" s="3230"/>
    </row>
    <row r="16" spans="3:7" ht="18">
      <c r="C16" s="24" t="s">
        <v>414</v>
      </c>
      <c r="D16" s="25" t="s">
        <v>5493</v>
      </c>
      <c r="E16" s="29"/>
      <c r="F16" s="24" t="s">
        <v>414</v>
      </c>
      <c r="G16" s="25" t="s">
        <v>5493</v>
      </c>
    </row>
    <row r="17" spans="3:7">
      <c r="C17" s="3231">
        <v>0</v>
      </c>
      <c r="D17" s="3233" t="str">
        <f>IF(C17=0,"请在左侧输入数字",VLOOKUP(C17,附表!M114:N213,2,FALSE))</f>
        <v>请在左侧输入数字</v>
      </c>
      <c r="E17" s="29"/>
      <c r="F17" s="3231">
        <v>0</v>
      </c>
      <c r="G17" s="3233" t="str">
        <f>IF(F17=0,"请在左侧输入数字",VLOOKUP(F17,附表!S114:T213,2,FALSE))</f>
        <v>请在左侧输入数字</v>
      </c>
    </row>
    <row r="18" spans="3:7">
      <c r="C18" s="3232"/>
      <c r="D18" s="3234"/>
      <c r="E18" s="29"/>
      <c r="F18" s="3232"/>
      <c r="G18" s="3234"/>
    </row>
    <row r="19" spans="3:7" ht="21">
      <c r="C19" s="28"/>
      <c r="D19" s="28"/>
      <c r="E19" s="29"/>
      <c r="F19" s="28"/>
      <c r="G19" s="28"/>
    </row>
    <row r="23" spans="3:7">
      <c r="C23" s="3244" t="s">
        <v>5494</v>
      </c>
      <c r="D23" s="3245"/>
      <c r="E23" s="3245"/>
      <c r="F23" s="3245"/>
      <c r="G23" s="3246"/>
    </row>
    <row r="24" spans="3:7" ht="17" customHeight="1">
      <c r="C24" s="3247"/>
      <c r="D24" s="3248"/>
      <c r="E24" s="3248"/>
      <c r="F24" s="3248"/>
      <c r="G24" s="3249"/>
    </row>
    <row r="25" spans="3:7" ht="20" customHeight="1">
      <c r="C25" s="3250"/>
      <c r="D25" s="3251"/>
      <c r="E25" s="3251"/>
      <c r="F25" s="3251"/>
      <c r="G25" s="3252"/>
    </row>
    <row r="26" spans="3:7" ht="21">
      <c r="C26" s="28"/>
      <c r="D26" s="28"/>
      <c r="E26" s="29"/>
      <c r="F26" s="28"/>
      <c r="G26" s="28"/>
    </row>
    <row r="27" spans="3:7">
      <c r="C27" s="3235" t="s">
        <v>5495</v>
      </c>
      <c r="D27" s="3253"/>
      <c r="E27" s="29"/>
      <c r="F27" s="3235" t="s">
        <v>5496</v>
      </c>
      <c r="G27" s="3253"/>
    </row>
    <row r="28" spans="3:7">
      <c r="C28" s="3236"/>
      <c r="D28" s="3254"/>
      <c r="E28" s="29"/>
      <c r="F28" s="3236"/>
      <c r="G28" s="3254"/>
    </row>
    <row r="29" spans="3:7">
      <c r="C29" s="2136" t="s">
        <v>5497</v>
      </c>
      <c r="D29" s="2141"/>
      <c r="E29" s="29"/>
      <c r="F29" s="2136" t="s">
        <v>5498</v>
      </c>
      <c r="G29" s="2141"/>
    </row>
    <row r="30" spans="3:7">
      <c r="C30" s="2138"/>
      <c r="D30" s="2143"/>
      <c r="E30" s="29"/>
      <c r="F30" s="2138"/>
      <c r="G30" s="2143"/>
    </row>
    <row r="31" spans="3:7" ht="15" customHeight="1">
      <c r="C31" s="2138"/>
      <c r="D31" s="2143"/>
      <c r="E31" s="29"/>
      <c r="F31" s="2138"/>
      <c r="G31" s="2143"/>
    </row>
    <row r="32" spans="3:7" ht="15" customHeight="1">
      <c r="C32" s="2144"/>
      <c r="D32" s="2146"/>
      <c r="E32" s="29"/>
      <c r="F32" s="2138"/>
      <c r="G32" s="2143"/>
    </row>
    <row r="33" spans="3:8" ht="15" customHeight="1">
      <c r="C33" s="28"/>
      <c r="D33" s="28"/>
      <c r="E33" s="29"/>
      <c r="F33" s="2138"/>
      <c r="G33" s="2143"/>
    </row>
    <row r="34" spans="3:8" ht="15" customHeight="1">
      <c r="C34" s="3235" t="s">
        <v>5499</v>
      </c>
      <c r="D34" s="3255" t="s">
        <v>5500</v>
      </c>
      <c r="E34" s="29"/>
      <c r="F34" s="2138"/>
      <c r="G34" s="2143"/>
    </row>
    <row r="35" spans="3:8" ht="15" customHeight="1">
      <c r="C35" s="3236"/>
      <c r="D35" s="3256"/>
      <c r="E35" s="29"/>
      <c r="F35" s="2138"/>
      <c r="G35" s="2143"/>
    </row>
    <row r="36" spans="3:8" ht="15" customHeight="1">
      <c r="C36" s="3236"/>
      <c r="D36" s="3256"/>
      <c r="E36" s="29"/>
      <c r="F36" s="2138"/>
      <c r="G36" s="2143"/>
    </row>
    <row r="37" spans="3:8" ht="15" customHeight="1">
      <c r="C37" s="3236"/>
      <c r="D37" s="3256"/>
      <c r="E37" s="29"/>
      <c r="F37" s="2138"/>
      <c r="G37" s="2143"/>
    </row>
    <row r="38" spans="3:8" ht="15" customHeight="1">
      <c r="C38" s="3236"/>
      <c r="D38" s="3256"/>
      <c r="E38" s="29"/>
      <c r="F38" s="2138"/>
      <c r="G38" s="2143"/>
    </row>
    <row r="39" spans="3:8" ht="15" customHeight="1">
      <c r="C39" s="3236"/>
      <c r="D39" s="3256"/>
      <c r="E39" s="29"/>
      <c r="F39" s="2138"/>
      <c r="G39" s="2143"/>
      <c r="H39" s="31" t="s">
        <v>5501</v>
      </c>
    </row>
    <row r="40" spans="3:8">
      <c r="C40" s="3236"/>
      <c r="D40" s="3256" t="s">
        <v>5502</v>
      </c>
      <c r="E40" s="29"/>
      <c r="F40" s="2138"/>
      <c r="G40" s="2143"/>
    </row>
    <row r="41" spans="3:8">
      <c r="C41" s="3236"/>
      <c r="D41" s="3256"/>
      <c r="E41" s="29"/>
      <c r="F41" s="2138"/>
      <c r="G41" s="2143"/>
    </row>
    <row r="42" spans="3:8">
      <c r="C42" s="3237"/>
      <c r="D42" s="3257"/>
      <c r="E42" s="29"/>
      <c r="F42" s="2144"/>
      <c r="G42" s="2146"/>
    </row>
    <row r="43" spans="3:8" ht="21">
      <c r="C43" s="28"/>
      <c r="D43" s="28"/>
      <c r="E43" s="29"/>
      <c r="F43" s="28"/>
      <c r="G43" s="28"/>
    </row>
    <row r="44" spans="3:8">
      <c r="C44" s="3244" t="s">
        <v>5503</v>
      </c>
      <c r="D44" s="3245"/>
      <c r="E44" s="3245"/>
      <c r="F44" s="3245"/>
      <c r="G44" s="3246"/>
    </row>
    <row r="45" spans="3:8">
      <c r="C45" s="3247"/>
      <c r="D45" s="3248"/>
      <c r="E45" s="3248"/>
      <c r="F45" s="3248"/>
      <c r="G45" s="3249"/>
    </row>
    <row r="46" spans="3:8">
      <c r="C46" s="3250"/>
      <c r="D46" s="3251"/>
      <c r="E46" s="3251"/>
      <c r="F46" s="3251"/>
      <c r="G46" s="3252"/>
    </row>
    <row r="47" spans="3:8" ht="21">
      <c r="C47" s="28"/>
      <c r="D47" s="28"/>
      <c r="E47" s="29"/>
      <c r="F47" s="28"/>
      <c r="G47" s="28"/>
    </row>
    <row r="48" spans="3:8">
      <c r="C48" s="3238" t="s">
        <v>5504</v>
      </c>
      <c r="D48" s="3258" t="s">
        <v>5505</v>
      </c>
      <c r="E48" s="29"/>
      <c r="F48" s="3238" t="s">
        <v>5506</v>
      </c>
      <c r="G48" s="3258" t="s">
        <v>5507</v>
      </c>
    </row>
    <row r="49" spans="3:7">
      <c r="C49" s="3239"/>
      <c r="D49" s="3241"/>
      <c r="E49" s="29"/>
      <c r="F49" s="3239"/>
      <c r="G49" s="3241"/>
    </row>
    <row r="50" spans="3:7">
      <c r="C50" s="3240"/>
      <c r="D50" s="3243"/>
      <c r="E50" s="29"/>
      <c r="F50" s="3240"/>
      <c r="G50" s="3243"/>
    </row>
    <row r="51" spans="3:7">
      <c r="D51" s="29"/>
      <c r="E51" s="29"/>
      <c r="F51" s="2"/>
      <c r="G51" s="2"/>
    </row>
    <row r="52" spans="3:7">
      <c r="C52" s="3238" t="s">
        <v>5508</v>
      </c>
      <c r="D52" s="3258" t="s">
        <v>5509</v>
      </c>
      <c r="E52" s="29"/>
      <c r="F52" s="3238" t="s">
        <v>5510</v>
      </c>
      <c r="G52" s="3260" t="s">
        <v>5511</v>
      </c>
    </row>
    <row r="53" spans="3:7">
      <c r="C53" s="3239"/>
      <c r="D53" s="3241"/>
      <c r="E53" s="29"/>
      <c r="F53" s="3239"/>
      <c r="G53" s="3261"/>
    </row>
    <row r="54" spans="3:7">
      <c r="C54" s="3239"/>
      <c r="D54" s="3241"/>
      <c r="E54" s="29"/>
      <c r="F54" s="3239"/>
      <c r="G54" s="3262" t="s">
        <v>5512</v>
      </c>
    </row>
    <row r="55" spans="3:7">
      <c r="C55" s="3239" t="s">
        <v>5513</v>
      </c>
      <c r="D55" s="3242" t="s">
        <v>5514</v>
      </c>
      <c r="E55" s="29"/>
      <c r="F55" s="3239"/>
      <c r="G55" s="3262"/>
    </row>
    <row r="56" spans="3:7">
      <c r="C56" s="3239"/>
      <c r="D56" s="3259"/>
      <c r="E56" s="29"/>
      <c r="F56" s="3239"/>
      <c r="G56" s="3261"/>
    </row>
    <row r="57" spans="3:7">
      <c r="C57" s="3239"/>
      <c r="D57" s="3241" t="s">
        <v>5515</v>
      </c>
      <c r="E57" s="29"/>
      <c r="F57" s="3239"/>
      <c r="G57" s="3262" t="s">
        <v>5516</v>
      </c>
    </row>
    <row r="58" spans="3:7">
      <c r="C58" s="3239"/>
      <c r="D58" s="3241"/>
      <c r="E58" s="29"/>
      <c r="F58" s="3239"/>
      <c r="G58" s="3263"/>
    </row>
    <row r="59" spans="3:7">
      <c r="C59" s="3239" t="s">
        <v>5517</v>
      </c>
      <c r="D59" s="3242" t="s">
        <v>5518</v>
      </c>
      <c r="E59" s="29"/>
      <c r="F59" s="3239"/>
      <c r="G59" s="3263"/>
    </row>
    <row r="60" spans="3:7">
      <c r="C60" s="3239"/>
      <c r="D60" s="3241"/>
      <c r="E60" s="29"/>
      <c r="F60" s="3239"/>
      <c r="G60" s="3264" t="s">
        <v>5519</v>
      </c>
    </row>
    <row r="61" spans="3:7">
      <c r="C61" s="3239"/>
      <c r="D61" s="3241"/>
      <c r="E61" s="29"/>
      <c r="F61" s="3239"/>
      <c r="G61" s="3263"/>
    </row>
    <row r="62" spans="3:7">
      <c r="C62" s="3240"/>
      <c r="D62" s="3243"/>
      <c r="E62" s="29"/>
      <c r="F62" s="3239"/>
      <c r="G62" s="3263"/>
    </row>
    <row r="63" spans="3:7">
      <c r="C63" s="2"/>
      <c r="D63" s="2"/>
      <c r="E63" s="29"/>
      <c r="F63" s="3240"/>
      <c r="G63" s="3265"/>
    </row>
    <row r="64" spans="3:7">
      <c r="C64" s="2"/>
      <c r="D64" s="2"/>
      <c r="E64" s="29"/>
      <c r="F64" s="2"/>
      <c r="G64" s="2"/>
    </row>
    <row r="65" spans="3:7">
      <c r="C65" s="2"/>
      <c r="D65" s="2"/>
      <c r="E65" s="29"/>
      <c r="F65" s="2"/>
      <c r="G65" s="2"/>
    </row>
    <row r="66" spans="3:7">
      <c r="C66" s="2"/>
      <c r="D66" s="2"/>
      <c r="E66" s="29"/>
      <c r="F66" s="2"/>
      <c r="G66" s="2"/>
    </row>
    <row r="67" spans="3:7">
      <c r="C67" s="2"/>
      <c r="D67" s="2"/>
      <c r="E67" s="29"/>
      <c r="F67" s="2"/>
      <c r="G67" s="2"/>
    </row>
    <row r="68" spans="3:7">
      <c r="C68" s="2"/>
      <c r="D68" s="2"/>
      <c r="E68" s="29"/>
      <c r="F68" s="2"/>
      <c r="G68" s="2"/>
    </row>
    <row r="69" spans="3:7">
      <c r="C69" s="2"/>
      <c r="D69" s="2"/>
      <c r="E69" s="29"/>
      <c r="F69" s="2"/>
      <c r="G69" s="2"/>
    </row>
    <row r="70" spans="3:7">
      <c r="C70" s="2"/>
      <c r="D70" s="2"/>
      <c r="E70" s="29"/>
      <c r="F70" s="2"/>
      <c r="G70" s="2"/>
    </row>
    <row r="71" spans="3:7">
      <c r="C71" s="2"/>
      <c r="D71" s="2"/>
      <c r="E71" s="29"/>
      <c r="F71" s="2"/>
      <c r="G71" s="2"/>
    </row>
    <row r="72" spans="3:7">
      <c r="C72" s="2"/>
      <c r="D72" s="2"/>
      <c r="E72" s="29"/>
      <c r="F72" s="2"/>
      <c r="G72" s="2"/>
    </row>
    <row r="73" spans="3:7">
      <c r="C73" s="2"/>
      <c r="D73" s="2"/>
      <c r="E73" s="29"/>
      <c r="F73" s="2"/>
      <c r="G73" s="2"/>
    </row>
    <row r="74" spans="3:7">
      <c r="C74" s="2"/>
      <c r="D74" s="2"/>
      <c r="E74" s="29"/>
      <c r="F74" s="2"/>
      <c r="G74" s="2"/>
    </row>
    <row r="75" spans="3:7">
      <c r="C75" s="2"/>
      <c r="D75" s="2"/>
      <c r="E75" s="29"/>
      <c r="F75" s="2"/>
      <c r="G75" s="2"/>
    </row>
    <row r="76" spans="3:7">
      <c r="C76" s="2"/>
      <c r="D76" s="2"/>
      <c r="E76" s="29"/>
      <c r="F76" s="2"/>
      <c r="G76" s="2"/>
    </row>
    <row r="77" spans="3:7">
      <c r="C77" s="2"/>
      <c r="D77" s="2"/>
      <c r="E77" s="29"/>
      <c r="F77" s="2"/>
      <c r="G77" s="2"/>
    </row>
    <row r="78" spans="3:7">
      <c r="C78" s="2"/>
      <c r="D78" s="2"/>
      <c r="E78" s="29"/>
      <c r="F78" s="2"/>
      <c r="G78" s="2"/>
    </row>
    <row r="79" spans="3:7">
      <c r="C79" s="2"/>
      <c r="D79" s="2"/>
      <c r="E79" s="29"/>
      <c r="F79" s="2"/>
      <c r="G79" s="2"/>
    </row>
    <row r="80" spans="3:7">
      <c r="C80" s="2"/>
      <c r="D80" s="2"/>
      <c r="E80" s="29"/>
      <c r="F80" s="2"/>
      <c r="G80" s="2"/>
    </row>
    <row r="81" spans="3:7">
      <c r="C81" s="2"/>
      <c r="D81" s="2"/>
      <c r="E81" s="29"/>
      <c r="F81" s="2"/>
      <c r="G81" s="2"/>
    </row>
    <row r="82" spans="3:7">
      <c r="C82" s="2"/>
      <c r="D82" s="2"/>
      <c r="E82" s="29"/>
      <c r="F82" s="2"/>
      <c r="G82" s="2"/>
    </row>
    <row r="83" spans="3:7">
      <c r="C83" s="2"/>
      <c r="D83" s="2"/>
      <c r="E83" s="29"/>
      <c r="F83" s="2"/>
      <c r="G83" s="2"/>
    </row>
    <row r="84" spans="3:7">
      <c r="C84" s="2"/>
      <c r="D84" s="2"/>
      <c r="E84" s="29"/>
      <c r="F84" s="2"/>
      <c r="G84" s="2"/>
    </row>
    <row r="85" spans="3:7">
      <c r="C85" s="2"/>
      <c r="D85" s="2"/>
      <c r="E85" s="29"/>
      <c r="F85" s="2"/>
      <c r="G85" s="2"/>
    </row>
    <row r="86" spans="3:7">
      <c r="C86" s="2"/>
      <c r="D86" s="2"/>
      <c r="E86" s="29"/>
      <c r="F86" s="2"/>
      <c r="G86" s="2"/>
    </row>
    <row r="87" spans="3:7">
      <c r="C87" s="2"/>
      <c r="D87" s="2"/>
      <c r="E87" s="29"/>
      <c r="F87" s="2"/>
      <c r="G87" s="2"/>
    </row>
    <row r="88" spans="3:7">
      <c r="C88" s="2"/>
      <c r="D88" s="2"/>
      <c r="E88" s="29"/>
      <c r="F88" s="2"/>
      <c r="G88" s="2"/>
    </row>
    <row r="89" spans="3:7">
      <c r="C89" s="2"/>
      <c r="D89" s="2"/>
      <c r="E89" s="29"/>
      <c r="F89" s="2"/>
      <c r="G89" s="2"/>
    </row>
    <row r="90" spans="3:7">
      <c r="C90" s="2"/>
      <c r="D90" s="2"/>
      <c r="E90" s="29"/>
      <c r="F90" s="2"/>
      <c r="G90" s="2"/>
    </row>
    <row r="91" spans="3:7">
      <c r="C91" s="2"/>
      <c r="D91" s="2"/>
      <c r="E91" s="29"/>
      <c r="F91" s="2"/>
      <c r="G91" s="2"/>
    </row>
    <row r="92" spans="3:7">
      <c r="C92" s="2"/>
      <c r="D92" s="2"/>
      <c r="E92" s="29"/>
      <c r="F92" s="2"/>
      <c r="G92" s="2"/>
    </row>
    <row r="93" spans="3:7">
      <c r="C93" s="2"/>
      <c r="D93" s="2"/>
      <c r="E93" s="29"/>
      <c r="F93" s="2"/>
      <c r="G93" s="2"/>
    </row>
    <row r="94" spans="3:7" ht="21">
      <c r="C94" s="28"/>
      <c r="D94" s="28"/>
      <c r="E94" s="29"/>
      <c r="F94" s="28"/>
      <c r="G94" s="28"/>
    </row>
    <row r="95" spans="3:7" ht="21">
      <c r="C95" s="28"/>
      <c r="D95" s="28"/>
      <c r="E95" s="29"/>
      <c r="F95" s="28"/>
      <c r="G95" s="28"/>
    </row>
    <row r="96" spans="3:7" ht="21">
      <c r="C96" s="28"/>
      <c r="D96" s="28"/>
      <c r="E96" s="29"/>
      <c r="F96" s="28"/>
      <c r="G96" s="28"/>
    </row>
    <row r="97" spans="3:7" ht="21">
      <c r="C97" s="28"/>
      <c r="D97" s="28"/>
      <c r="E97" s="29"/>
      <c r="F97" s="28"/>
      <c r="G97" s="28"/>
    </row>
    <row r="98" spans="3:7" ht="21">
      <c r="C98" s="28"/>
      <c r="D98" s="28"/>
      <c r="E98" s="29"/>
      <c r="F98" s="28"/>
      <c r="G98" s="28"/>
    </row>
    <row r="99" spans="3:7" ht="21">
      <c r="C99" s="28"/>
      <c r="D99" s="28"/>
      <c r="E99" s="29"/>
      <c r="F99" s="28"/>
      <c r="G99" s="28"/>
    </row>
    <row r="100" spans="3:7" ht="21">
      <c r="C100" s="28"/>
      <c r="D100" s="28"/>
      <c r="E100" s="29"/>
      <c r="F100" s="28"/>
      <c r="G100" s="28"/>
    </row>
    <row r="101" spans="3:7" ht="21">
      <c r="C101" s="28"/>
      <c r="D101" s="28"/>
      <c r="E101" s="29"/>
      <c r="F101" s="28"/>
      <c r="G101" s="28"/>
    </row>
    <row r="102" spans="3:7" ht="21">
      <c r="C102" s="28"/>
      <c r="D102" s="28"/>
      <c r="E102" s="29"/>
      <c r="F102" s="28"/>
      <c r="G102" s="28"/>
    </row>
    <row r="103" spans="3:7" ht="21">
      <c r="C103" s="28"/>
      <c r="D103" s="28"/>
      <c r="E103" s="29"/>
      <c r="F103" s="28"/>
      <c r="G103" s="28"/>
    </row>
    <row r="104" spans="3:7" ht="21">
      <c r="C104" s="28"/>
      <c r="D104" s="28"/>
      <c r="E104" s="29"/>
      <c r="F104" s="28"/>
      <c r="G104" s="28"/>
    </row>
    <row r="105" spans="3:7" ht="21">
      <c r="C105" s="28"/>
      <c r="D105" s="28"/>
      <c r="E105" s="29"/>
      <c r="F105" s="28"/>
      <c r="G105" s="28"/>
    </row>
    <row r="106" spans="3:7" ht="21">
      <c r="C106" s="28"/>
      <c r="D106" s="28"/>
      <c r="E106" s="29"/>
      <c r="F106" s="28"/>
      <c r="G106" s="28"/>
    </row>
    <row r="107" spans="3:7" ht="21">
      <c r="C107" s="28"/>
      <c r="D107" s="28"/>
      <c r="E107" s="29"/>
      <c r="F107" s="28"/>
      <c r="G107" s="28"/>
    </row>
    <row r="108" spans="3:7" ht="21">
      <c r="C108" s="28"/>
      <c r="D108" s="28"/>
      <c r="E108" s="29"/>
      <c r="F108" s="28"/>
      <c r="G108" s="28"/>
    </row>
    <row r="109" spans="3:7" ht="21">
      <c r="C109" s="28"/>
      <c r="D109" s="28"/>
      <c r="E109" s="29"/>
      <c r="F109" s="28"/>
      <c r="G109" s="28"/>
    </row>
    <row r="110" spans="3:7" ht="21">
      <c r="C110" s="28"/>
      <c r="D110" s="28"/>
      <c r="E110" s="29"/>
      <c r="F110" s="28"/>
      <c r="G110" s="28"/>
    </row>
    <row r="111" spans="3:7" ht="21">
      <c r="C111" s="28"/>
      <c r="D111" s="28"/>
      <c r="E111" s="29"/>
      <c r="F111" s="28"/>
      <c r="G111" s="28"/>
    </row>
    <row r="112" spans="3:7" ht="21">
      <c r="C112" s="28"/>
      <c r="D112" s="28"/>
      <c r="E112" s="29"/>
      <c r="F112" s="28"/>
      <c r="G112" s="28"/>
    </row>
    <row r="113" spans="3:7" ht="21">
      <c r="C113" s="28"/>
      <c r="D113" s="28"/>
      <c r="E113" s="29"/>
      <c r="F113" s="28"/>
      <c r="G113" s="28"/>
    </row>
    <row r="114" spans="3:7" ht="21">
      <c r="C114" s="28"/>
      <c r="D114" s="28"/>
      <c r="E114" s="29"/>
      <c r="F114" s="28"/>
      <c r="G114" s="28"/>
    </row>
    <row r="115" spans="3:7" ht="21">
      <c r="C115" s="28"/>
      <c r="D115" s="28"/>
      <c r="E115" s="29"/>
      <c r="F115" s="28"/>
      <c r="G115" s="28"/>
    </row>
    <row r="116" spans="3:7" ht="21">
      <c r="C116" s="28"/>
      <c r="D116" s="28"/>
      <c r="E116" s="29"/>
      <c r="F116" s="28"/>
      <c r="G116" s="28"/>
    </row>
    <row r="117" spans="3:7" ht="21">
      <c r="C117" s="28"/>
      <c r="D117" s="28"/>
      <c r="E117" s="29"/>
      <c r="F117" s="28"/>
      <c r="G117" s="28"/>
    </row>
    <row r="118" spans="3:7" ht="21">
      <c r="C118" s="28"/>
      <c r="D118" s="28"/>
      <c r="E118" s="29"/>
      <c r="F118" s="28"/>
      <c r="G118" s="28"/>
    </row>
    <row r="119" spans="3:7" ht="21">
      <c r="C119" s="28"/>
      <c r="D119" s="28"/>
      <c r="E119" s="29"/>
      <c r="F119" s="28"/>
      <c r="G119" s="28"/>
    </row>
    <row r="120" spans="3:7" ht="21">
      <c r="C120" s="28"/>
      <c r="D120" s="28"/>
      <c r="E120" s="29"/>
      <c r="F120" s="28"/>
      <c r="G120" s="28"/>
    </row>
    <row r="121" spans="3:7" ht="21">
      <c r="C121" s="28"/>
      <c r="D121" s="28"/>
      <c r="E121" s="29"/>
      <c r="F121" s="28"/>
      <c r="G121" s="28"/>
    </row>
    <row r="122" spans="3:7" ht="21">
      <c r="C122" s="28"/>
      <c r="D122" s="28"/>
      <c r="E122" s="29"/>
      <c r="F122" s="28"/>
      <c r="G122" s="28"/>
    </row>
    <row r="123" spans="3:7" ht="21">
      <c r="C123" s="28"/>
      <c r="D123" s="28"/>
      <c r="E123" s="29"/>
      <c r="F123" s="28"/>
      <c r="G123" s="28"/>
    </row>
    <row r="124" spans="3:7" ht="21">
      <c r="C124" s="28"/>
      <c r="D124" s="28"/>
      <c r="E124" s="29"/>
      <c r="F124" s="28"/>
      <c r="G124" s="28"/>
    </row>
    <row r="125" spans="3:7" ht="21">
      <c r="C125" s="28"/>
      <c r="D125" s="28"/>
      <c r="E125" s="29"/>
      <c r="F125" s="28"/>
      <c r="G125" s="28"/>
    </row>
    <row r="126" spans="3:7" ht="21">
      <c r="C126" s="28"/>
      <c r="D126" s="28"/>
      <c r="E126" s="29"/>
      <c r="F126" s="28"/>
      <c r="G126" s="28"/>
    </row>
    <row r="127" spans="3:7" ht="21">
      <c r="C127" s="28"/>
      <c r="D127" s="28"/>
      <c r="E127" s="29"/>
      <c r="F127" s="28"/>
      <c r="G127" s="28"/>
    </row>
    <row r="128" spans="3:7" ht="21">
      <c r="C128" s="28"/>
      <c r="D128" s="28"/>
      <c r="E128" s="29"/>
      <c r="F128" s="28"/>
      <c r="G128" s="28"/>
    </row>
    <row r="129" spans="3:7" ht="21">
      <c r="C129" s="28"/>
      <c r="D129" s="28"/>
      <c r="E129" s="29"/>
      <c r="F129" s="28"/>
      <c r="G129" s="28"/>
    </row>
    <row r="130" spans="3:7" ht="21">
      <c r="C130" s="28"/>
      <c r="D130" s="28"/>
      <c r="E130" s="29"/>
      <c r="F130" s="28"/>
      <c r="G130" s="28"/>
    </row>
    <row r="131" spans="3:7" ht="21">
      <c r="C131" s="28"/>
      <c r="D131" s="28"/>
      <c r="E131" s="29"/>
      <c r="F131" s="28"/>
      <c r="G131" s="28"/>
    </row>
    <row r="132" spans="3:7" ht="21">
      <c r="C132" s="28"/>
      <c r="D132" s="28"/>
      <c r="E132" s="29"/>
      <c r="F132" s="28"/>
      <c r="G132" s="28"/>
    </row>
    <row r="133" spans="3:7" ht="21">
      <c r="C133" s="28"/>
      <c r="D133" s="28"/>
      <c r="E133" s="29"/>
      <c r="F133" s="28"/>
      <c r="G133" s="28"/>
    </row>
    <row r="134" spans="3:7" ht="21">
      <c r="C134" s="28"/>
      <c r="D134" s="28"/>
      <c r="E134" s="29"/>
      <c r="F134" s="28"/>
      <c r="G134" s="28"/>
    </row>
    <row r="135" spans="3:7" ht="21">
      <c r="C135" s="28"/>
      <c r="D135" s="28"/>
      <c r="E135" s="29"/>
      <c r="F135" s="28"/>
      <c r="G135" s="28"/>
    </row>
    <row r="136" spans="3:7" ht="21">
      <c r="C136" s="28"/>
      <c r="D136" s="28"/>
      <c r="E136" s="29"/>
      <c r="F136" s="28"/>
      <c r="G136" s="28"/>
    </row>
    <row r="137" spans="3:7" ht="21">
      <c r="C137" s="28"/>
      <c r="D137" s="28"/>
      <c r="E137" s="29"/>
      <c r="F137" s="28"/>
      <c r="G137" s="28"/>
    </row>
    <row r="138" spans="3:7" ht="21">
      <c r="C138" s="28"/>
      <c r="D138" s="28"/>
      <c r="E138" s="29"/>
      <c r="F138" s="28"/>
      <c r="G138" s="28"/>
    </row>
    <row r="139" spans="3:7" ht="21">
      <c r="C139" s="29"/>
      <c r="D139" s="29"/>
      <c r="E139" s="29"/>
      <c r="F139" s="28"/>
      <c r="G139" s="28"/>
    </row>
    <row r="140" spans="3:7" ht="21">
      <c r="C140" s="29"/>
      <c r="D140" s="29"/>
      <c r="E140" s="29"/>
      <c r="F140" s="28"/>
      <c r="G140" s="28"/>
    </row>
    <row r="141" spans="3:7" ht="21">
      <c r="C141" s="29"/>
      <c r="D141" s="29"/>
      <c r="E141" s="29"/>
      <c r="F141" s="28"/>
      <c r="G141" s="28"/>
    </row>
    <row r="142" spans="3:7" ht="21">
      <c r="C142" s="29"/>
      <c r="D142" s="29"/>
      <c r="E142" s="29"/>
      <c r="F142" s="28"/>
      <c r="G142" s="28"/>
    </row>
    <row r="143" spans="3:7" ht="21">
      <c r="C143" s="29"/>
      <c r="D143" s="29"/>
      <c r="E143" s="29"/>
      <c r="F143" s="28"/>
      <c r="G143" s="28"/>
    </row>
    <row r="144" spans="3:7" ht="21">
      <c r="C144" s="29"/>
      <c r="D144" s="29"/>
      <c r="E144" s="29"/>
      <c r="F144" s="28"/>
      <c r="G144" s="28"/>
    </row>
    <row r="145" spans="3:7" ht="21">
      <c r="C145" s="29"/>
      <c r="D145" s="29"/>
      <c r="E145" s="29"/>
      <c r="F145" s="28"/>
      <c r="G145" s="28"/>
    </row>
  </sheetData>
  <sheetProtection sheet="1" objects="1"/>
  <mergeCells count="33">
    <mergeCell ref="G48:G50"/>
    <mergeCell ref="G52:G53"/>
    <mergeCell ref="G54:G56"/>
    <mergeCell ref="G57:G59"/>
    <mergeCell ref="G60:G63"/>
    <mergeCell ref="D57:D58"/>
    <mergeCell ref="D59:D62"/>
    <mergeCell ref="F17:F18"/>
    <mergeCell ref="F48:F50"/>
    <mergeCell ref="F52:F63"/>
    <mergeCell ref="C44:G46"/>
    <mergeCell ref="C29:D32"/>
    <mergeCell ref="F27:G28"/>
    <mergeCell ref="C23:G25"/>
    <mergeCell ref="C27:D28"/>
    <mergeCell ref="F29:G42"/>
    <mergeCell ref="D34:D39"/>
    <mergeCell ref="D40:D42"/>
    <mergeCell ref="D48:D50"/>
    <mergeCell ref="D52:D54"/>
    <mergeCell ref="D55:D56"/>
    <mergeCell ref="C34:C42"/>
    <mergeCell ref="C48:C50"/>
    <mergeCell ref="C52:C54"/>
    <mergeCell ref="C55:C58"/>
    <mergeCell ref="C59:C62"/>
    <mergeCell ref="C2:D2"/>
    <mergeCell ref="F2:G2"/>
    <mergeCell ref="C15:D15"/>
    <mergeCell ref="F15:G15"/>
    <mergeCell ref="C17:C18"/>
    <mergeCell ref="D17:D18"/>
    <mergeCell ref="G17:G18"/>
  </mergeCells>
  <pageMargins left="0.75" right="0.75" top="1" bottom="1" header="0.51180555555555596" footer="0.5118055555555559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X390"/>
  <sheetViews>
    <sheetView topLeftCell="G46" zoomScale="80" zoomScaleNormal="80" workbookViewId="0">
      <selection activeCell="Z166" sqref="Z166"/>
    </sheetView>
  </sheetViews>
  <sheetFormatPr baseColWidth="10" defaultColWidth="9" defaultRowHeight="22" customHeight="1"/>
  <cols>
    <col min="1" max="1" width="5.6640625" style="1" customWidth="1"/>
    <col min="2" max="14" width="9" style="1" customWidth="1"/>
    <col min="15" max="15" width="2.83203125" style="1" customWidth="1"/>
    <col min="16" max="26" width="9" style="1" customWidth="1"/>
    <col min="27" max="27" width="2.83203125" style="1" customWidth="1"/>
    <col min="28" max="38" width="9" style="1" customWidth="1"/>
    <col min="39" max="39" width="2.83203125" style="1" customWidth="1"/>
    <col min="40" max="50" width="9" style="1" customWidth="1"/>
  </cols>
  <sheetData>
    <row r="1" spans="4:50" ht="22" customHeight="1">
      <c r="D1" s="3325" t="s">
        <v>5520</v>
      </c>
      <c r="E1" s="3325"/>
      <c r="F1" s="3325"/>
      <c r="G1" s="3325"/>
      <c r="H1" s="3325"/>
      <c r="I1" s="3325"/>
      <c r="J1" s="3325"/>
      <c r="K1" s="3325"/>
      <c r="L1" s="3325"/>
      <c r="M1" s="3325"/>
      <c r="N1" s="3325"/>
      <c r="O1" s="3"/>
      <c r="P1" s="3325" t="s">
        <v>5521</v>
      </c>
      <c r="Q1" s="3325"/>
      <c r="R1" s="3325"/>
      <c r="S1" s="3325"/>
      <c r="T1" s="3325"/>
      <c r="U1" s="3325"/>
      <c r="V1" s="3325"/>
      <c r="W1" s="3325"/>
      <c r="X1" s="3325"/>
      <c r="Y1" s="3325"/>
      <c r="Z1" s="3325"/>
      <c r="AA1" s="3"/>
      <c r="AB1" s="3325" t="s">
        <v>5522</v>
      </c>
      <c r="AC1" s="3325"/>
      <c r="AD1" s="3325"/>
      <c r="AE1" s="3325"/>
      <c r="AF1" s="3325"/>
      <c r="AG1" s="3325"/>
      <c r="AH1" s="3325"/>
      <c r="AI1" s="3325"/>
      <c r="AJ1" s="3325"/>
      <c r="AK1" s="3325"/>
      <c r="AL1" s="3325"/>
      <c r="AM1" s="3"/>
      <c r="AN1" s="3325" t="s">
        <v>5523</v>
      </c>
      <c r="AO1" s="3325"/>
      <c r="AP1" s="3325"/>
      <c r="AQ1" s="3325"/>
      <c r="AR1" s="3325"/>
      <c r="AS1" s="3325"/>
      <c r="AT1" s="3325"/>
      <c r="AU1" s="3325"/>
      <c r="AV1" s="3325"/>
      <c r="AW1" s="3325"/>
      <c r="AX1" s="3325"/>
    </row>
    <row r="2" spans="4:50" ht="22" customHeight="1">
      <c r="D2" s="3325"/>
      <c r="E2" s="3325"/>
      <c r="F2" s="3325"/>
      <c r="G2" s="3325"/>
      <c r="H2" s="3325"/>
      <c r="I2" s="3325"/>
      <c r="J2" s="3325"/>
      <c r="K2" s="3325"/>
      <c r="L2" s="3325"/>
      <c r="M2" s="3325"/>
      <c r="N2" s="3325"/>
      <c r="O2" s="3"/>
      <c r="P2" s="3325"/>
      <c r="Q2" s="3325"/>
      <c r="R2" s="3325"/>
      <c r="S2" s="3325"/>
      <c r="T2" s="3325"/>
      <c r="U2" s="3325"/>
      <c r="V2" s="3325"/>
      <c r="W2" s="3325"/>
      <c r="X2" s="3325"/>
      <c r="Y2" s="3325"/>
      <c r="Z2" s="3325"/>
      <c r="AA2" s="3"/>
      <c r="AB2" s="3325"/>
      <c r="AC2" s="3325"/>
      <c r="AD2" s="3325"/>
      <c r="AE2" s="3325"/>
      <c r="AF2" s="3325"/>
      <c r="AG2" s="3325"/>
      <c r="AH2" s="3325"/>
      <c r="AI2" s="3325"/>
      <c r="AJ2" s="3325"/>
      <c r="AK2" s="3325"/>
      <c r="AL2" s="3325"/>
      <c r="AM2" s="3"/>
      <c r="AN2" s="3325"/>
      <c r="AO2" s="3325"/>
      <c r="AP2" s="3325"/>
      <c r="AQ2" s="3325"/>
      <c r="AR2" s="3325"/>
      <c r="AS2" s="3325"/>
      <c r="AT2" s="3325"/>
      <c r="AU2" s="3325"/>
      <c r="AV2" s="3325"/>
      <c r="AW2" s="3325"/>
      <c r="AX2" s="3325"/>
    </row>
    <row r="3" spans="4:50" ht="22" customHeight="1">
      <c r="D3" s="3330" t="s">
        <v>5524</v>
      </c>
      <c r="E3" s="3330"/>
      <c r="F3" s="3328" t="s">
        <v>5525</v>
      </c>
      <c r="G3" s="3329"/>
      <c r="H3" s="3329"/>
      <c r="I3" s="3329"/>
      <c r="J3" s="3329"/>
      <c r="K3" s="3329"/>
      <c r="L3" s="3329"/>
      <c r="M3" s="3329"/>
      <c r="N3" s="3329"/>
      <c r="O3" s="3"/>
      <c r="P3" s="3269" t="s">
        <v>5526</v>
      </c>
      <c r="Q3" s="3270"/>
      <c r="R3" s="3270"/>
      <c r="S3" s="3270"/>
      <c r="T3" s="3270"/>
      <c r="U3" s="3270"/>
      <c r="V3" s="3270"/>
      <c r="W3" s="3270"/>
      <c r="X3" s="3270"/>
      <c r="Y3" s="3270"/>
      <c r="Z3" s="3270"/>
      <c r="AA3" s="3"/>
      <c r="AB3" s="3272" t="s">
        <v>5527</v>
      </c>
      <c r="AC3" s="3270"/>
      <c r="AD3" s="3270"/>
      <c r="AE3" s="3270"/>
      <c r="AF3" s="3270"/>
      <c r="AG3" s="3270"/>
      <c r="AH3" s="3270"/>
      <c r="AI3" s="3270"/>
      <c r="AJ3" s="3270"/>
      <c r="AK3" s="3270"/>
      <c r="AL3" s="3270"/>
      <c r="AM3" s="3"/>
      <c r="AN3" s="3273" t="s">
        <v>5528</v>
      </c>
      <c r="AO3" s="3270"/>
      <c r="AP3" s="3270"/>
      <c r="AQ3" s="3270"/>
      <c r="AR3" s="3270"/>
      <c r="AS3" s="3270"/>
      <c r="AT3" s="3270"/>
      <c r="AU3" s="3270"/>
      <c r="AV3" s="3270"/>
      <c r="AW3" s="3270"/>
      <c r="AX3" s="3270"/>
    </row>
    <row r="4" spans="4:50" ht="22" customHeight="1">
      <c r="D4" s="3330"/>
      <c r="E4" s="3330"/>
      <c r="F4" s="3329"/>
      <c r="G4" s="3329"/>
      <c r="H4" s="3329"/>
      <c r="I4" s="3329"/>
      <c r="J4" s="3329"/>
      <c r="K4" s="3329"/>
      <c r="L4" s="3329"/>
      <c r="M4" s="3329"/>
      <c r="N4" s="3329"/>
      <c r="O4" s="3"/>
      <c r="P4" s="3280" t="s">
        <v>5529</v>
      </c>
      <c r="Q4" s="3332" t="s">
        <v>5530</v>
      </c>
      <c r="R4" s="3332"/>
      <c r="S4" s="3332"/>
      <c r="T4" s="3332"/>
      <c r="U4" s="3332"/>
      <c r="V4" s="3332"/>
      <c r="W4" s="3332"/>
      <c r="X4" s="3332"/>
      <c r="Y4" s="3332"/>
      <c r="Z4" s="3332"/>
      <c r="AA4" s="3"/>
      <c r="AB4" s="3280" t="s">
        <v>5531</v>
      </c>
      <c r="AC4" s="3274" t="s">
        <v>5532</v>
      </c>
      <c r="AD4" s="3271"/>
      <c r="AE4" s="3271"/>
      <c r="AF4" s="3271"/>
      <c r="AG4" s="3271"/>
      <c r="AH4" s="3271"/>
      <c r="AI4" s="3271"/>
      <c r="AJ4" s="3271"/>
      <c r="AK4" s="3271"/>
      <c r="AL4" s="3271"/>
      <c r="AM4" s="3"/>
      <c r="AN4" s="3284" t="s">
        <v>5533</v>
      </c>
      <c r="AO4" s="3336" t="s">
        <v>5534</v>
      </c>
      <c r="AP4" s="3271"/>
      <c r="AQ4" s="3271"/>
      <c r="AR4" s="3271"/>
      <c r="AS4" s="3271"/>
      <c r="AT4" s="3271"/>
      <c r="AU4" s="3271"/>
      <c r="AV4" s="3271"/>
      <c r="AW4" s="3271"/>
      <c r="AX4" s="3271"/>
    </row>
    <row r="5" spans="4:50" ht="22" customHeight="1">
      <c r="D5" s="3330" t="s">
        <v>5535</v>
      </c>
      <c r="E5" s="3330"/>
      <c r="F5" s="3328" t="s">
        <v>5536</v>
      </c>
      <c r="G5" s="3329"/>
      <c r="H5" s="3329"/>
      <c r="I5" s="3329"/>
      <c r="J5" s="3329"/>
      <c r="K5" s="3329"/>
      <c r="L5" s="3329"/>
      <c r="M5" s="3329"/>
      <c r="N5" s="3329"/>
      <c r="O5" s="3"/>
      <c r="P5" s="3281"/>
      <c r="Q5" s="3332"/>
      <c r="R5" s="3332"/>
      <c r="S5" s="3332"/>
      <c r="T5" s="3332"/>
      <c r="U5" s="3332"/>
      <c r="V5" s="3332"/>
      <c r="W5" s="3332"/>
      <c r="X5" s="3332"/>
      <c r="Y5" s="3332"/>
      <c r="Z5" s="3332"/>
      <c r="AA5" s="3"/>
      <c r="AB5" s="3281"/>
      <c r="AC5" s="3333" t="s">
        <v>5537</v>
      </c>
      <c r="AD5" s="3271"/>
      <c r="AE5" s="3271"/>
      <c r="AF5" s="3271"/>
      <c r="AG5" s="3271"/>
      <c r="AH5" s="3271"/>
      <c r="AI5" s="3271"/>
      <c r="AJ5" s="3271"/>
      <c r="AK5" s="3271"/>
      <c r="AL5" s="3271"/>
      <c r="AM5" s="3"/>
      <c r="AN5" s="3285"/>
      <c r="AO5" s="3271"/>
      <c r="AP5" s="3271"/>
      <c r="AQ5" s="3271"/>
      <c r="AR5" s="3271"/>
      <c r="AS5" s="3271"/>
      <c r="AT5" s="3271"/>
      <c r="AU5" s="3271"/>
      <c r="AV5" s="3271"/>
      <c r="AW5" s="3271"/>
      <c r="AX5" s="3271"/>
    </row>
    <row r="6" spans="4:50" ht="22" customHeight="1">
      <c r="D6" s="3330"/>
      <c r="E6" s="3330"/>
      <c r="F6" s="3329"/>
      <c r="G6" s="3329"/>
      <c r="H6" s="3329"/>
      <c r="I6" s="3329"/>
      <c r="J6" s="3329"/>
      <c r="K6" s="3329"/>
      <c r="L6" s="3329"/>
      <c r="M6" s="3329"/>
      <c r="N6" s="3329"/>
      <c r="O6" s="3"/>
      <c r="P6" s="3281"/>
      <c r="Q6" s="3332"/>
      <c r="R6" s="3332"/>
      <c r="S6" s="3332"/>
      <c r="T6" s="3332"/>
      <c r="U6" s="3332"/>
      <c r="V6" s="3332"/>
      <c r="W6" s="3332"/>
      <c r="X6" s="3332"/>
      <c r="Y6" s="3332"/>
      <c r="Z6" s="3332"/>
      <c r="AA6" s="3"/>
      <c r="AB6" s="3281"/>
      <c r="AC6" s="3274"/>
      <c r="AD6" s="3271"/>
      <c r="AE6" s="3271"/>
      <c r="AF6" s="3271"/>
      <c r="AG6" s="3271"/>
      <c r="AH6" s="3271"/>
      <c r="AI6" s="3271"/>
      <c r="AJ6" s="3271"/>
      <c r="AK6" s="3271"/>
      <c r="AL6" s="3271"/>
      <c r="AM6" s="3"/>
      <c r="AN6" s="3285"/>
      <c r="AO6" s="3271"/>
      <c r="AP6" s="3271"/>
      <c r="AQ6" s="3271"/>
      <c r="AR6" s="3271"/>
      <c r="AS6" s="3271"/>
      <c r="AT6" s="3271"/>
      <c r="AU6" s="3271"/>
      <c r="AV6" s="3271"/>
      <c r="AW6" s="3271"/>
      <c r="AX6" s="3271"/>
    </row>
    <row r="7" spans="4:50" ht="22" customHeight="1">
      <c r="D7" s="3330" t="s">
        <v>5538</v>
      </c>
      <c r="E7" s="3330"/>
      <c r="F7" s="3338" t="s">
        <v>5539</v>
      </c>
      <c r="G7" s="3339"/>
      <c r="H7" s="3339"/>
      <c r="I7" s="3339"/>
      <c r="J7" s="3339"/>
      <c r="K7" s="3339"/>
      <c r="L7" s="3339"/>
      <c r="M7" s="3339"/>
      <c r="N7" s="3339"/>
      <c r="O7" s="3"/>
      <c r="P7" s="3280" t="s">
        <v>5540</v>
      </c>
      <c r="Q7" s="3332" t="s">
        <v>5541</v>
      </c>
      <c r="R7" s="3332"/>
      <c r="S7" s="3332"/>
      <c r="T7" s="3332"/>
      <c r="U7" s="3332"/>
      <c r="V7" s="3332"/>
      <c r="W7" s="3332"/>
      <c r="X7" s="3332"/>
      <c r="Y7" s="3332"/>
      <c r="Z7" s="3332"/>
      <c r="AA7" s="3"/>
      <c r="AB7" s="3281"/>
      <c r="AC7" s="3333" t="s">
        <v>5542</v>
      </c>
      <c r="AD7" s="3268"/>
      <c r="AE7" s="3268"/>
      <c r="AF7" s="3268"/>
      <c r="AG7" s="3268"/>
      <c r="AH7" s="3268"/>
      <c r="AI7" s="3268"/>
      <c r="AJ7" s="3268"/>
      <c r="AK7" s="3268"/>
      <c r="AL7" s="3268"/>
      <c r="AM7" s="3"/>
      <c r="AN7" s="3285"/>
      <c r="AO7" s="3271"/>
      <c r="AP7" s="3271"/>
      <c r="AQ7" s="3271"/>
      <c r="AR7" s="3271"/>
      <c r="AS7" s="3271"/>
      <c r="AT7" s="3271"/>
      <c r="AU7" s="3271"/>
      <c r="AV7" s="3271"/>
      <c r="AW7" s="3271"/>
      <c r="AX7" s="3271"/>
    </row>
    <row r="8" spans="4:50" customFormat="1" ht="22" customHeight="1">
      <c r="D8" s="3330"/>
      <c r="E8" s="3330"/>
      <c r="F8" s="3339"/>
      <c r="G8" s="3339"/>
      <c r="H8" s="3339"/>
      <c r="I8" s="3339"/>
      <c r="J8" s="3339"/>
      <c r="K8" s="3339"/>
      <c r="L8" s="3339"/>
      <c r="M8" s="3339"/>
      <c r="N8" s="3339"/>
      <c r="O8" s="3"/>
      <c r="P8" s="3281"/>
      <c r="Q8" s="3332"/>
      <c r="R8" s="3332"/>
      <c r="S8" s="3332"/>
      <c r="T8" s="3332"/>
      <c r="U8" s="3332"/>
      <c r="V8" s="3332"/>
      <c r="W8" s="3332"/>
      <c r="X8" s="3332"/>
      <c r="Y8" s="3332"/>
      <c r="Z8" s="3332"/>
      <c r="AA8" s="3"/>
      <c r="AB8" s="3281"/>
      <c r="AC8" s="3333"/>
      <c r="AD8" s="3268"/>
      <c r="AE8" s="3268"/>
      <c r="AF8" s="3268"/>
      <c r="AG8" s="3268"/>
      <c r="AH8" s="3268"/>
      <c r="AI8" s="3268"/>
      <c r="AJ8" s="3268"/>
      <c r="AK8" s="3268"/>
      <c r="AL8" s="3268"/>
      <c r="AM8" s="3"/>
      <c r="AN8" s="3285"/>
      <c r="AO8" s="3271"/>
      <c r="AP8" s="3271"/>
      <c r="AQ8" s="3271"/>
      <c r="AR8" s="3271"/>
      <c r="AS8" s="3271"/>
      <c r="AT8" s="3271"/>
      <c r="AU8" s="3271"/>
      <c r="AV8" s="3271"/>
      <c r="AW8" s="3271"/>
      <c r="AX8" s="3271"/>
    </row>
    <row r="9" spans="4:50" ht="22" customHeight="1">
      <c r="D9" s="3330" t="s">
        <v>5543</v>
      </c>
      <c r="E9" s="3330"/>
      <c r="F9" s="3328" t="s">
        <v>5544</v>
      </c>
      <c r="G9" s="3329"/>
      <c r="H9" s="3329"/>
      <c r="I9" s="3329"/>
      <c r="J9" s="3329"/>
      <c r="K9" s="3329"/>
      <c r="L9" s="3329"/>
      <c r="M9" s="3329"/>
      <c r="N9" s="3329"/>
      <c r="O9" s="3"/>
      <c r="P9" s="3281"/>
      <c r="Q9" s="3332"/>
      <c r="R9" s="3332"/>
      <c r="S9" s="3332"/>
      <c r="T9" s="3332"/>
      <c r="U9" s="3332"/>
      <c r="V9" s="3332"/>
      <c r="W9" s="3332"/>
      <c r="X9" s="3332"/>
      <c r="Y9" s="3332"/>
      <c r="Z9" s="3332"/>
      <c r="AA9" s="3"/>
      <c r="AB9" s="3281"/>
      <c r="AC9" s="3333"/>
      <c r="AD9" s="3268"/>
      <c r="AE9" s="3268"/>
      <c r="AF9" s="3268"/>
      <c r="AG9" s="3268"/>
      <c r="AH9" s="3268"/>
      <c r="AI9" s="3268"/>
      <c r="AJ9" s="3268"/>
      <c r="AK9" s="3268"/>
      <c r="AL9" s="3268"/>
      <c r="AM9" s="3"/>
      <c r="AN9" s="3285"/>
      <c r="AO9" s="3271"/>
      <c r="AP9" s="3271"/>
      <c r="AQ9" s="3271"/>
      <c r="AR9" s="3271"/>
      <c r="AS9" s="3271"/>
      <c r="AT9" s="3271"/>
      <c r="AU9" s="3271"/>
      <c r="AV9" s="3271"/>
      <c r="AW9" s="3271"/>
      <c r="AX9" s="3271"/>
    </row>
    <row r="10" spans="4:50" customFormat="1" ht="22" customHeight="1">
      <c r="D10" s="3330"/>
      <c r="E10" s="3330"/>
      <c r="F10" s="3329"/>
      <c r="G10" s="3329"/>
      <c r="H10" s="3329"/>
      <c r="I10" s="3329"/>
      <c r="J10" s="3329"/>
      <c r="K10" s="3329"/>
      <c r="L10" s="3329"/>
      <c r="M10" s="3329"/>
      <c r="N10" s="3329"/>
      <c r="O10" s="3"/>
      <c r="P10" s="3280" t="s">
        <v>5545</v>
      </c>
      <c r="Q10" s="3332" t="s">
        <v>5546</v>
      </c>
      <c r="R10" s="3332"/>
      <c r="S10" s="3332"/>
      <c r="T10" s="3332"/>
      <c r="U10" s="3332"/>
      <c r="V10" s="3332"/>
      <c r="W10" s="3332"/>
      <c r="X10" s="3332"/>
      <c r="Y10" s="3332"/>
      <c r="Z10" s="3332"/>
      <c r="AA10" s="3"/>
      <c r="AB10" s="3281"/>
      <c r="AC10" s="3333"/>
      <c r="AD10" s="3268"/>
      <c r="AE10" s="3268"/>
      <c r="AF10" s="3268"/>
      <c r="AG10" s="3268"/>
      <c r="AH10" s="3268"/>
      <c r="AI10" s="3268"/>
      <c r="AJ10" s="3268"/>
      <c r="AK10" s="3268"/>
      <c r="AL10" s="3268"/>
      <c r="AM10" s="3"/>
      <c r="AN10" s="3285"/>
      <c r="AO10" s="3271"/>
      <c r="AP10" s="3271"/>
      <c r="AQ10" s="3271"/>
      <c r="AR10" s="3271"/>
      <c r="AS10" s="3271"/>
      <c r="AT10" s="3271"/>
      <c r="AU10" s="3271"/>
      <c r="AV10" s="3271"/>
      <c r="AW10" s="3271"/>
      <c r="AX10" s="3271"/>
    </row>
    <row r="11" spans="4:50" ht="22" customHeight="1">
      <c r="D11" s="3330" t="s">
        <v>5547</v>
      </c>
      <c r="E11" s="3330"/>
      <c r="F11" s="3328" t="s">
        <v>5548</v>
      </c>
      <c r="G11" s="3328"/>
      <c r="H11" s="3328"/>
      <c r="I11" s="3328"/>
      <c r="J11" s="3328"/>
      <c r="K11" s="3328"/>
      <c r="L11" s="3328"/>
      <c r="M11" s="3328"/>
      <c r="N11" s="3328"/>
      <c r="O11" s="3"/>
      <c r="P11" s="3281"/>
      <c r="Q11" s="3332"/>
      <c r="R11" s="3332"/>
      <c r="S11" s="3332"/>
      <c r="T11" s="3332"/>
      <c r="U11" s="3332"/>
      <c r="V11" s="3332"/>
      <c r="W11" s="3332"/>
      <c r="X11" s="3332"/>
      <c r="Y11" s="3332"/>
      <c r="Z11" s="3332"/>
      <c r="AA11" s="3"/>
      <c r="AB11" s="3310" t="s">
        <v>5549</v>
      </c>
      <c r="AC11" s="3268" t="s">
        <v>5550</v>
      </c>
      <c r="AD11" s="3268"/>
      <c r="AE11" s="3268"/>
      <c r="AF11" s="3268"/>
      <c r="AG11" s="3268"/>
      <c r="AH11" s="3268"/>
      <c r="AI11" s="3268"/>
      <c r="AJ11" s="3268"/>
      <c r="AK11" s="3268"/>
      <c r="AL11" s="3268"/>
      <c r="AM11" s="3"/>
      <c r="AN11" s="3285"/>
      <c r="AO11" s="3271"/>
      <c r="AP11" s="3271"/>
      <c r="AQ11" s="3271"/>
      <c r="AR11" s="3271"/>
      <c r="AS11" s="3271"/>
      <c r="AT11" s="3271"/>
      <c r="AU11" s="3271"/>
      <c r="AV11" s="3271"/>
      <c r="AW11" s="3271"/>
      <c r="AX11" s="3271"/>
    </row>
    <row r="12" spans="4:50" ht="22" customHeight="1">
      <c r="D12" s="3330"/>
      <c r="E12" s="3330"/>
      <c r="F12" s="3328"/>
      <c r="G12" s="3328"/>
      <c r="H12" s="3328"/>
      <c r="I12" s="3328"/>
      <c r="J12" s="3328"/>
      <c r="K12" s="3328"/>
      <c r="L12" s="3328"/>
      <c r="M12" s="3328"/>
      <c r="N12" s="3328"/>
      <c r="O12" s="3"/>
      <c r="P12" s="3280" t="s">
        <v>108</v>
      </c>
      <c r="Q12" s="3334" t="s">
        <v>5551</v>
      </c>
      <c r="R12" s="3334"/>
      <c r="S12" s="3334"/>
      <c r="T12" s="3334"/>
      <c r="U12" s="3334"/>
      <c r="V12" s="3334"/>
      <c r="W12" s="3334"/>
      <c r="X12" s="3334"/>
      <c r="Y12" s="3334"/>
      <c r="Z12" s="3334"/>
      <c r="AA12" s="3"/>
      <c r="AB12" s="3285"/>
      <c r="AC12" s="3268"/>
      <c r="AD12" s="3268"/>
      <c r="AE12" s="3268"/>
      <c r="AF12" s="3268"/>
      <c r="AG12" s="3268"/>
      <c r="AH12" s="3268"/>
      <c r="AI12" s="3268"/>
      <c r="AJ12" s="3268"/>
      <c r="AK12" s="3268"/>
      <c r="AL12" s="3268"/>
      <c r="AM12" s="3"/>
      <c r="AN12" s="3285"/>
      <c r="AO12" s="3271"/>
      <c r="AP12" s="3271"/>
      <c r="AQ12" s="3271"/>
      <c r="AR12" s="3271"/>
      <c r="AS12" s="3271"/>
      <c r="AT12" s="3271"/>
      <c r="AU12" s="3271"/>
      <c r="AV12" s="3271"/>
      <c r="AW12" s="3271"/>
      <c r="AX12" s="3271"/>
    </row>
    <row r="13" spans="4:50" customFormat="1" ht="22" customHeight="1">
      <c r="D13" s="3337" t="s">
        <v>5552</v>
      </c>
      <c r="E13" s="3337"/>
      <c r="F13" s="3328" t="s">
        <v>5553</v>
      </c>
      <c r="G13" s="3328"/>
      <c r="H13" s="3328"/>
      <c r="I13" s="3328"/>
      <c r="J13" s="3328"/>
      <c r="K13" s="3328"/>
      <c r="L13" s="3328"/>
      <c r="M13" s="3328"/>
      <c r="N13" s="3328"/>
      <c r="O13" s="3"/>
      <c r="P13" s="3308"/>
      <c r="Q13" s="3335"/>
      <c r="R13" s="3335"/>
      <c r="S13" s="3335"/>
      <c r="T13" s="3335"/>
      <c r="U13" s="3335"/>
      <c r="V13" s="3335"/>
      <c r="W13" s="3335"/>
      <c r="X13" s="3335"/>
      <c r="Y13" s="3335"/>
      <c r="Z13" s="3335"/>
      <c r="AA13" s="3"/>
      <c r="AB13" s="3285"/>
      <c r="AC13" s="3268"/>
      <c r="AD13" s="3268"/>
      <c r="AE13" s="3268"/>
      <c r="AF13" s="3268"/>
      <c r="AG13" s="3268"/>
      <c r="AH13" s="3268"/>
      <c r="AI13" s="3268"/>
      <c r="AJ13" s="3268"/>
      <c r="AK13" s="3268"/>
      <c r="AL13" s="3268"/>
      <c r="AM13" s="3"/>
      <c r="AN13" s="3285"/>
      <c r="AO13" s="3271"/>
      <c r="AP13" s="3271"/>
      <c r="AQ13" s="3271"/>
      <c r="AR13" s="3271"/>
      <c r="AS13" s="3271"/>
      <c r="AT13" s="3271"/>
      <c r="AU13" s="3271"/>
      <c r="AV13" s="3271"/>
      <c r="AW13" s="3271"/>
      <c r="AX13" s="3271"/>
    </row>
    <row r="14" spans="4:50" ht="22" customHeight="1">
      <c r="D14" s="3337"/>
      <c r="E14" s="3337"/>
      <c r="F14" s="3328"/>
      <c r="G14" s="3328"/>
      <c r="H14" s="3328"/>
      <c r="I14" s="3328"/>
      <c r="J14" s="3328"/>
      <c r="K14" s="3328"/>
      <c r="L14" s="3328"/>
      <c r="M14" s="3328"/>
      <c r="N14" s="3328"/>
      <c r="O14" s="3"/>
      <c r="P14" s="3269" t="s">
        <v>5554</v>
      </c>
      <c r="Q14" s="3270"/>
      <c r="R14" s="3270"/>
      <c r="S14" s="3270"/>
      <c r="T14" s="3270"/>
      <c r="U14" s="3270"/>
      <c r="V14" s="3270"/>
      <c r="W14" s="3270"/>
      <c r="X14" s="3270"/>
      <c r="Y14" s="3270"/>
      <c r="Z14" s="3270"/>
      <c r="AA14" s="3"/>
      <c r="AB14" s="4" t="s">
        <v>5555</v>
      </c>
      <c r="AC14" s="3271" t="s">
        <v>5556</v>
      </c>
      <c r="AD14" s="3271"/>
      <c r="AE14" s="3271"/>
      <c r="AF14" s="3271"/>
      <c r="AG14" s="3271"/>
      <c r="AH14" s="3271"/>
      <c r="AI14" s="3271"/>
      <c r="AJ14" s="3271"/>
      <c r="AK14" s="3271"/>
      <c r="AL14" s="3271"/>
      <c r="AM14" s="3"/>
      <c r="AN14" s="3285"/>
      <c r="AO14" s="3271"/>
      <c r="AP14" s="3271"/>
      <c r="AQ14" s="3271"/>
      <c r="AR14" s="3271"/>
      <c r="AS14" s="3271"/>
      <c r="AT14" s="3271"/>
      <c r="AU14" s="3271"/>
      <c r="AV14" s="3271"/>
      <c r="AW14" s="3271"/>
      <c r="AX14" s="3271"/>
    </row>
    <row r="15" spans="4:50" ht="22" customHeight="1">
      <c r="O15" s="3"/>
      <c r="P15" s="3280" t="s">
        <v>5529</v>
      </c>
      <c r="Q15" s="3332" t="s">
        <v>5557</v>
      </c>
      <c r="R15" s="3332"/>
      <c r="S15" s="3332"/>
      <c r="T15" s="3332"/>
      <c r="U15" s="3332"/>
      <c r="V15" s="3332"/>
      <c r="W15" s="3332"/>
      <c r="X15" s="3332"/>
      <c r="Y15" s="3332"/>
      <c r="Z15" s="3332"/>
      <c r="AA15" s="3"/>
      <c r="AB15" s="4" t="s">
        <v>5558</v>
      </c>
      <c r="AC15" s="3271" t="s">
        <v>5559</v>
      </c>
      <c r="AD15" s="3271"/>
      <c r="AE15" s="3271"/>
      <c r="AF15" s="3271"/>
      <c r="AG15" s="3271"/>
      <c r="AH15" s="3271"/>
      <c r="AI15" s="3271"/>
      <c r="AJ15" s="3271"/>
      <c r="AK15" s="3271"/>
      <c r="AL15" s="3271"/>
      <c r="AM15" s="3"/>
      <c r="AN15" s="3285"/>
      <c r="AO15" s="3271"/>
      <c r="AP15" s="3271"/>
      <c r="AQ15" s="3271"/>
      <c r="AR15" s="3271"/>
      <c r="AS15" s="3271"/>
      <c r="AT15" s="3271"/>
      <c r="AU15" s="3271"/>
      <c r="AV15" s="3271"/>
      <c r="AW15" s="3271"/>
      <c r="AX15" s="3271"/>
    </row>
    <row r="16" spans="4:50" ht="22" customHeight="1">
      <c r="D16" s="3266" t="s">
        <v>5560</v>
      </c>
      <c r="E16" s="3267"/>
      <c r="F16" s="3267"/>
      <c r="G16" s="3267"/>
      <c r="H16" s="3267"/>
      <c r="I16" s="3267"/>
      <c r="J16" s="3267"/>
      <c r="K16" s="3267"/>
      <c r="L16" s="3267"/>
      <c r="M16" s="3267"/>
      <c r="N16" s="3267"/>
      <c r="O16" s="3"/>
      <c r="P16" s="3281"/>
      <c r="Q16" s="3332"/>
      <c r="R16" s="3332"/>
      <c r="S16" s="3332"/>
      <c r="T16" s="3332"/>
      <c r="U16" s="3332"/>
      <c r="V16" s="3332"/>
      <c r="W16" s="3332"/>
      <c r="X16" s="3332"/>
      <c r="Y16" s="3332"/>
      <c r="Z16" s="3332"/>
      <c r="AA16" s="3"/>
      <c r="AB16" s="4" t="s">
        <v>5561</v>
      </c>
      <c r="AC16" s="3268" t="s">
        <v>5562</v>
      </c>
      <c r="AD16" s="3268"/>
      <c r="AE16" s="3268"/>
      <c r="AF16" s="3268"/>
      <c r="AG16" s="3268"/>
      <c r="AH16" s="3268"/>
      <c r="AI16" s="3268"/>
      <c r="AJ16" s="3268"/>
      <c r="AK16" s="3268"/>
      <c r="AL16" s="3268"/>
      <c r="AM16" s="3"/>
      <c r="AN16" s="3269" t="s">
        <v>5563</v>
      </c>
      <c r="AO16" s="3270"/>
      <c r="AP16" s="3270"/>
      <c r="AQ16" s="3270"/>
      <c r="AR16" s="3270"/>
      <c r="AS16" s="3270"/>
      <c r="AT16" s="3270"/>
      <c r="AU16" s="3270"/>
      <c r="AV16" s="3270"/>
      <c r="AW16" s="3270"/>
      <c r="AX16" s="3270"/>
    </row>
    <row r="17" spans="4:50" ht="22" customHeight="1">
      <c r="D17" s="3326" t="s">
        <v>5564</v>
      </c>
      <c r="E17" s="3327"/>
      <c r="F17" s="3327"/>
      <c r="G17" s="3327"/>
      <c r="H17" s="3327"/>
      <c r="I17" s="3327"/>
      <c r="J17" s="3327"/>
      <c r="K17" s="3327"/>
      <c r="L17" s="3327"/>
      <c r="M17" s="3327"/>
      <c r="N17" s="3327"/>
      <c r="O17" s="3"/>
      <c r="P17" s="3281"/>
      <c r="Q17" s="3332"/>
      <c r="R17" s="3332"/>
      <c r="S17" s="3332"/>
      <c r="T17" s="3332"/>
      <c r="U17" s="3332"/>
      <c r="V17" s="3332"/>
      <c r="W17" s="3332"/>
      <c r="X17" s="3332"/>
      <c r="Y17" s="3332"/>
      <c r="Z17" s="3332"/>
      <c r="AA17" s="3"/>
      <c r="AB17" s="3269" t="s">
        <v>5565</v>
      </c>
      <c r="AC17" s="3270"/>
      <c r="AD17" s="3270"/>
      <c r="AE17" s="3270"/>
      <c r="AF17" s="3270"/>
      <c r="AG17" s="3270"/>
      <c r="AH17" s="3270"/>
      <c r="AI17" s="3270"/>
      <c r="AJ17" s="3270"/>
      <c r="AK17" s="3270"/>
      <c r="AL17" s="3270"/>
      <c r="AM17" s="3"/>
      <c r="AN17" s="3284"/>
      <c r="AO17" s="3268"/>
      <c r="AP17" s="3268"/>
      <c r="AQ17" s="3268"/>
      <c r="AR17" s="3268"/>
      <c r="AS17" s="3268"/>
      <c r="AT17" s="3268"/>
      <c r="AU17" s="3268"/>
      <c r="AV17" s="3268"/>
      <c r="AW17" s="3268"/>
      <c r="AX17" s="3268"/>
    </row>
    <row r="18" spans="4:50" ht="22" customHeight="1">
      <c r="D18" s="3327"/>
      <c r="E18" s="3327"/>
      <c r="F18" s="3327"/>
      <c r="G18" s="3327"/>
      <c r="H18" s="3327"/>
      <c r="I18" s="3327"/>
      <c r="J18" s="3327"/>
      <c r="K18" s="3327"/>
      <c r="L18" s="3327"/>
      <c r="M18" s="3327"/>
      <c r="N18" s="3327"/>
      <c r="O18" s="3"/>
      <c r="P18" s="3280" t="s">
        <v>5549</v>
      </c>
      <c r="Q18" s="3332" t="s">
        <v>5566</v>
      </c>
      <c r="R18" s="3332"/>
      <c r="S18" s="3332"/>
      <c r="T18" s="3332"/>
      <c r="U18" s="3332"/>
      <c r="V18" s="3332"/>
      <c r="W18" s="3332"/>
      <c r="X18" s="3332"/>
      <c r="Y18" s="3332"/>
      <c r="Z18" s="3332"/>
      <c r="AA18" s="3"/>
      <c r="AB18" s="3280" t="s">
        <v>5531</v>
      </c>
      <c r="AC18" s="3268" t="s">
        <v>5567</v>
      </c>
      <c r="AD18" s="3268"/>
      <c r="AE18" s="3268"/>
      <c r="AF18" s="3268"/>
      <c r="AG18" s="3268"/>
      <c r="AH18" s="3268"/>
      <c r="AI18" s="3268"/>
      <c r="AJ18" s="3268"/>
      <c r="AK18" s="3268"/>
      <c r="AL18" s="3268"/>
      <c r="AM18" s="3"/>
      <c r="AN18" s="3285"/>
      <c r="AO18" s="3268"/>
      <c r="AP18" s="3268"/>
      <c r="AQ18" s="3268"/>
      <c r="AR18" s="3268"/>
      <c r="AS18" s="3268"/>
      <c r="AT18" s="3268"/>
      <c r="AU18" s="3268"/>
      <c r="AV18" s="3268"/>
      <c r="AW18" s="3268"/>
      <c r="AX18" s="3268"/>
    </row>
    <row r="19" spans="4:50" ht="22" customHeight="1">
      <c r="D19" s="3326" t="s">
        <v>5568</v>
      </c>
      <c r="E19" s="3327"/>
      <c r="F19" s="3327"/>
      <c r="G19" s="3327"/>
      <c r="H19" s="3327"/>
      <c r="I19" s="3327"/>
      <c r="J19" s="3327"/>
      <c r="K19" s="3327"/>
      <c r="L19" s="3327"/>
      <c r="M19" s="3327"/>
      <c r="N19" s="3327"/>
      <c r="O19" s="3"/>
      <c r="P19" s="3281"/>
      <c r="Q19" s="3332"/>
      <c r="R19" s="3332"/>
      <c r="S19" s="3332"/>
      <c r="T19" s="3332"/>
      <c r="U19" s="3332"/>
      <c r="V19" s="3332"/>
      <c r="W19" s="3332"/>
      <c r="X19" s="3332"/>
      <c r="Y19" s="3332"/>
      <c r="Z19" s="3332"/>
      <c r="AA19" s="3"/>
      <c r="AB19" s="3281"/>
      <c r="AC19" s="3268" t="s">
        <v>5569</v>
      </c>
      <c r="AD19" s="3268"/>
      <c r="AE19" s="3268"/>
      <c r="AF19" s="3268"/>
      <c r="AG19" s="3268"/>
      <c r="AH19" s="3268"/>
      <c r="AI19" s="3268"/>
      <c r="AJ19" s="3268"/>
      <c r="AK19" s="3268"/>
      <c r="AL19" s="3268"/>
      <c r="AM19" s="3"/>
      <c r="AN19" s="3285"/>
      <c r="AO19" s="3268"/>
      <c r="AP19" s="3268"/>
      <c r="AQ19" s="3268"/>
      <c r="AR19" s="3268"/>
      <c r="AS19" s="3268"/>
      <c r="AT19" s="3268"/>
      <c r="AU19" s="3268"/>
      <c r="AV19" s="3268"/>
      <c r="AW19" s="3268"/>
      <c r="AX19" s="3268"/>
    </row>
    <row r="20" spans="4:50" ht="22" customHeight="1">
      <c r="D20" s="3327"/>
      <c r="E20" s="3327"/>
      <c r="F20" s="3327"/>
      <c r="G20" s="3327"/>
      <c r="H20" s="3327"/>
      <c r="I20" s="3327"/>
      <c r="J20" s="3327"/>
      <c r="K20" s="3327"/>
      <c r="L20" s="3327"/>
      <c r="M20" s="3327"/>
      <c r="N20" s="3327"/>
      <c r="O20" s="3"/>
      <c r="P20" s="3281"/>
      <c r="Q20" s="3332"/>
      <c r="R20" s="3332"/>
      <c r="S20" s="3332"/>
      <c r="T20" s="3332"/>
      <c r="U20" s="3332"/>
      <c r="V20" s="3332"/>
      <c r="W20" s="3332"/>
      <c r="X20" s="3332"/>
      <c r="Y20" s="3332"/>
      <c r="Z20" s="3332"/>
      <c r="AA20" s="3"/>
      <c r="AB20" s="3281"/>
      <c r="AC20" s="3268" t="s">
        <v>5570</v>
      </c>
      <c r="AD20" s="3268"/>
      <c r="AE20" s="3268"/>
      <c r="AF20" s="3268"/>
      <c r="AG20" s="3268"/>
      <c r="AH20" s="3268"/>
      <c r="AI20" s="3268"/>
      <c r="AJ20" s="3268"/>
      <c r="AK20" s="3268"/>
      <c r="AL20" s="3268"/>
      <c r="AM20" s="3"/>
      <c r="AN20" s="3285"/>
      <c r="AO20" s="3268"/>
      <c r="AP20" s="3268"/>
      <c r="AQ20" s="3268"/>
      <c r="AR20" s="3268"/>
      <c r="AS20" s="3268"/>
      <c r="AT20" s="3268"/>
      <c r="AU20" s="3268"/>
      <c r="AV20" s="3268"/>
      <c r="AW20" s="3268"/>
      <c r="AX20" s="3268"/>
    </row>
    <row r="21" spans="4:50" ht="22" customHeight="1">
      <c r="D21" s="3326" t="s">
        <v>5571</v>
      </c>
      <c r="E21" s="3327"/>
      <c r="F21" s="3327"/>
      <c r="G21" s="3327"/>
      <c r="H21" s="3327"/>
      <c r="I21" s="3327"/>
      <c r="J21" s="3327"/>
      <c r="K21" s="3327"/>
      <c r="L21" s="3327"/>
      <c r="M21" s="3327"/>
      <c r="N21" s="3327"/>
      <c r="O21" s="3"/>
      <c r="P21" s="3280" t="s">
        <v>5555</v>
      </c>
      <c r="Q21" s="3332" t="s">
        <v>5572</v>
      </c>
      <c r="R21" s="3332"/>
      <c r="S21" s="3332"/>
      <c r="T21" s="3332"/>
      <c r="U21" s="3332"/>
      <c r="V21" s="3332"/>
      <c r="W21" s="3332"/>
      <c r="X21" s="3332"/>
      <c r="Y21" s="3332"/>
      <c r="Z21" s="3332"/>
      <c r="AA21" s="3"/>
      <c r="AB21" s="3281"/>
      <c r="AC21" s="3268" t="s">
        <v>5573</v>
      </c>
      <c r="AD21" s="3268"/>
      <c r="AE21" s="3268"/>
      <c r="AF21" s="3268"/>
      <c r="AG21" s="3268"/>
      <c r="AH21" s="3268"/>
      <c r="AI21" s="3268"/>
      <c r="AJ21" s="3268"/>
      <c r="AK21" s="3268"/>
      <c r="AL21" s="3268"/>
      <c r="AM21" s="3"/>
      <c r="AN21" s="3285"/>
      <c r="AO21" s="3268"/>
      <c r="AP21" s="3268"/>
      <c r="AQ21" s="3268"/>
      <c r="AR21" s="3268"/>
      <c r="AS21" s="3268"/>
      <c r="AT21" s="3268"/>
      <c r="AU21" s="3268"/>
      <c r="AV21" s="3268"/>
      <c r="AW21" s="3268"/>
      <c r="AX21" s="3268"/>
    </row>
    <row r="22" spans="4:50" ht="22" customHeight="1">
      <c r="D22" s="3327"/>
      <c r="E22" s="3327"/>
      <c r="F22" s="3327"/>
      <c r="G22" s="3327"/>
      <c r="H22" s="3327"/>
      <c r="I22" s="3327"/>
      <c r="J22" s="3327"/>
      <c r="K22" s="3327"/>
      <c r="L22" s="3327"/>
      <c r="M22" s="3327"/>
      <c r="N22" s="3327"/>
      <c r="O22" s="3"/>
      <c r="P22" s="3281"/>
      <c r="Q22" s="3332"/>
      <c r="R22" s="3332"/>
      <c r="S22" s="3332"/>
      <c r="T22" s="3332"/>
      <c r="U22" s="3332"/>
      <c r="V22" s="3332"/>
      <c r="W22" s="3332"/>
      <c r="X22" s="3332"/>
      <c r="Y22" s="3332"/>
      <c r="Z22" s="3332"/>
      <c r="AA22" s="3"/>
      <c r="AB22" s="3281"/>
      <c r="AC22" s="3268" t="s">
        <v>5574</v>
      </c>
      <c r="AD22" s="3268"/>
      <c r="AE22" s="3268"/>
      <c r="AF22" s="3268"/>
      <c r="AG22" s="3268"/>
      <c r="AH22" s="3268"/>
      <c r="AI22" s="3268"/>
      <c r="AJ22" s="3268"/>
      <c r="AK22" s="3268"/>
      <c r="AL22" s="3268"/>
      <c r="AM22" s="3"/>
      <c r="AN22" s="3285"/>
      <c r="AO22" s="3271" t="s">
        <v>5575</v>
      </c>
      <c r="AP22" s="3271"/>
      <c r="AQ22" s="3271"/>
      <c r="AR22" s="3271"/>
      <c r="AS22" s="3271"/>
      <c r="AT22" s="3271"/>
      <c r="AU22" s="3271"/>
      <c r="AV22" s="3271"/>
      <c r="AW22" s="3271"/>
      <c r="AX22" s="3271"/>
    </row>
    <row r="23" spans="4:50" ht="22" customHeight="1">
      <c r="O23" s="3"/>
      <c r="P23" s="3280" t="s">
        <v>108</v>
      </c>
      <c r="Q23" s="3334" t="s">
        <v>5576</v>
      </c>
      <c r="R23" s="3334"/>
      <c r="S23" s="3334"/>
      <c r="T23" s="3334"/>
      <c r="U23" s="3334"/>
      <c r="V23" s="3334"/>
      <c r="W23" s="3334"/>
      <c r="X23" s="3334"/>
      <c r="Y23" s="3334"/>
      <c r="Z23" s="3334"/>
      <c r="AA23" s="3"/>
      <c r="AB23" s="5" t="s">
        <v>5577</v>
      </c>
      <c r="AC23" s="3268" t="s">
        <v>5578</v>
      </c>
      <c r="AD23" s="3268"/>
      <c r="AE23" s="3268"/>
      <c r="AF23" s="3268"/>
      <c r="AG23" s="3268"/>
      <c r="AH23" s="3268"/>
      <c r="AI23" s="3268"/>
      <c r="AJ23" s="3268"/>
      <c r="AK23" s="3268"/>
      <c r="AL23" s="3268"/>
      <c r="AM23" s="3"/>
      <c r="AN23" s="3285"/>
      <c r="AO23" s="3271" t="s">
        <v>5579</v>
      </c>
      <c r="AP23" s="3271"/>
      <c r="AQ23" s="3271"/>
      <c r="AR23" s="3271"/>
      <c r="AS23" s="3271"/>
      <c r="AT23" s="3271"/>
      <c r="AU23" s="3271"/>
      <c r="AV23" s="3271"/>
      <c r="AW23" s="3271"/>
      <c r="AX23" s="3271"/>
    </row>
    <row r="24" spans="4:50" ht="22" customHeight="1">
      <c r="D24" s="3266" t="s">
        <v>5580</v>
      </c>
      <c r="E24" s="3267"/>
      <c r="F24" s="3267"/>
      <c r="G24" s="3267"/>
      <c r="H24" s="3267"/>
      <c r="I24" s="3267"/>
      <c r="J24" s="3267"/>
      <c r="K24" s="3267"/>
      <c r="L24" s="3267"/>
      <c r="M24" s="3267"/>
      <c r="N24" s="3267"/>
      <c r="O24" s="3"/>
      <c r="P24" s="3308"/>
      <c r="Q24" s="3335"/>
      <c r="R24" s="3335"/>
      <c r="S24" s="3335"/>
      <c r="T24" s="3335"/>
      <c r="U24" s="3335"/>
      <c r="V24" s="3335"/>
      <c r="W24" s="3335"/>
      <c r="X24" s="3335"/>
      <c r="Y24" s="3335"/>
      <c r="Z24" s="3335"/>
      <c r="AA24" s="3"/>
      <c r="AB24" s="6" t="s">
        <v>108</v>
      </c>
      <c r="AC24" s="3275"/>
      <c r="AD24" s="3275"/>
      <c r="AE24" s="3275"/>
      <c r="AF24" s="3275"/>
      <c r="AG24" s="3275"/>
      <c r="AH24" s="3275"/>
      <c r="AI24" s="3275"/>
      <c r="AJ24" s="3275"/>
      <c r="AK24" s="3275"/>
      <c r="AL24" s="3275"/>
      <c r="AM24" s="3"/>
      <c r="AN24" s="3285"/>
      <c r="AO24" s="3268" t="s">
        <v>5581</v>
      </c>
      <c r="AP24" s="3268"/>
      <c r="AQ24" s="3268"/>
      <c r="AR24" s="3268"/>
      <c r="AS24" s="3268"/>
      <c r="AT24" s="3268"/>
      <c r="AU24" s="3268"/>
      <c r="AV24" s="3268"/>
      <c r="AW24" s="3268"/>
      <c r="AX24" s="3268"/>
    </row>
    <row r="25" spans="4:50" ht="22" customHeight="1">
      <c r="D25" s="3326" t="s">
        <v>5582</v>
      </c>
      <c r="E25" s="3327"/>
      <c r="F25" s="3327"/>
      <c r="G25" s="3327"/>
      <c r="H25" s="3327"/>
      <c r="I25" s="3327"/>
      <c r="J25" s="3327"/>
      <c r="K25" s="3327"/>
      <c r="L25" s="3327"/>
      <c r="M25" s="3327"/>
      <c r="N25" s="3327"/>
      <c r="O25" s="3"/>
      <c r="P25" s="3269" t="s">
        <v>5583</v>
      </c>
      <c r="Q25" s="3270"/>
      <c r="R25" s="3270"/>
      <c r="S25" s="3270"/>
      <c r="T25" s="3270"/>
      <c r="U25" s="3270"/>
      <c r="V25" s="3270"/>
      <c r="W25" s="3270"/>
      <c r="X25" s="3270"/>
      <c r="Y25" s="3270"/>
      <c r="Z25" s="3270"/>
      <c r="AA25" s="3"/>
      <c r="AB25" s="3269" t="s">
        <v>5584</v>
      </c>
      <c r="AC25" s="3270"/>
      <c r="AD25" s="3270"/>
      <c r="AE25" s="3270"/>
      <c r="AF25" s="3270"/>
      <c r="AG25" s="3270"/>
      <c r="AH25" s="3270"/>
      <c r="AI25" s="3270"/>
      <c r="AJ25" s="3270"/>
      <c r="AK25" s="3270"/>
      <c r="AL25" s="3270"/>
      <c r="AM25" s="3"/>
      <c r="AN25" s="3285"/>
      <c r="AO25" s="3268"/>
      <c r="AP25" s="3268"/>
      <c r="AQ25" s="3268"/>
      <c r="AR25" s="3268"/>
      <c r="AS25" s="3268"/>
      <c r="AT25" s="3268"/>
      <c r="AU25" s="3268"/>
      <c r="AV25" s="3268"/>
      <c r="AW25" s="3268"/>
      <c r="AX25" s="3268"/>
    </row>
    <row r="26" spans="4:50" ht="22" customHeight="1">
      <c r="D26" s="3327"/>
      <c r="E26" s="3327"/>
      <c r="F26" s="3327"/>
      <c r="G26" s="3327"/>
      <c r="H26" s="3327"/>
      <c r="I26" s="3327"/>
      <c r="J26" s="3327"/>
      <c r="K26" s="3327"/>
      <c r="L26" s="3327"/>
      <c r="M26" s="3327"/>
      <c r="N26" s="3327"/>
      <c r="O26" s="3"/>
      <c r="P26" s="3280" t="s">
        <v>5585</v>
      </c>
      <c r="Q26" s="3332" t="s">
        <v>5586</v>
      </c>
      <c r="R26" s="3331"/>
      <c r="S26" s="3331"/>
      <c r="T26" s="3331"/>
      <c r="U26" s="3331"/>
      <c r="V26" s="3331"/>
      <c r="W26" s="3331"/>
      <c r="X26" s="3331"/>
      <c r="Y26" s="3331"/>
      <c r="Z26" s="3331"/>
      <c r="AA26" s="3"/>
      <c r="AB26" s="3280" t="s">
        <v>5531</v>
      </c>
      <c r="AC26" s="3268" t="s">
        <v>5587</v>
      </c>
      <c r="AD26" s="3271"/>
      <c r="AE26" s="3271"/>
      <c r="AF26" s="3271"/>
      <c r="AG26" s="3271"/>
      <c r="AH26" s="3271"/>
      <c r="AI26" s="3271"/>
      <c r="AJ26" s="3271"/>
      <c r="AK26" s="3271"/>
      <c r="AL26" s="3271"/>
      <c r="AM26" s="3"/>
      <c r="AN26" s="3285"/>
      <c r="AO26" s="3268"/>
      <c r="AP26" s="3268"/>
      <c r="AQ26" s="3268"/>
      <c r="AR26" s="3268"/>
      <c r="AS26" s="3268"/>
      <c r="AT26" s="3268"/>
      <c r="AU26" s="3268"/>
      <c r="AV26" s="3268"/>
      <c r="AW26" s="3268"/>
      <c r="AX26" s="3268"/>
    </row>
    <row r="27" spans="4:50" ht="22" customHeight="1">
      <c r="O27" s="3"/>
      <c r="P27" s="3281"/>
      <c r="Q27" s="3331"/>
      <c r="R27" s="3331"/>
      <c r="S27" s="3331"/>
      <c r="T27" s="3331"/>
      <c r="U27" s="3331"/>
      <c r="V27" s="3331"/>
      <c r="W27" s="3331"/>
      <c r="X27" s="3331"/>
      <c r="Y27" s="3331"/>
      <c r="Z27" s="3331"/>
      <c r="AA27" s="3"/>
      <c r="AB27" s="3281"/>
      <c r="AC27" s="3271"/>
      <c r="AD27" s="3271"/>
      <c r="AE27" s="3271"/>
      <c r="AF27" s="3271"/>
      <c r="AG27" s="3271"/>
      <c r="AH27" s="3271"/>
      <c r="AI27" s="3271"/>
      <c r="AJ27" s="3271"/>
      <c r="AK27" s="3271"/>
      <c r="AL27" s="3271"/>
      <c r="AM27" s="3"/>
      <c r="AN27" s="3285"/>
      <c r="AO27" s="3268" t="s">
        <v>5588</v>
      </c>
      <c r="AP27" s="3268"/>
      <c r="AQ27" s="3268"/>
      <c r="AR27" s="3268"/>
      <c r="AS27" s="3268"/>
      <c r="AT27" s="3268"/>
      <c r="AU27" s="3268"/>
      <c r="AV27" s="3268"/>
      <c r="AW27" s="3268"/>
      <c r="AX27" s="3268"/>
    </row>
    <row r="28" spans="4:50" ht="22" customHeight="1">
      <c r="D28" s="3266" t="s">
        <v>5589</v>
      </c>
      <c r="E28" s="3267"/>
      <c r="F28" s="3267"/>
      <c r="G28" s="3267"/>
      <c r="H28" s="3267"/>
      <c r="I28" s="3267"/>
      <c r="J28" s="3267"/>
      <c r="K28" s="3267"/>
      <c r="L28" s="3267"/>
      <c r="M28" s="3267"/>
      <c r="N28" s="3267"/>
      <c r="O28" s="3"/>
      <c r="P28" s="3281"/>
      <c r="Q28" s="3331"/>
      <c r="R28" s="3331"/>
      <c r="S28" s="3331"/>
      <c r="T28" s="3331"/>
      <c r="U28" s="3331"/>
      <c r="V28" s="3331"/>
      <c r="W28" s="3331"/>
      <c r="X28" s="3331"/>
      <c r="Y28" s="3331"/>
      <c r="Z28" s="3331"/>
      <c r="AA28" s="3"/>
      <c r="AB28" s="3281"/>
      <c r="AC28" s="3271"/>
      <c r="AD28" s="3271"/>
      <c r="AE28" s="3271"/>
      <c r="AF28" s="3271"/>
      <c r="AG28" s="3271"/>
      <c r="AH28" s="3271"/>
      <c r="AI28" s="3271"/>
      <c r="AJ28" s="3271"/>
      <c r="AK28" s="3271"/>
      <c r="AL28" s="3271"/>
      <c r="AM28" s="3"/>
      <c r="AN28" s="3285"/>
      <c r="AO28" s="3268"/>
      <c r="AP28" s="3268"/>
      <c r="AQ28" s="3268"/>
      <c r="AR28" s="3268"/>
      <c r="AS28" s="3268"/>
      <c r="AT28" s="3268"/>
      <c r="AU28" s="3268"/>
      <c r="AV28" s="3268"/>
      <c r="AW28" s="3268"/>
      <c r="AX28" s="3268"/>
    </row>
    <row r="29" spans="4:50" ht="22" customHeight="1">
      <c r="D29" s="3326" t="s">
        <v>5590</v>
      </c>
      <c r="E29" s="3327"/>
      <c r="F29" s="3327"/>
      <c r="G29" s="3327"/>
      <c r="H29" s="3327"/>
      <c r="I29" s="3327"/>
      <c r="J29" s="3327"/>
      <c r="K29" s="3327"/>
      <c r="L29" s="3327"/>
      <c r="M29" s="3327"/>
      <c r="N29" s="3327"/>
      <c r="O29" s="3"/>
      <c r="P29" s="3281"/>
      <c r="Q29" s="3331"/>
      <c r="R29" s="3331"/>
      <c r="S29" s="3331"/>
      <c r="T29" s="3331"/>
      <c r="U29" s="3331"/>
      <c r="V29" s="3331"/>
      <c r="W29" s="3331"/>
      <c r="X29" s="3331"/>
      <c r="Y29" s="3331"/>
      <c r="Z29" s="3331"/>
      <c r="AA29" s="3"/>
      <c r="AB29" s="3281"/>
      <c r="AC29" s="3342" t="s">
        <v>5591</v>
      </c>
      <c r="AD29" s="3342"/>
      <c r="AE29" s="3342"/>
      <c r="AF29" s="3342"/>
      <c r="AG29" s="3342"/>
      <c r="AH29" s="3342"/>
      <c r="AI29" s="3342"/>
      <c r="AJ29" s="3342"/>
      <c r="AK29" s="3342"/>
      <c r="AL29" s="3342"/>
      <c r="AM29" s="3"/>
      <c r="AN29" s="3285"/>
      <c r="AO29" s="3268"/>
      <c r="AP29" s="3268"/>
      <c r="AQ29" s="3268"/>
      <c r="AR29" s="3268"/>
      <c r="AS29" s="3268"/>
      <c r="AT29" s="3268"/>
      <c r="AU29" s="3268"/>
      <c r="AV29" s="3268"/>
      <c r="AW29" s="3268"/>
      <c r="AX29" s="3268"/>
    </row>
    <row r="30" spans="4:50" ht="22" customHeight="1">
      <c r="D30" s="3327"/>
      <c r="E30" s="3327"/>
      <c r="F30" s="3327"/>
      <c r="G30" s="3327"/>
      <c r="H30" s="3327"/>
      <c r="I30" s="3327"/>
      <c r="J30" s="3327"/>
      <c r="K30" s="3327"/>
      <c r="L30" s="3327"/>
      <c r="M30" s="3327"/>
      <c r="N30" s="3327"/>
      <c r="O30" s="3"/>
      <c r="P30" s="3281"/>
      <c r="Q30" s="3331"/>
      <c r="R30" s="3331"/>
      <c r="S30" s="3331"/>
      <c r="T30" s="3331"/>
      <c r="U30" s="3331"/>
      <c r="V30" s="3331"/>
      <c r="W30" s="3331"/>
      <c r="X30" s="3331"/>
      <c r="Y30" s="3331"/>
      <c r="Z30" s="3331"/>
      <c r="AA30" s="3"/>
      <c r="AB30" s="3281"/>
      <c r="AC30" s="3342"/>
      <c r="AD30" s="3342"/>
      <c r="AE30" s="3342"/>
      <c r="AF30" s="3342"/>
      <c r="AG30" s="3342"/>
      <c r="AH30" s="3342"/>
      <c r="AI30" s="3342"/>
      <c r="AJ30" s="3342"/>
      <c r="AK30" s="3342"/>
      <c r="AL30" s="3342"/>
      <c r="AM30" s="3"/>
      <c r="AN30" s="3285"/>
      <c r="AO30" s="3268"/>
      <c r="AP30" s="3268"/>
      <c r="AQ30" s="3268"/>
      <c r="AR30" s="3268"/>
      <c r="AS30" s="3268"/>
      <c r="AT30" s="3268"/>
      <c r="AU30" s="3268"/>
      <c r="AV30" s="3268"/>
      <c r="AW30" s="3268"/>
      <c r="AX30" s="3268"/>
    </row>
    <row r="31" spans="4:50" ht="22" customHeight="1">
      <c r="D31" s="3326" t="s">
        <v>5592</v>
      </c>
      <c r="E31" s="3327"/>
      <c r="F31" s="3327"/>
      <c r="G31" s="3327"/>
      <c r="H31" s="3327"/>
      <c r="I31" s="3327"/>
      <c r="J31" s="3327"/>
      <c r="K31" s="3327"/>
      <c r="L31" s="3327"/>
      <c r="M31" s="3327"/>
      <c r="N31" s="3327"/>
      <c r="O31" s="3"/>
      <c r="P31" s="3281"/>
      <c r="Q31" s="3331"/>
      <c r="R31" s="3331"/>
      <c r="S31" s="3331"/>
      <c r="T31" s="3331"/>
      <c r="U31" s="3331"/>
      <c r="V31" s="3331"/>
      <c r="W31" s="3331"/>
      <c r="X31" s="3331"/>
      <c r="Y31" s="3331"/>
      <c r="Z31" s="3331"/>
      <c r="AA31" s="3"/>
      <c r="AB31" s="3281"/>
      <c r="AC31" s="3268" t="s">
        <v>5593</v>
      </c>
      <c r="AD31" s="3268"/>
      <c r="AE31" s="3268"/>
      <c r="AF31" s="3268"/>
      <c r="AG31" s="3268"/>
      <c r="AH31" s="3268"/>
      <c r="AI31" s="3268"/>
      <c r="AJ31" s="3268"/>
      <c r="AK31" s="3268"/>
      <c r="AL31" s="3268"/>
      <c r="AM31" s="3"/>
      <c r="AN31" s="3285"/>
      <c r="AO31" s="3268"/>
      <c r="AP31" s="3268"/>
      <c r="AQ31" s="3268"/>
      <c r="AR31" s="3268"/>
      <c r="AS31" s="3268"/>
      <c r="AT31" s="3268"/>
      <c r="AU31" s="3268"/>
      <c r="AV31" s="3268"/>
      <c r="AW31" s="3268"/>
      <c r="AX31" s="3268"/>
    </row>
    <row r="32" spans="4:50" ht="22" customHeight="1">
      <c r="D32" s="3327"/>
      <c r="E32" s="3327"/>
      <c r="F32" s="3327"/>
      <c r="G32" s="3327"/>
      <c r="H32" s="3327"/>
      <c r="I32" s="3327"/>
      <c r="J32" s="3327"/>
      <c r="K32" s="3327"/>
      <c r="L32" s="3327"/>
      <c r="M32" s="3327"/>
      <c r="N32" s="3327"/>
      <c r="O32" s="3"/>
      <c r="P32" s="3281"/>
      <c r="Q32" s="3331"/>
      <c r="R32" s="3331"/>
      <c r="S32" s="3331"/>
      <c r="T32" s="3331"/>
      <c r="U32" s="3331"/>
      <c r="V32" s="3331"/>
      <c r="W32" s="3331"/>
      <c r="X32" s="3331"/>
      <c r="Y32" s="3331"/>
      <c r="Z32" s="3331"/>
      <c r="AA32" s="3"/>
      <c r="AB32" s="3281"/>
      <c r="AC32" s="3268"/>
      <c r="AD32" s="3268"/>
      <c r="AE32" s="3268"/>
      <c r="AF32" s="3268"/>
      <c r="AG32" s="3268"/>
      <c r="AH32" s="3268"/>
      <c r="AI32" s="3268"/>
      <c r="AJ32" s="3268"/>
      <c r="AK32" s="3268"/>
      <c r="AL32" s="3268"/>
      <c r="AM32" s="3"/>
      <c r="AN32" s="3285"/>
      <c r="AO32" s="3268"/>
      <c r="AP32" s="3268"/>
      <c r="AQ32" s="3268"/>
      <c r="AR32" s="3268"/>
      <c r="AS32" s="3268"/>
      <c r="AT32" s="3268"/>
      <c r="AU32" s="3268"/>
      <c r="AV32" s="3268"/>
      <c r="AW32" s="3268"/>
      <c r="AX32" s="3268"/>
    </row>
    <row r="33" spans="4:50" ht="22" customHeight="1">
      <c r="D33" s="3326" t="s">
        <v>5594</v>
      </c>
      <c r="E33" s="3327"/>
      <c r="F33" s="3327"/>
      <c r="G33" s="3327"/>
      <c r="H33" s="3327"/>
      <c r="I33" s="3327"/>
      <c r="J33" s="3327"/>
      <c r="K33" s="3327"/>
      <c r="L33" s="3327"/>
      <c r="M33" s="3327"/>
      <c r="N33" s="3327"/>
      <c r="O33" s="3"/>
      <c r="P33" s="3281"/>
      <c r="Q33" s="3331"/>
      <c r="R33" s="3331"/>
      <c r="S33" s="3331"/>
      <c r="T33" s="3331"/>
      <c r="U33" s="3331"/>
      <c r="V33" s="3331"/>
      <c r="W33" s="3331"/>
      <c r="X33" s="3331"/>
      <c r="Y33" s="3331"/>
      <c r="Z33" s="3331"/>
      <c r="AA33" s="3"/>
      <c r="AB33" s="3281"/>
      <c r="AC33" s="3268"/>
      <c r="AD33" s="3268"/>
      <c r="AE33" s="3268"/>
      <c r="AF33" s="3268"/>
      <c r="AG33" s="3268"/>
      <c r="AH33" s="3268"/>
      <c r="AI33" s="3268"/>
      <c r="AJ33" s="3268"/>
      <c r="AK33" s="3268"/>
      <c r="AL33" s="3268"/>
      <c r="AM33" s="3"/>
      <c r="AN33" s="3285"/>
      <c r="AO33" s="3268"/>
      <c r="AP33" s="3268"/>
      <c r="AQ33" s="3268"/>
      <c r="AR33" s="3268"/>
      <c r="AS33" s="3268"/>
      <c r="AT33" s="3268"/>
      <c r="AU33" s="3268"/>
      <c r="AV33" s="3268"/>
      <c r="AW33" s="3268"/>
      <c r="AX33" s="3268"/>
    </row>
    <row r="34" spans="4:50" ht="22" customHeight="1">
      <c r="D34" s="3327"/>
      <c r="E34" s="3327"/>
      <c r="F34" s="3327"/>
      <c r="G34" s="3327"/>
      <c r="H34" s="3327"/>
      <c r="I34" s="3327"/>
      <c r="J34" s="3327"/>
      <c r="K34" s="3327"/>
      <c r="L34" s="3327"/>
      <c r="M34" s="3327"/>
      <c r="N34" s="3327"/>
      <c r="O34" s="3"/>
      <c r="P34" s="3281"/>
      <c r="Q34" s="3331"/>
      <c r="R34" s="3331"/>
      <c r="S34" s="3331"/>
      <c r="T34" s="3331"/>
      <c r="U34" s="3331"/>
      <c r="V34" s="3331"/>
      <c r="W34" s="3331"/>
      <c r="X34" s="3331"/>
      <c r="Y34" s="3331"/>
      <c r="Z34" s="3331"/>
      <c r="AA34" s="3"/>
      <c r="AB34" s="3281"/>
      <c r="AC34" s="3268"/>
      <c r="AD34" s="3268"/>
      <c r="AE34" s="3268"/>
      <c r="AF34" s="3268"/>
      <c r="AG34" s="3268"/>
      <c r="AH34" s="3268"/>
      <c r="AI34" s="3268"/>
      <c r="AJ34" s="3268"/>
      <c r="AK34" s="3268"/>
      <c r="AL34" s="3268"/>
      <c r="AM34" s="3"/>
      <c r="AN34" s="3285"/>
      <c r="AO34" s="3268"/>
      <c r="AP34" s="3268"/>
      <c r="AQ34" s="3268"/>
      <c r="AR34" s="3268"/>
      <c r="AS34" s="3268"/>
      <c r="AT34" s="3268"/>
      <c r="AU34" s="3268"/>
      <c r="AV34" s="3268"/>
      <c r="AW34" s="3268"/>
      <c r="AX34" s="3268"/>
    </row>
    <row r="35" spans="4:50" ht="22" customHeight="1">
      <c r="D35" s="3276" t="s">
        <v>5595</v>
      </c>
      <c r="E35" s="3277"/>
      <c r="F35" s="3277"/>
      <c r="G35" s="3277"/>
      <c r="H35" s="3277"/>
      <c r="I35" s="3277"/>
      <c r="J35" s="3277"/>
      <c r="K35" s="3277"/>
      <c r="L35" s="3277"/>
      <c r="M35" s="3277"/>
      <c r="N35" s="3277"/>
      <c r="O35" s="3"/>
      <c r="P35" s="3281"/>
      <c r="Q35" s="3331"/>
      <c r="R35" s="3331"/>
      <c r="S35" s="3331"/>
      <c r="T35" s="3331"/>
      <c r="U35" s="3331"/>
      <c r="V35" s="3331"/>
      <c r="W35" s="3331"/>
      <c r="X35" s="3331"/>
      <c r="Y35" s="3331"/>
      <c r="Z35" s="3331"/>
      <c r="AA35" s="3"/>
      <c r="AB35" s="3281"/>
      <c r="AC35" s="3268"/>
      <c r="AD35" s="3268"/>
      <c r="AE35" s="3268"/>
      <c r="AF35" s="3268"/>
      <c r="AG35" s="3268"/>
      <c r="AH35" s="3268"/>
      <c r="AI35" s="3268"/>
      <c r="AJ35" s="3268"/>
      <c r="AK35" s="3268"/>
      <c r="AL35" s="3268"/>
      <c r="AM35" s="3"/>
      <c r="AN35" s="3285"/>
      <c r="AO35" s="3268"/>
      <c r="AP35" s="3268"/>
      <c r="AQ35" s="3268"/>
      <c r="AR35" s="3268"/>
      <c r="AS35" s="3268"/>
      <c r="AT35" s="3268"/>
      <c r="AU35" s="3268"/>
      <c r="AV35" s="3268"/>
      <c r="AW35" s="3268"/>
      <c r="AX35" s="3268"/>
    </row>
    <row r="36" spans="4:50" ht="22" customHeight="1">
      <c r="D36" s="3278" t="s">
        <v>5596</v>
      </c>
      <c r="E36" s="3278"/>
      <c r="F36" s="3278"/>
      <c r="G36" s="3278" t="s">
        <v>108</v>
      </c>
      <c r="H36" s="3278"/>
      <c r="I36" s="3278"/>
      <c r="J36" s="3278"/>
      <c r="K36" s="3278"/>
      <c r="L36" s="3278"/>
      <c r="M36" s="3278"/>
      <c r="N36" s="3278"/>
      <c r="O36" s="3"/>
      <c r="P36" s="3281"/>
      <c r="Q36" s="3331"/>
      <c r="R36" s="3331"/>
      <c r="S36" s="3331"/>
      <c r="T36" s="3331"/>
      <c r="U36" s="3331"/>
      <c r="V36" s="3331"/>
      <c r="W36" s="3331"/>
      <c r="X36" s="3331"/>
      <c r="Y36" s="3331"/>
      <c r="Z36" s="3331"/>
      <c r="AA36" s="3"/>
      <c r="AB36" s="3281"/>
      <c r="AC36" s="3268"/>
      <c r="AD36" s="3268"/>
      <c r="AE36" s="3268"/>
      <c r="AF36" s="3268"/>
      <c r="AG36" s="3268"/>
      <c r="AH36" s="3268"/>
      <c r="AI36" s="3268"/>
      <c r="AJ36" s="3268"/>
      <c r="AK36" s="3268"/>
      <c r="AL36" s="3268"/>
      <c r="AM36" s="3"/>
      <c r="AN36" s="3285"/>
      <c r="AO36" s="3268"/>
      <c r="AP36" s="3268"/>
      <c r="AQ36" s="3268"/>
      <c r="AR36" s="3268"/>
      <c r="AS36" s="3268"/>
      <c r="AT36" s="3268"/>
      <c r="AU36" s="3268"/>
      <c r="AV36" s="3268"/>
      <c r="AW36" s="3268"/>
      <c r="AX36" s="3268"/>
    </row>
    <row r="37" spans="4:50" ht="22" customHeight="1">
      <c r="D37" s="3279" t="s">
        <v>5597</v>
      </c>
      <c r="E37" s="3279"/>
      <c r="F37" s="3279"/>
      <c r="G37" s="3279" t="s">
        <v>5598</v>
      </c>
      <c r="H37" s="3279"/>
      <c r="I37" s="3279"/>
      <c r="J37" s="3279"/>
      <c r="K37" s="3279"/>
      <c r="L37" s="3279"/>
      <c r="M37" s="3279"/>
      <c r="N37" s="3279"/>
      <c r="O37" s="3"/>
      <c r="P37" s="3281"/>
      <c r="Q37" s="3331"/>
      <c r="R37" s="3331"/>
      <c r="S37" s="3331"/>
      <c r="T37" s="3331"/>
      <c r="U37" s="3331"/>
      <c r="V37" s="3331"/>
      <c r="W37" s="3331"/>
      <c r="X37" s="3331"/>
      <c r="Y37" s="3331"/>
      <c r="Z37" s="3331"/>
      <c r="AA37" s="3"/>
      <c r="AB37" s="3281"/>
      <c r="AC37" s="3271" t="s">
        <v>5599</v>
      </c>
      <c r="AD37" s="3271"/>
      <c r="AE37" s="3271"/>
      <c r="AF37" s="3271"/>
      <c r="AG37" s="3271"/>
      <c r="AH37" s="3271"/>
      <c r="AI37" s="3271"/>
      <c r="AJ37" s="3271"/>
      <c r="AK37" s="3271"/>
      <c r="AL37" s="3271"/>
      <c r="AM37" s="3"/>
      <c r="AN37" s="3284" t="s">
        <v>5600</v>
      </c>
      <c r="AO37" s="3271" t="s">
        <v>5601</v>
      </c>
      <c r="AP37" s="3271"/>
      <c r="AQ37" s="3271"/>
      <c r="AR37" s="3271"/>
      <c r="AS37" s="3271"/>
      <c r="AT37" s="3271"/>
      <c r="AU37" s="3271"/>
      <c r="AV37" s="3271"/>
      <c r="AW37" s="3271"/>
      <c r="AX37" s="3271"/>
    </row>
    <row r="38" spans="4:50" ht="22" customHeight="1">
      <c r="D38" s="3279" t="s">
        <v>5602</v>
      </c>
      <c r="E38" s="3279"/>
      <c r="F38" s="3279"/>
      <c r="G38" s="3279" t="s">
        <v>5603</v>
      </c>
      <c r="H38" s="3279"/>
      <c r="I38" s="3279"/>
      <c r="J38" s="3279"/>
      <c r="K38" s="3279"/>
      <c r="L38" s="3279"/>
      <c r="M38" s="3279"/>
      <c r="N38" s="3279"/>
      <c r="O38" s="3"/>
      <c r="P38" s="3281"/>
      <c r="Q38" s="3331"/>
      <c r="R38" s="3331"/>
      <c r="S38" s="3331"/>
      <c r="T38" s="3331"/>
      <c r="U38" s="3331"/>
      <c r="V38" s="3331"/>
      <c r="W38" s="3331"/>
      <c r="X38" s="3331"/>
      <c r="Y38" s="3331"/>
      <c r="Z38" s="3331"/>
      <c r="AA38" s="3"/>
      <c r="AB38" s="5" t="s">
        <v>5577</v>
      </c>
      <c r="AC38" s="3268" t="s">
        <v>5604</v>
      </c>
      <c r="AD38" s="3268"/>
      <c r="AE38" s="3268"/>
      <c r="AF38" s="3268"/>
      <c r="AG38" s="3268"/>
      <c r="AH38" s="3268"/>
      <c r="AI38" s="3268"/>
      <c r="AJ38" s="3268"/>
      <c r="AK38" s="3268"/>
      <c r="AL38" s="3268"/>
      <c r="AM38" s="3"/>
      <c r="AN38" s="3285"/>
      <c r="AO38" s="3268" t="s">
        <v>5605</v>
      </c>
      <c r="AP38" s="3268"/>
      <c r="AQ38" s="3268"/>
      <c r="AR38" s="3268"/>
      <c r="AS38" s="3268"/>
      <c r="AT38" s="3268"/>
      <c r="AU38" s="3268"/>
      <c r="AV38" s="3268"/>
      <c r="AW38" s="3268"/>
      <c r="AX38" s="3268"/>
    </row>
    <row r="39" spans="4:50" ht="22" customHeight="1">
      <c r="D39" s="3279" t="s">
        <v>5606</v>
      </c>
      <c r="E39" s="3279"/>
      <c r="F39" s="3279"/>
      <c r="G39" s="3279" t="s">
        <v>5607</v>
      </c>
      <c r="H39" s="3279"/>
      <c r="I39" s="3279"/>
      <c r="J39" s="3279"/>
      <c r="K39" s="3279"/>
      <c r="L39" s="3279"/>
      <c r="M39" s="3279"/>
      <c r="N39" s="3279"/>
      <c r="O39" s="3"/>
      <c r="P39" s="3281"/>
      <c r="Q39" s="3331"/>
      <c r="R39" s="3331"/>
      <c r="S39" s="3331"/>
      <c r="T39" s="3331"/>
      <c r="U39" s="3331"/>
      <c r="V39" s="3331"/>
      <c r="W39" s="3331"/>
      <c r="X39" s="3331"/>
      <c r="Y39" s="3331"/>
      <c r="Z39" s="3331"/>
      <c r="AA39" s="3"/>
      <c r="AB39" s="3284" t="s">
        <v>5561</v>
      </c>
      <c r="AC39" s="3268" t="s">
        <v>5608</v>
      </c>
      <c r="AD39" s="3268"/>
      <c r="AE39" s="3268"/>
      <c r="AF39" s="3268"/>
      <c r="AG39" s="3268"/>
      <c r="AH39" s="3268"/>
      <c r="AI39" s="3268"/>
      <c r="AJ39" s="3268"/>
      <c r="AK39" s="3268"/>
      <c r="AL39" s="3268"/>
      <c r="AM39" s="3"/>
      <c r="AN39" s="3285"/>
      <c r="AO39" s="3268"/>
      <c r="AP39" s="3268"/>
      <c r="AQ39" s="3268"/>
      <c r="AR39" s="3268"/>
      <c r="AS39" s="3268"/>
      <c r="AT39" s="3268"/>
      <c r="AU39" s="3268"/>
      <c r="AV39" s="3268"/>
      <c r="AW39" s="3268"/>
      <c r="AX39" s="3268"/>
    </row>
    <row r="40" spans="4:50" ht="22" customHeight="1">
      <c r="D40" s="3279" t="s">
        <v>5609</v>
      </c>
      <c r="E40" s="3279"/>
      <c r="F40" s="3279"/>
      <c r="G40" s="3279" t="s">
        <v>5610</v>
      </c>
      <c r="H40" s="3279"/>
      <c r="I40" s="3279"/>
      <c r="J40" s="3279"/>
      <c r="K40" s="3279"/>
      <c r="L40" s="3279"/>
      <c r="M40" s="3279"/>
      <c r="N40" s="3279"/>
      <c r="O40" s="3"/>
      <c r="P40" s="3281"/>
      <c r="Q40" s="3331"/>
      <c r="R40" s="3331"/>
      <c r="S40" s="3331"/>
      <c r="T40" s="3331"/>
      <c r="U40" s="3331"/>
      <c r="V40" s="3331"/>
      <c r="W40" s="3331"/>
      <c r="X40" s="3331"/>
      <c r="Y40" s="3331"/>
      <c r="Z40" s="3331"/>
      <c r="AA40" s="3"/>
      <c r="AB40" s="3285"/>
      <c r="AC40" s="3268" t="s">
        <v>5611</v>
      </c>
      <c r="AD40" s="3268"/>
      <c r="AE40" s="3268"/>
      <c r="AF40" s="3268"/>
      <c r="AG40" s="3268"/>
      <c r="AH40" s="3268"/>
      <c r="AI40" s="3268"/>
      <c r="AJ40" s="3268"/>
      <c r="AK40" s="3268"/>
      <c r="AL40" s="3268"/>
      <c r="AM40" s="3"/>
      <c r="AN40" s="3285"/>
      <c r="AO40" s="3268"/>
      <c r="AP40" s="3268"/>
      <c r="AQ40" s="3268"/>
      <c r="AR40" s="3268"/>
      <c r="AS40" s="3268"/>
      <c r="AT40" s="3268"/>
      <c r="AU40" s="3268"/>
      <c r="AV40" s="3268"/>
      <c r="AW40" s="3268"/>
      <c r="AX40" s="3268"/>
    </row>
    <row r="41" spans="4:50" ht="22" customHeight="1">
      <c r="D41" s="3279" t="s">
        <v>5612</v>
      </c>
      <c r="E41" s="3279"/>
      <c r="F41" s="3279"/>
      <c r="G41" s="3279" t="s">
        <v>5613</v>
      </c>
      <c r="H41" s="3279"/>
      <c r="I41" s="3279"/>
      <c r="J41" s="3279"/>
      <c r="K41" s="3279"/>
      <c r="L41" s="3279"/>
      <c r="M41" s="3279"/>
      <c r="N41" s="3279"/>
      <c r="O41" s="3"/>
      <c r="P41" s="3280" t="s">
        <v>108</v>
      </c>
      <c r="Q41" s="3341" t="s">
        <v>5614</v>
      </c>
      <c r="R41" s="3341"/>
      <c r="S41" s="3341"/>
      <c r="T41" s="3341"/>
      <c r="U41" s="3341"/>
      <c r="V41" s="3341"/>
      <c r="W41" s="3341"/>
      <c r="X41" s="3341"/>
      <c r="Y41" s="3341"/>
      <c r="Z41" s="3341"/>
      <c r="AA41" s="3"/>
      <c r="AB41" s="3285"/>
      <c r="AC41" s="3271" t="s">
        <v>5615</v>
      </c>
      <c r="AD41" s="3271"/>
      <c r="AE41" s="3271"/>
      <c r="AF41" s="3271"/>
      <c r="AG41" s="3271"/>
      <c r="AH41" s="3271"/>
      <c r="AI41" s="3271"/>
      <c r="AJ41" s="3271"/>
      <c r="AK41" s="3271"/>
      <c r="AL41" s="3271"/>
      <c r="AM41" s="3"/>
      <c r="AN41" s="3285"/>
      <c r="AO41" s="3268"/>
      <c r="AP41" s="3268"/>
      <c r="AQ41" s="3268"/>
      <c r="AR41" s="3268"/>
      <c r="AS41" s="3268"/>
      <c r="AT41" s="3268"/>
      <c r="AU41" s="3268"/>
      <c r="AV41" s="3268"/>
      <c r="AW41" s="3268"/>
      <c r="AX41" s="3268"/>
    </row>
    <row r="42" spans="4:50" ht="22" customHeight="1">
      <c r="D42" s="3279" t="s">
        <v>5616</v>
      </c>
      <c r="E42" s="3279"/>
      <c r="F42" s="3279"/>
      <c r="G42" s="3279" t="s">
        <v>5617</v>
      </c>
      <c r="H42" s="3279"/>
      <c r="I42" s="3279"/>
      <c r="J42" s="3279"/>
      <c r="K42" s="3279"/>
      <c r="L42" s="3279"/>
      <c r="M42" s="3279"/>
      <c r="N42" s="3279"/>
      <c r="O42" s="3"/>
      <c r="P42" s="3281"/>
      <c r="Q42" s="3341"/>
      <c r="R42" s="3341"/>
      <c r="S42" s="3341"/>
      <c r="T42" s="3341"/>
      <c r="U42" s="3341"/>
      <c r="V42" s="3341"/>
      <c r="W42" s="3341"/>
      <c r="X42" s="3341"/>
      <c r="Y42" s="3341"/>
      <c r="Z42" s="3341"/>
      <c r="AA42" s="3"/>
      <c r="AB42" s="6" t="s">
        <v>108</v>
      </c>
      <c r="AC42" s="3275"/>
      <c r="AD42" s="3275"/>
      <c r="AE42" s="3275"/>
      <c r="AF42" s="3275"/>
      <c r="AG42" s="3275"/>
      <c r="AH42" s="3275"/>
      <c r="AI42" s="3275"/>
      <c r="AJ42" s="3275"/>
      <c r="AK42" s="3275"/>
      <c r="AL42" s="3275"/>
      <c r="AM42" s="3"/>
      <c r="AN42" s="3284" t="s">
        <v>5618</v>
      </c>
      <c r="AO42" s="3268" t="s">
        <v>5619</v>
      </c>
      <c r="AP42" s="3268"/>
      <c r="AQ42" s="3268"/>
      <c r="AR42" s="3268"/>
      <c r="AS42" s="3268"/>
      <c r="AT42" s="3268"/>
      <c r="AU42" s="3268"/>
      <c r="AV42" s="3268"/>
      <c r="AW42" s="3268"/>
      <c r="AX42" s="3268"/>
    </row>
    <row r="43" spans="4:50" ht="22" customHeight="1">
      <c r="D43" s="3279" t="s">
        <v>5620</v>
      </c>
      <c r="E43" s="3279"/>
      <c r="F43" s="3279"/>
      <c r="G43" s="3279" t="s">
        <v>5621</v>
      </c>
      <c r="H43" s="3279"/>
      <c r="I43" s="3279"/>
      <c r="J43" s="3279"/>
      <c r="K43" s="3279"/>
      <c r="L43" s="3279"/>
      <c r="M43" s="3279"/>
      <c r="N43" s="3279"/>
      <c r="O43" s="3"/>
      <c r="P43" s="3269" t="s">
        <v>5622</v>
      </c>
      <c r="Q43" s="3270"/>
      <c r="R43" s="3270"/>
      <c r="S43" s="3270"/>
      <c r="T43" s="3270"/>
      <c r="U43" s="3270"/>
      <c r="V43" s="3270"/>
      <c r="W43" s="3270"/>
      <c r="X43" s="3270"/>
      <c r="Y43" s="3270"/>
      <c r="Z43" s="3270"/>
      <c r="AA43" s="3"/>
      <c r="AB43" s="3269" t="s">
        <v>5623</v>
      </c>
      <c r="AC43" s="3270"/>
      <c r="AD43" s="3270"/>
      <c r="AE43" s="3270"/>
      <c r="AF43" s="3270"/>
      <c r="AG43" s="3270"/>
      <c r="AH43" s="3270"/>
      <c r="AI43" s="3270"/>
      <c r="AJ43" s="3270"/>
      <c r="AK43" s="3270"/>
      <c r="AL43" s="3270"/>
      <c r="AM43" s="3"/>
      <c r="AN43" s="3285"/>
      <c r="AO43" s="3268"/>
      <c r="AP43" s="3268"/>
      <c r="AQ43" s="3268"/>
      <c r="AR43" s="3268"/>
      <c r="AS43" s="3268"/>
      <c r="AT43" s="3268"/>
      <c r="AU43" s="3268"/>
      <c r="AV43" s="3268"/>
      <c r="AW43" s="3268"/>
      <c r="AX43" s="3268"/>
    </row>
    <row r="44" spans="4:50" ht="22" customHeight="1">
      <c r="D44" s="3279" t="s">
        <v>5624</v>
      </c>
      <c r="E44" s="3279"/>
      <c r="F44" s="3279"/>
      <c r="G44" s="3279" t="s">
        <v>5625</v>
      </c>
      <c r="H44" s="3279"/>
      <c r="I44" s="3279"/>
      <c r="J44" s="3279"/>
      <c r="K44" s="3279"/>
      <c r="L44" s="3279"/>
      <c r="M44" s="3279"/>
      <c r="N44" s="3279"/>
      <c r="O44" s="3"/>
      <c r="P44" s="3280" t="s">
        <v>5529</v>
      </c>
      <c r="Q44" s="3331" t="s">
        <v>5626</v>
      </c>
      <c r="R44" s="3331"/>
      <c r="S44" s="3331"/>
      <c r="T44" s="3331"/>
      <c r="U44" s="3331"/>
      <c r="V44" s="3331"/>
      <c r="W44" s="3331"/>
      <c r="X44" s="3331"/>
      <c r="Y44" s="3331"/>
      <c r="Z44" s="3331"/>
      <c r="AA44" s="3"/>
      <c r="AB44" s="3280" t="s">
        <v>5531</v>
      </c>
      <c r="AC44" s="3271" t="s">
        <v>5627</v>
      </c>
      <c r="AD44" s="3271"/>
      <c r="AE44" s="3271"/>
      <c r="AF44" s="3271"/>
      <c r="AG44" s="3271"/>
      <c r="AH44" s="3271"/>
      <c r="AI44" s="3271"/>
      <c r="AJ44" s="3271"/>
      <c r="AK44" s="3271"/>
      <c r="AL44" s="3271"/>
      <c r="AM44" s="3"/>
      <c r="AN44" s="3285"/>
      <c r="AO44" s="3268"/>
      <c r="AP44" s="3268"/>
      <c r="AQ44" s="3268"/>
      <c r="AR44" s="3268"/>
      <c r="AS44" s="3268"/>
      <c r="AT44" s="3268"/>
      <c r="AU44" s="3268"/>
      <c r="AV44" s="3268"/>
      <c r="AW44" s="3268"/>
      <c r="AX44" s="3268"/>
    </row>
    <row r="45" spans="4:50" ht="22" customHeight="1">
      <c r="D45" s="3279" t="s">
        <v>5628</v>
      </c>
      <c r="E45" s="3279"/>
      <c r="F45" s="3279"/>
      <c r="G45" s="3279" t="s">
        <v>5629</v>
      </c>
      <c r="H45" s="3279"/>
      <c r="I45" s="3279"/>
      <c r="J45" s="3279"/>
      <c r="K45" s="3279"/>
      <c r="L45" s="3279"/>
      <c r="M45" s="3279"/>
      <c r="N45" s="3279"/>
      <c r="O45" s="3"/>
      <c r="P45" s="3281"/>
      <c r="Q45" s="3331"/>
      <c r="R45" s="3331"/>
      <c r="S45" s="3331"/>
      <c r="T45" s="3331"/>
      <c r="U45" s="3331"/>
      <c r="V45" s="3331"/>
      <c r="W45" s="3331"/>
      <c r="X45" s="3331"/>
      <c r="Y45" s="3331"/>
      <c r="Z45" s="3331"/>
      <c r="AA45" s="3"/>
      <c r="AB45" s="3281"/>
      <c r="AC45" s="3271" t="s">
        <v>5630</v>
      </c>
      <c r="AD45" s="3271"/>
      <c r="AE45" s="3271"/>
      <c r="AF45" s="3271"/>
      <c r="AG45" s="3271"/>
      <c r="AH45" s="3271"/>
      <c r="AI45" s="3271"/>
      <c r="AJ45" s="3271"/>
      <c r="AK45" s="3271"/>
      <c r="AL45" s="3271"/>
      <c r="AM45" s="3"/>
      <c r="AN45" s="3285"/>
      <c r="AO45" s="3268" t="s">
        <v>5631</v>
      </c>
      <c r="AP45" s="3268"/>
      <c r="AQ45" s="3268"/>
      <c r="AR45" s="3268"/>
      <c r="AS45" s="3268"/>
      <c r="AT45" s="3268"/>
      <c r="AU45" s="3268"/>
      <c r="AV45" s="3268"/>
      <c r="AW45" s="3268"/>
      <c r="AX45" s="3268"/>
    </row>
    <row r="46" spans="4:50" ht="22" customHeight="1">
      <c r="D46" s="3279" t="s">
        <v>5632</v>
      </c>
      <c r="E46" s="3279"/>
      <c r="F46" s="3279"/>
      <c r="G46" s="3279" t="s">
        <v>5633</v>
      </c>
      <c r="H46" s="3279"/>
      <c r="I46" s="3279"/>
      <c r="J46" s="3279"/>
      <c r="K46" s="3279"/>
      <c r="L46" s="3279"/>
      <c r="M46" s="3279"/>
      <c r="N46" s="3279"/>
      <c r="O46" s="3"/>
      <c r="P46" s="3281"/>
      <c r="Q46" s="3291" t="s">
        <v>5634</v>
      </c>
      <c r="R46" s="3291"/>
      <c r="S46" s="3291"/>
      <c r="T46" s="3291"/>
      <c r="U46" s="3291"/>
      <c r="V46" s="3291"/>
      <c r="W46" s="3291"/>
      <c r="X46" s="3291"/>
      <c r="Y46" s="3291"/>
      <c r="Z46" s="3291"/>
      <c r="AA46" s="3"/>
      <c r="AB46" s="3281"/>
      <c r="AC46" s="3342" t="s">
        <v>5635</v>
      </c>
      <c r="AD46" s="3291"/>
      <c r="AE46" s="3291"/>
      <c r="AF46" s="3291"/>
      <c r="AG46" s="3291"/>
      <c r="AH46" s="3291"/>
      <c r="AI46" s="3291"/>
      <c r="AJ46" s="3291"/>
      <c r="AK46" s="3291"/>
      <c r="AL46" s="3291"/>
      <c r="AM46" s="3"/>
      <c r="AN46" s="3285"/>
      <c r="AO46" s="3268"/>
      <c r="AP46" s="3268"/>
      <c r="AQ46" s="3268"/>
      <c r="AR46" s="3268"/>
      <c r="AS46" s="3268"/>
      <c r="AT46" s="3268"/>
      <c r="AU46" s="3268"/>
      <c r="AV46" s="3268"/>
      <c r="AW46" s="3268"/>
      <c r="AX46" s="3268"/>
    </row>
    <row r="47" spans="4:50" ht="22" customHeight="1">
      <c r="D47" s="3279" t="s">
        <v>5636</v>
      </c>
      <c r="E47" s="3279"/>
      <c r="F47" s="3279"/>
      <c r="G47" s="3279" t="s">
        <v>5637</v>
      </c>
      <c r="H47" s="3279"/>
      <c r="I47" s="3279"/>
      <c r="J47" s="3279"/>
      <c r="K47" s="3279"/>
      <c r="L47" s="3279"/>
      <c r="M47" s="3279"/>
      <c r="N47" s="3279"/>
      <c r="O47" s="3"/>
      <c r="P47" s="3281"/>
      <c r="Q47" s="3291"/>
      <c r="R47" s="3291"/>
      <c r="S47" s="3291"/>
      <c r="T47" s="3291"/>
      <c r="U47" s="3291"/>
      <c r="V47" s="3291"/>
      <c r="W47" s="3291"/>
      <c r="X47" s="3291"/>
      <c r="Y47" s="3291"/>
      <c r="Z47" s="3291"/>
      <c r="AA47" s="3"/>
      <c r="AB47" s="3281"/>
      <c r="AC47" s="3291"/>
      <c r="AD47" s="3291"/>
      <c r="AE47" s="3291"/>
      <c r="AF47" s="3291"/>
      <c r="AG47" s="3291"/>
      <c r="AH47" s="3291"/>
      <c r="AI47" s="3291"/>
      <c r="AJ47" s="3291"/>
      <c r="AK47" s="3291"/>
      <c r="AL47" s="3291"/>
      <c r="AM47" s="3"/>
      <c r="AN47" s="3285"/>
      <c r="AO47" s="3268"/>
      <c r="AP47" s="3268"/>
      <c r="AQ47" s="3268"/>
      <c r="AR47" s="3268"/>
      <c r="AS47" s="3268"/>
      <c r="AT47" s="3268"/>
      <c r="AU47" s="3268"/>
      <c r="AV47" s="3268"/>
      <c r="AW47" s="3268"/>
      <c r="AX47" s="3268"/>
    </row>
    <row r="48" spans="4:50" ht="22" customHeight="1">
      <c r="D48" s="3279" t="s">
        <v>5638</v>
      </c>
      <c r="E48" s="3279"/>
      <c r="F48" s="3279"/>
      <c r="G48" s="3279" t="s">
        <v>5639</v>
      </c>
      <c r="H48" s="3279"/>
      <c r="I48" s="3279"/>
      <c r="J48" s="3279"/>
      <c r="K48" s="3279"/>
      <c r="L48" s="3279"/>
      <c r="M48" s="3279"/>
      <c r="N48" s="3279"/>
      <c r="O48" s="3"/>
      <c r="P48" s="3280" t="s">
        <v>5549</v>
      </c>
      <c r="Q48" s="3268" t="s">
        <v>5640</v>
      </c>
      <c r="R48" s="3268"/>
      <c r="S48" s="3268"/>
      <c r="T48" s="3268"/>
      <c r="U48" s="3268"/>
      <c r="V48" s="3268"/>
      <c r="W48" s="3268"/>
      <c r="X48" s="3268"/>
      <c r="Y48" s="3268"/>
      <c r="Z48" s="3268"/>
      <c r="AA48" s="3"/>
      <c r="AB48" s="3281"/>
      <c r="AC48" s="3291"/>
      <c r="AD48" s="3291"/>
      <c r="AE48" s="3291"/>
      <c r="AF48" s="3291"/>
      <c r="AG48" s="3291"/>
      <c r="AH48" s="3291"/>
      <c r="AI48" s="3291"/>
      <c r="AJ48" s="3291"/>
      <c r="AK48" s="3291"/>
      <c r="AL48" s="3291"/>
      <c r="AM48" s="3"/>
      <c r="AN48" s="3285"/>
      <c r="AO48" s="3268"/>
      <c r="AP48" s="3268"/>
      <c r="AQ48" s="3268"/>
      <c r="AR48" s="3268"/>
      <c r="AS48" s="3268"/>
      <c r="AT48" s="3268"/>
      <c r="AU48" s="3268"/>
      <c r="AV48" s="3268"/>
      <c r="AW48" s="3268"/>
      <c r="AX48" s="3268"/>
    </row>
    <row r="49" spans="4:50" ht="22" customHeight="1">
      <c r="D49" s="3279" t="s">
        <v>5641</v>
      </c>
      <c r="E49" s="3279"/>
      <c r="F49" s="3279"/>
      <c r="G49" s="3279" t="s">
        <v>5642</v>
      </c>
      <c r="H49" s="3279"/>
      <c r="I49" s="3279"/>
      <c r="J49" s="3279"/>
      <c r="K49" s="3279"/>
      <c r="L49" s="3279"/>
      <c r="M49" s="3279"/>
      <c r="N49" s="3279"/>
      <c r="O49" s="3"/>
      <c r="P49" s="3281"/>
      <c r="Q49" s="3268"/>
      <c r="R49" s="3268"/>
      <c r="S49" s="3268"/>
      <c r="T49" s="3268"/>
      <c r="U49" s="3268"/>
      <c r="V49" s="3268"/>
      <c r="W49" s="3268"/>
      <c r="X49" s="3268"/>
      <c r="Y49" s="3268"/>
      <c r="Z49" s="3268"/>
      <c r="AA49" s="3"/>
      <c r="AB49" s="3281"/>
      <c r="AC49" s="3342" t="s">
        <v>5643</v>
      </c>
      <c r="AD49" s="3291"/>
      <c r="AE49" s="3291"/>
      <c r="AF49" s="3291"/>
      <c r="AG49" s="3291"/>
      <c r="AH49" s="3291"/>
      <c r="AI49" s="3291"/>
      <c r="AJ49" s="3291"/>
      <c r="AK49" s="3291"/>
      <c r="AL49" s="3291"/>
      <c r="AM49" s="3"/>
      <c r="AN49" s="3285"/>
      <c r="AO49" s="3268"/>
      <c r="AP49" s="3268"/>
      <c r="AQ49" s="3268"/>
      <c r="AR49" s="3268"/>
      <c r="AS49" s="3268"/>
      <c r="AT49" s="3268"/>
      <c r="AU49" s="3268"/>
      <c r="AV49" s="3268"/>
      <c r="AW49" s="3268"/>
      <c r="AX49" s="3268"/>
    </row>
    <row r="50" spans="4:50" ht="22" customHeight="1">
      <c r="D50" s="3279" t="s">
        <v>5644</v>
      </c>
      <c r="E50" s="3279"/>
      <c r="F50" s="3279"/>
      <c r="G50" s="3279" t="s">
        <v>5645</v>
      </c>
      <c r="H50" s="3279"/>
      <c r="I50" s="3279"/>
      <c r="J50" s="3279"/>
      <c r="K50" s="3279"/>
      <c r="L50" s="3279"/>
      <c r="M50" s="3279"/>
      <c r="N50" s="3279"/>
      <c r="O50" s="3"/>
      <c r="P50" s="3281"/>
      <c r="Q50" s="3268" t="s">
        <v>5646</v>
      </c>
      <c r="R50" s="3268"/>
      <c r="S50" s="3268"/>
      <c r="T50" s="3268"/>
      <c r="U50" s="3268"/>
      <c r="V50" s="3268"/>
      <c r="W50" s="3268"/>
      <c r="X50" s="3268"/>
      <c r="Y50" s="3268"/>
      <c r="Z50" s="3268"/>
      <c r="AA50" s="3"/>
      <c r="AB50" s="3281"/>
      <c r="AC50" s="3291"/>
      <c r="AD50" s="3291"/>
      <c r="AE50" s="3291"/>
      <c r="AF50" s="3291"/>
      <c r="AG50" s="3291"/>
      <c r="AH50" s="3291"/>
      <c r="AI50" s="3291"/>
      <c r="AJ50" s="3291"/>
      <c r="AK50" s="3291"/>
      <c r="AL50" s="3291"/>
      <c r="AM50" s="3"/>
      <c r="AN50" s="3284" t="s">
        <v>5647</v>
      </c>
      <c r="AO50" s="3271" t="s">
        <v>5648</v>
      </c>
      <c r="AP50" s="3271"/>
      <c r="AQ50" s="3271"/>
      <c r="AR50" s="3271"/>
      <c r="AS50" s="3271"/>
      <c r="AT50" s="3271"/>
      <c r="AU50" s="3271"/>
      <c r="AV50" s="3271"/>
      <c r="AW50" s="3271"/>
      <c r="AX50" s="3271"/>
    </row>
    <row r="51" spans="4:50" ht="22" customHeight="1">
      <c r="D51" s="3279" t="s">
        <v>5649</v>
      </c>
      <c r="E51" s="3279"/>
      <c r="F51" s="3279"/>
      <c r="G51" s="3279" t="s">
        <v>5650</v>
      </c>
      <c r="H51" s="3279"/>
      <c r="I51" s="3279"/>
      <c r="J51" s="3279"/>
      <c r="K51" s="3279"/>
      <c r="L51" s="3279"/>
      <c r="M51" s="3279"/>
      <c r="N51" s="3279"/>
      <c r="O51" s="3"/>
      <c r="P51" s="3281"/>
      <c r="Q51" s="3268"/>
      <c r="R51" s="3268"/>
      <c r="S51" s="3268"/>
      <c r="T51" s="3268"/>
      <c r="U51" s="3268"/>
      <c r="V51" s="3268"/>
      <c r="W51" s="3268"/>
      <c r="X51" s="3268"/>
      <c r="Y51" s="3268"/>
      <c r="Z51" s="3268"/>
      <c r="AA51" s="3"/>
      <c r="AB51" s="3281"/>
      <c r="AC51" s="3291"/>
      <c r="AD51" s="3291"/>
      <c r="AE51" s="3291"/>
      <c r="AF51" s="3291"/>
      <c r="AG51" s="3291"/>
      <c r="AH51" s="3291"/>
      <c r="AI51" s="3291"/>
      <c r="AJ51" s="3291"/>
      <c r="AK51" s="3291"/>
      <c r="AL51" s="3291"/>
      <c r="AM51" s="3"/>
      <c r="AN51" s="3285"/>
      <c r="AO51" s="3268" t="s">
        <v>5651</v>
      </c>
      <c r="AP51" s="3268"/>
      <c r="AQ51" s="3268"/>
      <c r="AR51" s="3268"/>
      <c r="AS51" s="3268"/>
      <c r="AT51" s="3268"/>
      <c r="AU51" s="3268"/>
      <c r="AV51" s="3268"/>
      <c r="AW51" s="3268"/>
      <c r="AX51" s="3268"/>
    </row>
    <row r="52" spans="4:50" ht="22" customHeight="1">
      <c r="D52" s="3279" t="s">
        <v>5652</v>
      </c>
      <c r="E52" s="3279"/>
      <c r="F52" s="3279"/>
      <c r="G52" s="3279" t="s">
        <v>5653</v>
      </c>
      <c r="H52" s="3279"/>
      <c r="I52" s="3279"/>
      <c r="J52" s="3279"/>
      <c r="K52" s="3279"/>
      <c r="L52" s="3279"/>
      <c r="M52" s="3279"/>
      <c r="N52" s="3279"/>
      <c r="O52" s="3"/>
      <c r="P52" s="3280" t="s">
        <v>5654</v>
      </c>
      <c r="Q52" s="3331" t="s">
        <v>5655</v>
      </c>
      <c r="R52" s="3331"/>
      <c r="S52" s="3331"/>
      <c r="T52" s="3331"/>
      <c r="U52" s="3331"/>
      <c r="V52" s="3331"/>
      <c r="W52" s="3331"/>
      <c r="X52" s="3331"/>
      <c r="Y52" s="3331"/>
      <c r="Z52" s="3331"/>
      <c r="AA52" s="3"/>
      <c r="AB52" s="3281"/>
      <c r="AC52" s="3271" t="s">
        <v>5656</v>
      </c>
      <c r="AD52" s="3271"/>
      <c r="AE52" s="3271"/>
      <c r="AF52" s="3271"/>
      <c r="AG52" s="3271"/>
      <c r="AH52" s="3271"/>
      <c r="AI52" s="3271"/>
      <c r="AJ52" s="3271"/>
      <c r="AK52" s="3271"/>
      <c r="AL52" s="3271"/>
      <c r="AM52" s="3"/>
      <c r="AN52" s="3285"/>
      <c r="AO52" s="3268"/>
      <c r="AP52" s="3268"/>
      <c r="AQ52" s="3268"/>
      <c r="AR52" s="3268"/>
      <c r="AS52" s="3268"/>
      <c r="AT52" s="3268"/>
      <c r="AU52" s="3268"/>
      <c r="AV52" s="3268"/>
      <c r="AW52" s="3268"/>
      <c r="AX52" s="3268"/>
    </row>
    <row r="53" spans="4:50" ht="22" customHeight="1">
      <c r="D53" s="3279" t="s">
        <v>5657</v>
      </c>
      <c r="E53" s="3279"/>
      <c r="F53" s="3279"/>
      <c r="G53" s="3279" t="s">
        <v>5658</v>
      </c>
      <c r="H53" s="3279"/>
      <c r="I53" s="3279"/>
      <c r="J53" s="3279"/>
      <c r="K53" s="3279"/>
      <c r="L53" s="3279"/>
      <c r="M53" s="3279"/>
      <c r="N53" s="3279"/>
      <c r="O53" s="3"/>
      <c r="P53" s="3281"/>
      <c r="Q53" s="3331"/>
      <c r="R53" s="3331"/>
      <c r="S53" s="3331"/>
      <c r="T53" s="3331"/>
      <c r="U53" s="3331"/>
      <c r="V53" s="3331"/>
      <c r="W53" s="3331"/>
      <c r="X53" s="3331"/>
      <c r="Y53" s="3331"/>
      <c r="Z53" s="3331"/>
      <c r="AA53" s="3"/>
      <c r="AB53" s="3281"/>
      <c r="AC53" s="3342" t="s">
        <v>5659</v>
      </c>
      <c r="AD53" s="3291"/>
      <c r="AE53" s="3291"/>
      <c r="AF53" s="3291"/>
      <c r="AG53" s="3291"/>
      <c r="AH53" s="3291"/>
      <c r="AI53" s="3291"/>
      <c r="AJ53" s="3291"/>
      <c r="AK53" s="3291"/>
      <c r="AL53" s="3291"/>
      <c r="AM53" s="3"/>
      <c r="AN53" s="3285"/>
      <c r="AO53" s="3268"/>
      <c r="AP53" s="3268"/>
      <c r="AQ53" s="3268"/>
      <c r="AR53" s="3268"/>
      <c r="AS53" s="3268"/>
      <c r="AT53" s="3268"/>
      <c r="AU53" s="3268"/>
      <c r="AV53" s="3268"/>
      <c r="AW53" s="3268"/>
      <c r="AX53" s="3268"/>
    </row>
    <row r="54" spans="4:50" ht="22" customHeight="1">
      <c r="D54" s="3279" t="s">
        <v>5660</v>
      </c>
      <c r="E54" s="3279"/>
      <c r="F54" s="3279"/>
      <c r="G54" s="3279" t="s">
        <v>5661</v>
      </c>
      <c r="H54" s="3279"/>
      <c r="I54" s="3279"/>
      <c r="J54" s="3279"/>
      <c r="K54" s="3279"/>
      <c r="L54" s="3279"/>
      <c r="M54" s="3279"/>
      <c r="N54" s="3279"/>
      <c r="O54" s="3"/>
      <c r="P54" s="3281"/>
      <c r="Q54" s="3331"/>
      <c r="R54" s="3331"/>
      <c r="S54" s="3331"/>
      <c r="T54" s="3331"/>
      <c r="U54" s="3331"/>
      <c r="V54" s="3331"/>
      <c r="W54" s="3331"/>
      <c r="X54" s="3331"/>
      <c r="Y54" s="3331"/>
      <c r="Z54" s="3331"/>
      <c r="AA54" s="3"/>
      <c r="AB54" s="3281"/>
      <c r="AC54" s="3291"/>
      <c r="AD54" s="3291"/>
      <c r="AE54" s="3291"/>
      <c r="AF54" s="3291"/>
      <c r="AG54" s="3291"/>
      <c r="AH54" s="3291"/>
      <c r="AI54" s="3291"/>
      <c r="AJ54" s="3291"/>
      <c r="AK54" s="3291"/>
      <c r="AL54" s="3291"/>
      <c r="AM54" s="3"/>
      <c r="AN54" s="3285"/>
      <c r="AO54" s="3268"/>
      <c r="AP54" s="3268"/>
      <c r="AQ54" s="3268"/>
      <c r="AR54" s="3268"/>
      <c r="AS54" s="3268"/>
      <c r="AT54" s="3268"/>
      <c r="AU54" s="3268"/>
      <c r="AV54" s="3268"/>
      <c r="AW54" s="3268"/>
      <c r="AX54" s="3268"/>
    </row>
    <row r="55" spans="4:50" ht="22" customHeight="1">
      <c r="D55" s="3279" t="s">
        <v>5662</v>
      </c>
      <c r="E55" s="3279"/>
      <c r="F55" s="3279"/>
      <c r="G55" s="3279" t="s">
        <v>5663</v>
      </c>
      <c r="H55" s="3279"/>
      <c r="I55" s="3279"/>
      <c r="J55" s="3279"/>
      <c r="K55" s="3279"/>
      <c r="L55" s="3279"/>
      <c r="M55" s="3279"/>
      <c r="N55" s="3279"/>
      <c r="O55" s="3"/>
      <c r="P55" s="3280" t="s">
        <v>5561</v>
      </c>
      <c r="Q55" s="3331" t="s">
        <v>5664</v>
      </c>
      <c r="R55" s="3331"/>
      <c r="S55" s="3331"/>
      <c r="T55" s="3331"/>
      <c r="U55" s="3331"/>
      <c r="V55" s="3331"/>
      <c r="W55" s="3331"/>
      <c r="X55" s="3331"/>
      <c r="Y55" s="3331"/>
      <c r="Z55" s="3331"/>
      <c r="AA55" s="3"/>
      <c r="AB55" s="3281"/>
      <c r="AC55" s="3291"/>
      <c r="AD55" s="3291"/>
      <c r="AE55" s="3291"/>
      <c r="AF55" s="3291"/>
      <c r="AG55" s="3291"/>
      <c r="AH55" s="3291"/>
      <c r="AI55" s="3291"/>
      <c r="AJ55" s="3291"/>
      <c r="AK55" s="3291"/>
      <c r="AL55" s="3291"/>
      <c r="AM55" s="3"/>
      <c r="AN55" s="3285"/>
      <c r="AO55" s="3268"/>
      <c r="AP55" s="3268"/>
      <c r="AQ55" s="3268"/>
      <c r="AR55" s="3268"/>
      <c r="AS55" s="3268"/>
      <c r="AT55" s="3268"/>
      <c r="AU55" s="3268"/>
      <c r="AV55" s="3268"/>
      <c r="AW55" s="3268"/>
      <c r="AX55" s="3268"/>
    </row>
    <row r="56" spans="4:50" ht="22" customHeight="1">
      <c r="D56" s="3279" t="s">
        <v>5665</v>
      </c>
      <c r="E56" s="3279"/>
      <c r="F56" s="3279"/>
      <c r="G56" s="3279" t="s">
        <v>5666</v>
      </c>
      <c r="H56" s="3279"/>
      <c r="I56" s="3279"/>
      <c r="J56" s="3279"/>
      <c r="K56" s="3279"/>
      <c r="L56" s="3279"/>
      <c r="M56" s="3279"/>
      <c r="N56" s="3279"/>
      <c r="O56" s="3"/>
      <c r="P56" s="3281"/>
      <c r="Q56" s="3331"/>
      <c r="R56" s="3331"/>
      <c r="S56" s="3331"/>
      <c r="T56" s="3331"/>
      <c r="U56" s="3331"/>
      <c r="V56" s="3331"/>
      <c r="W56" s="3331"/>
      <c r="X56" s="3331"/>
      <c r="Y56" s="3331"/>
      <c r="Z56" s="3331"/>
      <c r="AA56" s="3"/>
      <c r="AB56" s="3281"/>
      <c r="AC56" s="3291"/>
      <c r="AD56" s="3291"/>
      <c r="AE56" s="3291"/>
      <c r="AF56" s="3291"/>
      <c r="AG56" s="3291"/>
      <c r="AH56" s="3291"/>
      <c r="AI56" s="3291"/>
      <c r="AJ56" s="3291"/>
      <c r="AK56" s="3291"/>
      <c r="AL56" s="3291"/>
      <c r="AM56" s="3"/>
      <c r="AN56" s="3285"/>
      <c r="AO56" s="3268"/>
      <c r="AP56" s="3268"/>
      <c r="AQ56" s="3268"/>
      <c r="AR56" s="3268"/>
      <c r="AS56" s="3268"/>
      <c r="AT56" s="3268"/>
      <c r="AU56" s="3268"/>
      <c r="AV56" s="3268"/>
      <c r="AW56" s="3268"/>
      <c r="AX56" s="3268"/>
    </row>
    <row r="57" spans="4:50" ht="22" customHeight="1">
      <c r="D57" s="3279"/>
      <c r="E57" s="3279"/>
      <c r="F57" s="3279"/>
      <c r="G57" s="3279"/>
      <c r="H57" s="3279"/>
      <c r="I57" s="3279"/>
      <c r="J57" s="3279"/>
      <c r="K57" s="3279"/>
      <c r="L57" s="3279"/>
      <c r="M57" s="3279"/>
      <c r="N57" s="3279"/>
      <c r="O57" s="3"/>
      <c r="P57" s="3280" t="s">
        <v>5667</v>
      </c>
      <c r="Q57" s="3331" t="s">
        <v>5668</v>
      </c>
      <c r="R57" s="3331"/>
      <c r="S57" s="3331"/>
      <c r="T57" s="3331"/>
      <c r="U57" s="3331"/>
      <c r="V57" s="3331"/>
      <c r="W57" s="3331"/>
      <c r="X57" s="3331"/>
      <c r="Y57" s="3331"/>
      <c r="Z57" s="3331"/>
      <c r="AA57" s="3"/>
      <c r="AB57" s="3281"/>
      <c r="AC57" s="3291"/>
      <c r="AD57" s="3291"/>
      <c r="AE57" s="3291"/>
      <c r="AF57" s="3291"/>
      <c r="AG57" s="3291"/>
      <c r="AH57" s="3291"/>
      <c r="AI57" s="3291"/>
      <c r="AJ57" s="3291"/>
      <c r="AK57" s="3291"/>
      <c r="AL57" s="3291"/>
      <c r="AM57" s="3"/>
      <c r="AN57" s="3285"/>
      <c r="AO57" s="3268"/>
      <c r="AP57" s="3268"/>
      <c r="AQ57" s="3268"/>
      <c r="AR57" s="3268"/>
      <c r="AS57" s="3268"/>
      <c r="AT57" s="3268"/>
      <c r="AU57" s="3268"/>
      <c r="AV57" s="3268"/>
      <c r="AW57" s="3268"/>
      <c r="AX57" s="3268"/>
    </row>
    <row r="58" spans="4:50" ht="22" customHeight="1">
      <c r="D58" s="3279"/>
      <c r="E58" s="3279"/>
      <c r="F58" s="3279"/>
      <c r="G58" s="3279"/>
      <c r="H58" s="3279"/>
      <c r="I58" s="3279"/>
      <c r="J58" s="3279"/>
      <c r="K58" s="3279"/>
      <c r="L58" s="3279"/>
      <c r="M58" s="3279"/>
      <c r="N58" s="3279"/>
      <c r="O58" s="3"/>
      <c r="P58" s="3281"/>
      <c r="Q58" s="3331"/>
      <c r="R58" s="3331"/>
      <c r="S58" s="3331"/>
      <c r="T58" s="3331"/>
      <c r="U58" s="3331"/>
      <c r="V58" s="3331"/>
      <c r="W58" s="3331"/>
      <c r="X58" s="3331"/>
      <c r="Y58" s="3331"/>
      <c r="Z58" s="3331"/>
      <c r="AA58" s="3"/>
      <c r="AB58" s="3281"/>
      <c r="AC58" s="3271" t="s">
        <v>5669</v>
      </c>
      <c r="AD58" s="3271"/>
      <c r="AE58" s="3271"/>
      <c r="AF58" s="3271"/>
      <c r="AG58" s="3271"/>
      <c r="AH58" s="3271"/>
      <c r="AI58" s="3271"/>
      <c r="AJ58" s="3271"/>
      <c r="AK58" s="3271"/>
      <c r="AL58" s="3271"/>
      <c r="AM58" s="3"/>
      <c r="AN58" s="3285"/>
      <c r="AO58" s="3268"/>
      <c r="AP58" s="3268"/>
      <c r="AQ58" s="3268"/>
      <c r="AR58" s="3268"/>
      <c r="AS58" s="3268"/>
      <c r="AT58" s="3268"/>
      <c r="AU58" s="3268"/>
      <c r="AV58" s="3268"/>
      <c r="AW58" s="3268"/>
      <c r="AX58" s="3268"/>
    </row>
    <row r="59" spans="4:50" ht="22" customHeight="1">
      <c r="D59" s="3279"/>
      <c r="E59" s="3279"/>
      <c r="F59" s="3279"/>
      <c r="G59" s="3279"/>
      <c r="H59" s="3279"/>
      <c r="I59" s="3279"/>
      <c r="J59" s="3279"/>
      <c r="K59" s="3279"/>
      <c r="L59" s="3279"/>
      <c r="M59" s="3279"/>
      <c r="N59" s="3279"/>
      <c r="O59" s="3"/>
      <c r="P59" s="3280" t="s">
        <v>108</v>
      </c>
      <c r="Q59" s="3341" t="s">
        <v>5670</v>
      </c>
      <c r="R59" s="3341"/>
      <c r="S59" s="3341"/>
      <c r="T59" s="3341"/>
      <c r="U59" s="3341"/>
      <c r="V59" s="3341"/>
      <c r="W59" s="3341"/>
      <c r="X59" s="3341"/>
      <c r="Y59" s="3341"/>
      <c r="Z59" s="3341"/>
      <c r="AA59" s="3"/>
      <c r="AB59" s="3281"/>
      <c r="AC59" s="3271" t="s">
        <v>5671</v>
      </c>
      <c r="AD59" s="3271"/>
      <c r="AE59" s="3271"/>
      <c r="AF59" s="3271"/>
      <c r="AG59" s="3271"/>
      <c r="AH59" s="3271"/>
      <c r="AI59" s="3271"/>
      <c r="AJ59" s="3271"/>
      <c r="AK59" s="3271"/>
      <c r="AL59" s="3271"/>
      <c r="AM59" s="3"/>
      <c r="AN59" s="3285"/>
      <c r="AO59" s="3268"/>
      <c r="AP59" s="3268"/>
      <c r="AQ59" s="3268"/>
      <c r="AR59" s="3268"/>
      <c r="AS59" s="3268"/>
      <c r="AT59" s="3268"/>
      <c r="AU59" s="3268"/>
      <c r="AV59" s="3268"/>
      <c r="AW59" s="3268"/>
      <c r="AX59" s="3268"/>
    </row>
    <row r="60" spans="4:50" ht="22" customHeight="1">
      <c r="D60" s="3279"/>
      <c r="E60" s="3279"/>
      <c r="F60" s="3279"/>
      <c r="G60" s="3279"/>
      <c r="H60" s="3279"/>
      <c r="I60" s="3279"/>
      <c r="J60" s="3279"/>
      <c r="K60" s="3279"/>
      <c r="L60" s="3279"/>
      <c r="M60" s="3279"/>
      <c r="N60" s="3279"/>
      <c r="O60" s="3"/>
      <c r="P60" s="3281"/>
      <c r="Q60" s="3341"/>
      <c r="R60" s="3341"/>
      <c r="S60" s="3341"/>
      <c r="T60" s="3341"/>
      <c r="U60" s="3341"/>
      <c r="V60" s="3341"/>
      <c r="W60" s="3341"/>
      <c r="X60" s="3341"/>
      <c r="Y60" s="3341"/>
      <c r="Z60" s="3341"/>
      <c r="AA60" s="3"/>
      <c r="AB60" s="3281"/>
      <c r="AC60" s="3268" t="s">
        <v>5672</v>
      </c>
      <c r="AD60" s="3268"/>
      <c r="AE60" s="3268"/>
      <c r="AF60" s="3268"/>
      <c r="AG60" s="3268"/>
      <c r="AH60" s="3268"/>
      <c r="AI60" s="3268"/>
      <c r="AJ60" s="3268"/>
      <c r="AK60" s="3268"/>
      <c r="AL60" s="3268"/>
      <c r="AM60" s="3"/>
      <c r="AN60" s="3285"/>
      <c r="AO60" s="3268"/>
      <c r="AP60" s="3268"/>
      <c r="AQ60" s="3268"/>
      <c r="AR60" s="3268"/>
      <c r="AS60" s="3268"/>
      <c r="AT60" s="3268"/>
      <c r="AU60" s="3268"/>
      <c r="AV60" s="3268"/>
      <c r="AW60" s="3268"/>
      <c r="AX60" s="3268"/>
    </row>
    <row r="61" spans="4:50" ht="22" customHeight="1">
      <c r="D61" s="3279"/>
      <c r="E61" s="3279"/>
      <c r="F61" s="3279"/>
      <c r="G61" s="3279"/>
      <c r="H61" s="3279"/>
      <c r="I61" s="3279"/>
      <c r="J61" s="3279"/>
      <c r="K61" s="3279"/>
      <c r="L61" s="3279"/>
      <c r="M61" s="3279"/>
      <c r="N61" s="3279"/>
      <c r="O61" s="3"/>
      <c r="P61" s="3282" t="s">
        <v>5673</v>
      </c>
      <c r="Q61" s="3283"/>
      <c r="R61" s="3283"/>
      <c r="S61" s="3283"/>
      <c r="T61" s="3283"/>
      <c r="U61" s="3283"/>
      <c r="V61" s="3283"/>
      <c r="W61" s="3283"/>
      <c r="X61" s="3283"/>
      <c r="Y61" s="3283"/>
      <c r="Z61" s="3283"/>
      <c r="AA61" s="3"/>
      <c r="AB61" s="3281"/>
      <c r="AC61" s="3268"/>
      <c r="AD61" s="3268"/>
      <c r="AE61" s="3268"/>
      <c r="AF61" s="3268"/>
      <c r="AG61" s="3268"/>
      <c r="AH61" s="3268"/>
      <c r="AI61" s="3268"/>
      <c r="AJ61" s="3268"/>
      <c r="AK61" s="3268"/>
      <c r="AL61" s="3268"/>
      <c r="AM61" s="3"/>
      <c r="AN61" s="3284" t="s">
        <v>5674</v>
      </c>
      <c r="AO61" s="3268" t="s">
        <v>5675</v>
      </c>
      <c r="AP61" s="3268"/>
      <c r="AQ61" s="3268"/>
      <c r="AR61" s="3268"/>
      <c r="AS61" s="3268"/>
      <c r="AT61" s="3268"/>
      <c r="AU61" s="3268"/>
      <c r="AV61" s="3268"/>
      <c r="AW61" s="3268"/>
      <c r="AX61" s="3268"/>
    </row>
    <row r="62" spans="4:50" ht="22" customHeight="1">
      <c r="D62" s="3279"/>
      <c r="E62" s="3279"/>
      <c r="F62" s="3279"/>
      <c r="G62" s="3279"/>
      <c r="H62" s="3279"/>
      <c r="I62" s="3279"/>
      <c r="J62" s="3279"/>
      <c r="K62" s="3279"/>
      <c r="L62" s="3279"/>
      <c r="M62" s="3279"/>
      <c r="N62" s="3279"/>
      <c r="O62" s="3"/>
      <c r="P62" s="3280" t="s">
        <v>5531</v>
      </c>
      <c r="Q62" s="3268" t="s">
        <v>5676</v>
      </c>
      <c r="R62" s="3268"/>
      <c r="S62" s="3268"/>
      <c r="T62" s="3268"/>
      <c r="U62" s="3268"/>
      <c r="V62" s="3268"/>
      <c r="W62" s="3268"/>
      <c r="X62" s="3268"/>
      <c r="Y62" s="3268"/>
      <c r="Z62" s="3268"/>
      <c r="AA62" s="3"/>
      <c r="AB62" s="3281"/>
      <c r="AC62" s="3268"/>
      <c r="AD62" s="3268"/>
      <c r="AE62" s="3268"/>
      <c r="AF62" s="3268"/>
      <c r="AG62" s="3268"/>
      <c r="AH62" s="3268"/>
      <c r="AI62" s="3268"/>
      <c r="AJ62" s="3268"/>
      <c r="AK62" s="3268"/>
      <c r="AL62" s="3268"/>
      <c r="AM62" s="3"/>
      <c r="AN62" s="3285"/>
      <c r="AO62" s="3268" t="s">
        <v>5677</v>
      </c>
      <c r="AP62" s="3268"/>
      <c r="AQ62" s="3268"/>
      <c r="AR62" s="3268"/>
      <c r="AS62" s="3268"/>
      <c r="AT62" s="3268"/>
      <c r="AU62" s="3268"/>
      <c r="AV62" s="3268"/>
      <c r="AW62" s="3268"/>
      <c r="AX62" s="3268"/>
    </row>
    <row r="63" spans="4:50" ht="22" customHeight="1">
      <c r="D63" s="3279"/>
      <c r="E63" s="3279"/>
      <c r="F63" s="3279"/>
      <c r="G63" s="3279"/>
      <c r="H63" s="3279"/>
      <c r="I63" s="3279"/>
      <c r="J63" s="3279"/>
      <c r="K63" s="3279"/>
      <c r="L63" s="3279"/>
      <c r="M63" s="3279"/>
      <c r="N63" s="3279"/>
      <c r="O63" s="3"/>
      <c r="P63" s="3281"/>
      <c r="Q63" s="3268"/>
      <c r="R63" s="3268"/>
      <c r="S63" s="3268"/>
      <c r="T63" s="3268"/>
      <c r="U63" s="3268"/>
      <c r="V63" s="3268"/>
      <c r="W63" s="3268"/>
      <c r="X63" s="3268"/>
      <c r="Y63" s="3268"/>
      <c r="Z63" s="3268"/>
      <c r="AA63" s="3"/>
      <c r="AB63" s="3298" t="s">
        <v>5561</v>
      </c>
      <c r="AC63" s="3268" t="s">
        <v>5678</v>
      </c>
      <c r="AD63" s="3268"/>
      <c r="AE63" s="3268"/>
      <c r="AF63" s="3268"/>
      <c r="AG63" s="3268"/>
      <c r="AH63" s="3268"/>
      <c r="AI63" s="3268"/>
      <c r="AJ63" s="3268"/>
      <c r="AK63" s="3268"/>
      <c r="AL63" s="3268"/>
      <c r="AM63" s="3"/>
      <c r="AN63" s="3285"/>
      <c r="AO63" s="3268"/>
      <c r="AP63" s="3268"/>
      <c r="AQ63" s="3268"/>
      <c r="AR63" s="3268"/>
      <c r="AS63" s="3268"/>
      <c r="AT63" s="3268"/>
      <c r="AU63" s="3268"/>
      <c r="AV63" s="3268"/>
      <c r="AW63" s="3268"/>
      <c r="AX63" s="3268"/>
    </row>
    <row r="64" spans="4:50" ht="22" customHeight="1">
      <c r="O64" s="3"/>
      <c r="P64" s="3280" t="s">
        <v>5545</v>
      </c>
      <c r="Q64" s="3268" t="s">
        <v>5679</v>
      </c>
      <c r="R64" s="3268"/>
      <c r="S64" s="3268"/>
      <c r="T64" s="3268"/>
      <c r="U64" s="3268"/>
      <c r="V64" s="3268"/>
      <c r="W64" s="3268"/>
      <c r="X64" s="3268"/>
      <c r="Y64" s="3268"/>
      <c r="Z64" s="3268"/>
      <c r="AA64" s="3"/>
      <c r="AB64" s="3311"/>
      <c r="AC64" s="3268"/>
      <c r="AD64" s="3268"/>
      <c r="AE64" s="3268"/>
      <c r="AF64" s="3268"/>
      <c r="AG64" s="3268"/>
      <c r="AH64" s="3268"/>
      <c r="AI64" s="3268"/>
      <c r="AJ64" s="3268"/>
      <c r="AK64" s="3268"/>
      <c r="AL64" s="3268"/>
      <c r="AM64" s="3"/>
      <c r="AN64" s="3285"/>
      <c r="AO64" s="3268" t="s">
        <v>5680</v>
      </c>
      <c r="AP64" s="3268"/>
      <c r="AQ64" s="3268"/>
      <c r="AR64" s="3268"/>
      <c r="AS64" s="3268"/>
      <c r="AT64" s="3268"/>
      <c r="AU64" s="3268"/>
      <c r="AV64" s="3268"/>
      <c r="AW64" s="3268"/>
      <c r="AX64" s="3268"/>
    </row>
    <row r="65" spans="15:50" ht="22" customHeight="1">
      <c r="O65" s="3"/>
      <c r="P65" s="3281"/>
      <c r="Q65" s="3268"/>
      <c r="R65" s="3268"/>
      <c r="S65" s="3268"/>
      <c r="T65" s="3268"/>
      <c r="U65" s="3268"/>
      <c r="V65" s="3268"/>
      <c r="W65" s="3268"/>
      <c r="X65" s="3268"/>
      <c r="Y65" s="3268"/>
      <c r="Z65" s="3268"/>
      <c r="AA65" s="3"/>
      <c r="AB65" s="3311"/>
      <c r="AC65" s="3268"/>
      <c r="AD65" s="3268"/>
      <c r="AE65" s="3268"/>
      <c r="AF65" s="3268"/>
      <c r="AG65" s="3268"/>
      <c r="AH65" s="3268"/>
      <c r="AI65" s="3268"/>
      <c r="AJ65" s="3268"/>
      <c r="AK65" s="3268"/>
      <c r="AL65" s="3268"/>
      <c r="AM65" s="3"/>
      <c r="AN65" s="3285"/>
      <c r="AO65" s="3268"/>
      <c r="AP65" s="3268"/>
      <c r="AQ65" s="3268"/>
      <c r="AR65" s="3268"/>
      <c r="AS65" s="3268"/>
      <c r="AT65" s="3268"/>
      <c r="AU65" s="3268"/>
      <c r="AV65" s="3268"/>
      <c r="AW65" s="3268"/>
      <c r="AX65" s="3268"/>
    </row>
    <row r="66" spans="15:50" ht="22" customHeight="1">
      <c r="O66" s="3"/>
      <c r="P66" s="3280" t="s">
        <v>5549</v>
      </c>
      <c r="Q66" s="3268" t="s">
        <v>5681</v>
      </c>
      <c r="R66" s="3268"/>
      <c r="S66" s="3268"/>
      <c r="T66" s="3268"/>
      <c r="U66" s="3268"/>
      <c r="V66" s="3268"/>
      <c r="W66" s="3268"/>
      <c r="X66" s="3268"/>
      <c r="Y66" s="3268"/>
      <c r="Z66" s="3268"/>
      <c r="AA66" s="3"/>
      <c r="AB66" s="7" t="s">
        <v>5667</v>
      </c>
      <c r="AC66" s="3268" t="s">
        <v>5682</v>
      </c>
      <c r="AD66" s="3268"/>
      <c r="AE66" s="3268"/>
      <c r="AF66" s="3268"/>
      <c r="AG66" s="3268"/>
      <c r="AH66" s="3268"/>
      <c r="AI66" s="3268"/>
      <c r="AJ66" s="3268"/>
      <c r="AK66" s="3268"/>
      <c r="AL66" s="3268"/>
      <c r="AM66" s="3"/>
      <c r="AN66" s="3285"/>
      <c r="AO66" s="3268"/>
      <c r="AP66" s="3268"/>
      <c r="AQ66" s="3268"/>
      <c r="AR66" s="3268"/>
      <c r="AS66" s="3268"/>
      <c r="AT66" s="3268"/>
      <c r="AU66" s="3268"/>
      <c r="AV66" s="3268"/>
      <c r="AW66" s="3268"/>
      <c r="AX66" s="3268"/>
    </row>
    <row r="67" spans="15:50" ht="22" customHeight="1">
      <c r="O67" s="3"/>
      <c r="P67" s="3281"/>
      <c r="Q67" s="3268"/>
      <c r="R67" s="3268"/>
      <c r="S67" s="3268"/>
      <c r="T67" s="3268"/>
      <c r="U67" s="3268"/>
      <c r="V67" s="3268"/>
      <c r="W67" s="3268"/>
      <c r="X67" s="3268"/>
      <c r="Y67" s="3268"/>
      <c r="Z67" s="3268"/>
      <c r="AA67" s="3"/>
      <c r="AB67" s="3269" t="s">
        <v>5683</v>
      </c>
      <c r="AC67" s="3270"/>
      <c r="AD67" s="3270"/>
      <c r="AE67" s="3270"/>
      <c r="AF67" s="3270"/>
      <c r="AG67" s="3270"/>
      <c r="AH67" s="3270"/>
      <c r="AI67" s="3270"/>
      <c r="AJ67" s="3270"/>
      <c r="AK67" s="3270"/>
      <c r="AL67" s="3270"/>
      <c r="AM67" s="3"/>
      <c r="AN67" s="3285"/>
      <c r="AO67" s="3268" t="s">
        <v>5684</v>
      </c>
      <c r="AP67" s="3268"/>
      <c r="AQ67" s="3268"/>
      <c r="AR67" s="3268"/>
      <c r="AS67" s="3268"/>
      <c r="AT67" s="3268"/>
      <c r="AU67" s="3268"/>
      <c r="AV67" s="3268"/>
      <c r="AW67" s="3268"/>
      <c r="AX67" s="3268"/>
    </row>
    <row r="68" spans="15:50" ht="22" customHeight="1">
      <c r="O68" s="3"/>
      <c r="P68" s="3280" t="s">
        <v>5561</v>
      </c>
      <c r="Q68" s="3340" t="s">
        <v>5685</v>
      </c>
      <c r="R68" s="3340"/>
      <c r="S68" s="3340"/>
      <c r="T68" s="3340"/>
      <c r="U68" s="3340"/>
      <c r="V68" s="3340"/>
      <c r="W68" s="3340"/>
      <c r="X68" s="3340"/>
      <c r="Y68" s="3340"/>
      <c r="Z68" s="3340"/>
      <c r="AA68" s="3"/>
      <c r="AB68" s="3312" t="s">
        <v>5531</v>
      </c>
      <c r="AC68" s="3271" t="s">
        <v>5686</v>
      </c>
      <c r="AD68" s="3271"/>
      <c r="AE68" s="3271"/>
      <c r="AF68" s="3271"/>
      <c r="AG68" s="3271"/>
      <c r="AH68" s="3271"/>
      <c r="AI68" s="3271"/>
      <c r="AJ68" s="3271"/>
      <c r="AK68" s="3271"/>
      <c r="AL68" s="3271"/>
      <c r="AM68" s="3"/>
      <c r="AN68" s="3285"/>
      <c r="AO68" s="3268"/>
      <c r="AP68" s="3268"/>
      <c r="AQ68" s="3268"/>
      <c r="AR68" s="3268"/>
      <c r="AS68" s="3268"/>
      <c r="AT68" s="3268"/>
      <c r="AU68" s="3268"/>
      <c r="AV68" s="3268"/>
      <c r="AW68" s="3268"/>
      <c r="AX68" s="3268"/>
    </row>
    <row r="69" spans="15:50" ht="22" customHeight="1">
      <c r="O69" s="3"/>
      <c r="P69" s="3281"/>
      <c r="Q69" s="3340"/>
      <c r="R69" s="3340"/>
      <c r="S69" s="3340"/>
      <c r="T69" s="3340"/>
      <c r="U69" s="3340"/>
      <c r="V69" s="3340"/>
      <c r="W69" s="3340"/>
      <c r="X69" s="3340"/>
      <c r="Y69" s="3340"/>
      <c r="Z69" s="3340"/>
      <c r="AA69" s="3"/>
      <c r="AB69" s="3313"/>
      <c r="AC69" s="3271" t="s">
        <v>5687</v>
      </c>
      <c r="AD69" s="3271"/>
      <c r="AE69" s="3271"/>
      <c r="AF69" s="3271"/>
      <c r="AG69" s="3271"/>
      <c r="AH69" s="3271"/>
      <c r="AI69" s="3271"/>
      <c r="AJ69" s="3271"/>
      <c r="AK69" s="3271"/>
      <c r="AL69" s="3271"/>
      <c r="AM69" s="3"/>
      <c r="AN69" s="3285"/>
      <c r="AO69" s="3268"/>
      <c r="AP69" s="3268"/>
      <c r="AQ69" s="3268"/>
      <c r="AR69" s="3268"/>
      <c r="AS69" s="3268"/>
      <c r="AT69" s="3268"/>
      <c r="AU69" s="3268"/>
      <c r="AV69" s="3268"/>
      <c r="AW69" s="3268"/>
      <c r="AX69" s="3268"/>
    </row>
    <row r="70" spans="15:50" ht="22" customHeight="1">
      <c r="O70" s="3"/>
      <c r="P70" s="3280" t="s">
        <v>5667</v>
      </c>
      <c r="Q70" s="3331" t="s">
        <v>5688</v>
      </c>
      <c r="R70" s="3331"/>
      <c r="S70" s="3331"/>
      <c r="T70" s="3331"/>
      <c r="U70" s="3331"/>
      <c r="V70" s="3331"/>
      <c r="W70" s="3331"/>
      <c r="X70" s="3331"/>
      <c r="Y70" s="3331"/>
      <c r="Z70" s="3331"/>
      <c r="AA70" s="3"/>
      <c r="AB70" s="3313"/>
      <c r="AC70" s="3271" t="s">
        <v>5689</v>
      </c>
      <c r="AD70" s="3271"/>
      <c r="AE70" s="3271"/>
      <c r="AF70" s="3271"/>
      <c r="AG70" s="3271"/>
      <c r="AH70" s="3271"/>
      <c r="AI70" s="3271"/>
      <c r="AJ70" s="3271"/>
      <c r="AK70" s="3271"/>
      <c r="AL70" s="3271"/>
      <c r="AM70" s="3"/>
      <c r="AN70" s="3285"/>
      <c r="AO70" s="3268"/>
      <c r="AP70" s="3268"/>
      <c r="AQ70" s="3268"/>
      <c r="AR70" s="3268"/>
      <c r="AS70" s="3268"/>
      <c r="AT70" s="3268"/>
      <c r="AU70" s="3268"/>
      <c r="AV70" s="3268"/>
      <c r="AW70" s="3268"/>
      <c r="AX70" s="3268"/>
    </row>
    <row r="71" spans="15:50" ht="22" customHeight="1">
      <c r="O71" s="3"/>
      <c r="P71" s="3281"/>
      <c r="Q71" s="3331"/>
      <c r="R71" s="3331"/>
      <c r="S71" s="3331"/>
      <c r="T71" s="3331"/>
      <c r="U71" s="3331"/>
      <c r="V71" s="3331"/>
      <c r="W71" s="3331"/>
      <c r="X71" s="3331"/>
      <c r="Y71" s="3331"/>
      <c r="Z71" s="3331"/>
      <c r="AA71" s="3"/>
      <c r="AB71" s="8" t="s">
        <v>5667</v>
      </c>
      <c r="AC71" s="3271" t="s">
        <v>5690</v>
      </c>
      <c r="AD71" s="3271"/>
      <c r="AE71" s="3271"/>
      <c r="AF71" s="3271"/>
      <c r="AG71" s="3271"/>
      <c r="AH71" s="3271"/>
      <c r="AI71" s="3271"/>
      <c r="AJ71" s="3271"/>
      <c r="AK71" s="3271"/>
      <c r="AL71" s="3271"/>
      <c r="AM71" s="3"/>
      <c r="AN71" s="3285"/>
      <c r="AO71" s="3268"/>
      <c r="AP71" s="3268"/>
      <c r="AQ71" s="3268"/>
      <c r="AR71" s="3268"/>
      <c r="AS71" s="3268"/>
      <c r="AT71" s="3268"/>
      <c r="AU71" s="3268"/>
      <c r="AV71" s="3268"/>
      <c r="AW71" s="3268"/>
      <c r="AX71" s="3268"/>
    </row>
    <row r="72" spans="15:50" ht="22" customHeight="1">
      <c r="O72" s="3"/>
      <c r="P72" s="3280" t="s">
        <v>108</v>
      </c>
      <c r="Q72" s="3341" t="s">
        <v>5691</v>
      </c>
      <c r="R72" s="3341"/>
      <c r="S72" s="3341"/>
      <c r="T72" s="3341"/>
      <c r="U72" s="3341"/>
      <c r="V72" s="3341"/>
      <c r="W72" s="3341"/>
      <c r="X72" s="3341"/>
      <c r="Y72" s="3341"/>
      <c r="Z72" s="3341"/>
      <c r="AA72" s="3"/>
      <c r="AB72" s="3284" t="s">
        <v>108</v>
      </c>
      <c r="AC72" s="3275"/>
      <c r="AD72" s="3275"/>
      <c r="AE72" s="3275"/>
      <c r="AF72" s="3275"/>
      <c r="AG72" s="3275"/>
      <c r="AH72" s="3275"/>
      <c r="AI72" s="3275"/>
      <c r="AJ72" s="3275"/>
      <c r="AK72" s="3275"/>
      <c r="AL72" s="3275"/>
      <c r="AM72" s="3"/>
      <c r="AN72" s="3285"/>
      <c r="AO72" s="3268"/>
      <c r="AP72" s="3268"/>
      <c r="AQ72" s="3268"/>
      <c r="AR72" s="3268"/>
      <c r="AS72" s="3268"/>
      <c r="AT72" s="3268"/>
      <c r="AU72" s="3268"/>
      <c r="AV72" s="3268"/>
      <c r="AW72" s="3268"/>
      <c r="AX72" s="3268"/>
    </row>
    <row r="73" spans="15:50" ht="22" customHeight="1">
      <c r="O73" s="3"/>
      <c r="P73" s="3281"/>
      <c r="Q73" s="3341"/>
      <c r="R73" s="3341"/>
      <c r="S73" s="3341"/>
      <c r="T73" s="3341"/>
      <c r="U73" s="3341"/>
      <c r="V73" s="3341"/>
      <c r="W73" s="3341"/>
      <c r="X73" s="3341"/>
      <c r="Y73" s="3341"/>
      <c r="Z73" s="3341"/>
      <c r="AA73" s="3"/>
      <c r="AB73" s="3285"/>
      <c r="AC73" s="3275"/>
      <c r="AD73" s="3275"/>
      <c r="AE73" s="3275"/>
      <c r="AF73" s="3275"/>
      <c r="AG73" s="3275"/>
      <c r="AH73" s="3275"/>
      <c r="AI73" s="3275"/>
      <c r="AJ73" s="3275"/>
      <c r="AK73" s="3275"/>
      <c r="AL73" s="3275"/>
      <c r="AM73" s="3"/>
      <c r="AN73" s="3285"/>
      <c r="AO73" s="3268"/>
      <c r="AP73" s="3268"/>
      <c r="AQ73" s="3268"/>
      <c r="AR73" s="3268"/>
      <c r="AS73" s="3268"/>
      <c r="AT73" s="3268"/>
      <c r="AU73" s="3268"/>
      <c r="AV73" s="3268"/>
      <c r="AW73" s="3268"/>
      <c r="AX73" s="3268"/>
    </row>
    <row r="74" spans="15:50" ht="22" customHeight="1">
      <c r="O74" s="3"/>
      <c r="P74" s="3281"/>
      <c r="Q74" s="3341"/>
      <c r="R74" s="3341"/>
      <c r="S74" s="3341"/>
      <c r="T74" s="3341"/>
      <c r="U74" s="3341"/>
      <c r="V74" s="3341"/>
      <c r="W74" s="3341"/>
      <c r="X74" s="3341"/>
      <c r="Y74" s="3341"/>
      <c r="Z74" s="3341"/>
      <c r="AA74" s="3"/>
      <c r="AB74" s="3269" t="s">
        <v>5692</v>
      </c>
      <c r="AC74" s="3270"/>
      <c r="AD74" s="3270"/>
      <c r="AE74" s="3270"/>
      <c r="AF74" s="3270"/>
      <c r="AG74" s="3270"/>
      <c r="AH74" s="3270"/>
      <c r="AI74" s="3270"/>
      <c r="AJ74" s="3270"/>
      <c r="AK74" s="3270"/>
      <c r="AL74" s="3270"/>
      <c r="AM74" s="3"/>
      <c r="AN74" s="3285"/>
      <c r="AO74" s="3268"/>
      <c r="AP74" s="3268"/>
      <c r="AQ74" s="3268"/>
      <c r="AR74" s="3268"/>
      <c r="AS74" s="3268"/>
      <c r="AT74" s="3268"/>
      <c r="AU74" s="3268"/>
      <c r="AV74" s="3268"/>
      <c r="AW74" s="3268"/>
      <c r="AX74" s="3268"/>
    </row>
    <row r="75" spans="15:50" ht="22" customHeight="1">
      <c r="O75" s="3"/>
      <c r="P75" s="3269" t="s">
        <v>5693</v>
      </c>
      <c r="Q75" s="3270"/>
      <c r="R75" s="3270"/>
      <c r="S75" s="3270"/>
      <c r="T75" s="3270"/>
      <c r="U75" s="3270"/>
      <c r="V75" s="3270"/>
      <c r="W75" s="3270"/>
      <c r="X75" s="3270"/>
      <c r="Y75" s="3270"/>
      <c r="Z75" s="3270"/>
      <c r="AA75" s="3"/>
      <c r="AB75" s="3314" t="s">
        <v>5531</v>
      </c>
      <c r="AC75" s="3342" t="s">
        <v>5694</v>
      </c>
      <c r="AD75" s="3291"/>
      <c r="AE75" s="3291"/>
      <c r="AF75" s="3291"/>
      <c r="AG75" s="3291"/>
      <c r="AH75" s="3291"/>
      <c r="AI75" s="3291"/>
      <c r="AJ75" s="3291"/>
      <c r="AK75" s="3291"/>
      <c r="AL75" s="3291"/>
      <c r="AM75" s="3"/>
      <c r="AN75" s="3285"/>
      <c r="AO75" s="3268"/>
      <c r="AP75" s="3268"/>
      <c r="AQ75" s="3268"/>
      <c r="AR75" s="3268"/>
      <c r="AS75" s="3268"/>
      <c r="AT75" s="3268"/>
      <c r="AU75" s="3268"/>
      <c r="AV75" s="3268"/>
      <c r="AW75" s="3268"/>
      <c r="AX75" s="3268"/>
    </row>
    <row r="76" spans="15:50" ht="22" customHeight="1">
      <c r="O76" s="3"/>
      <c r="P76" s="3280" t="s">
        <v>5531</v>
      </c>
      <c r="Q76" s="3268" t="s">
        <v>5695</v>
      </c>
      <c r="R76" s="3268"/>
      <c r="S76" s="3268"/>
      <c r="T76" s="3268"/>
      <c r="U76" s="3268"/>
      <c r="V76" s="3268"/>
      <c r="W76" s="3268"/>
      <c r="X76" s="3268"/>
      <c r="Y76" s="3268"/>
      <c r="Z76" s="3268"/>
      <c r="AA76" s="3"/>
      <c r="AB76" s="3315"/>
      <c r="AC76" s="3291"/>
      <c r="AD76" s="3291"/>
      <c r="AE76" s="3291"/>
      <c r="AF76" s="3291"/>
      <c r="AG76" s="3291"/>
      <c r="AH76" s="3291"/>
      <c r="AI76" s="3291"/>
      <c r="AJ76" s="3291"/>
      <c r="AK76" s="3291"/>
      <c r="AL76" s="3291"/>
      <c r="AM76" s="3"/>
      <c r="AN76" s="3285"/>
      <c r="AO76" s="3268"/>
      <c r="AP76" s="3268"/>
      <c r="AQ76" s="3268"/>
      <c r="AR76" s="3268"/>
      <c r="AS76" s="3268"/>
      <c r="AT76" s="3268"/>
      <c r="AU76" s="3268"/>
      <c r="AV76" s="3268"/>
      <c r="AW76" s="3268"/>
      <c r="AX76" s="3268"/>
    </row>
    <row r="77" spans="15:50" ht="22" customHeight="1">
      <c r="O77" s="3"/>
      <c r="P77" s="3281"/>
      <c r="Q77" s="3268"/>
      <c r="R77" s="3268"/>
      <c r="S77" s="3268"/>
      <c r="T77" s="3268"/>
      <c r="U77" s="3268"/>
      <c r="V77" s="3268"/>
      <c r="W77" s="3268"/>
      <c r="X77" s="3268"/>
      <c r="Y77" s="3268"/>
      <c r="Z77" s="3268"/>
      <c r="AA77" s="3"/>
      <c r="AB77" s="3315"/>
      <c r="AC77" s="3291"/>
      <c r="AD77" s="3291"/>
      <c r="AE77" s="3291"/>
      <c r="AF77" s="3291"/>
      <c r="AG77" s="3291"/>
      <c r="AH77" s="3291"/>
      <c r="AI77" s="3291"/>
      <c r="AJ77" s="3291"/>
      <c r="AK77" s="3291"/>
      <c r="AL77" s="3291"/>
      <c r="AM77" s="3"/>
      <c r="AN77" s="3285"/>
      <c r="AO77" s="3268"/>
      <c r="AP77" s="3268"/>
      <c r="AQ77" s="3268"/>
      <c r="AR77" s="3268"/>
      <c r="AS77" s="3268"/>
      <c r="AT77" s="3268"/>
      <c r="AU77" s="3268"/>
      <c r="AV77" s="3268"/>
      <c r="AW77" s="3268"/>
      <c r="AX77" s="3268"/>
    </row>
    <row r="78" spans="15:50" ht="22" customHeight="1">
      <c r="O78" s="3"/>
      <c r="P78" s="3281"/>
      <c r="Q78" s="3268" t="s">
        <v>5696</v>
      </c>
      <c r="R78" s="3268"/>
      <c r="S78" s="3268"/>
      <c r="T78" s="3268"/>
      <c r="U78" s="3268"/>
      <c r="V78" s="3268"/>
      <c r="W78" s="3268"/>
      <c r="X78" s="3268"/>
      <c r="Y78" s="3268"/>
      <c r="Z78" s="3268"/>
      <c r="AA78" s="3"/>
      <c r="AB78" s="3315"/>
      <c r="AC78" s="3291"/>
      <c r="AD78" s="3291"/>
      <c r="AE78" s="3291"/>
      <c r="AF78" s="3291"/>
      <c r="AG78" s="3291"/>
      <c r="AH78" s="3291"/>
      <c r="AI78" s="3291"/>
      <c r="AJ78" s="3291"/>
      <c r="AK78" s="3291"/>
      <c r="AL78" s="3291"/>
      <c r="AM78" s="3"/>
      <c r="AN78" s="3285"/>
      <c r="AO78" s="3268"/>
      <c r="AP78" s="3268"/>
      <c r="AQ78" s="3268"/>
      <c r="AR78" s="3268"/>
      <c r="AS78" s="3268"/>
      <c r="AT78" s="3268"/>
      <c r="AU78" s="3268"/>
      <c r="AV78" s="3268"/>
      <c r="AW78" s="3268"/>
      <c r="AX78" s="3268"/>
    </row>
    <row r="79" spans="15:50" ht="22" customHeight="1">
      <c r="O79" s="3"/>
      <c r="P79" s="3281"/>
      <c r="Q79" s="3268"/>
      <c r="R79" s="3268"/>
      <c r="S79" s="3268"/>
      <c r="T79" s="3268"/>
      <c r="U79" s="3268"/>
      <c r="V79" s="3268"/>
      <c r="W79" s="3268"/>
      <c r="X79" s="3268"/>
      <c r="Y79" s="3268"/>
      <c r="Z79" s="3268"/>
      <c r="AA79" s="3"/>
      <c r="AB79" s="3315"/>
      <c r="AC79" s="3291"/>
      <c r="AD79" s="3291"/>
      <c r="AE79" s="3291"/>
      <c r="AF79" s="3291"/>
      <c r="AG79" s="3291"/>
      <c r="AH79" s="3291"/>
      <c r="AI79" s="3291"/>
      <c r="AJ79" s="3291"/>
      <c r="AK79" s="3291"/>
      <c r="AL79" s="3291"/>
      <c r="AM79" s="3"/>
      <c r="AN79" s="3285"/>
      <c r="AO79" s="3268" t="s">
        <v>5697</v>
      </c>
      <c r="AP79" s="3268"/>
      <c r="AQ79" s="3268"/>
      <c r="AR79" s="3268"/>
      <c r="AS79" s="3268"/>
      <c r="AT79" s="3268"/>
      <c r="AU79" s="3268"/>
      <c r="AV79" s="3268"/>
      <c r="AW79" s="3268"/>
      <c r="AX79" s="3268"/>
    </row>
    <row r="80" spans="15:50" ht="22" customHeight="1">
      <c r="O80" s="3"/>
      <c r="P80" s="3281"/>
      <c r="Q80" s="3268"/>
      <c r="R80" s="3268"/>
      <c r="S80" s="3268"/>
      <c r="T80" s="3268"/>
      <c r="U80" s="3268"/>
      <c r="V80" s="3268"/>
      <c r="W80" s="3268"/>
      <c r="X80" s="3268"/>
      <c r="Y80" s="3268"/>
      <c r="Z80" s="3268"/>
      <c r="AA80" s="3"/>
      <c r="AB80" s="3315"/>
      <c r="AC80" s="3342" t="s">
        <v>5698</v>
      </c>
      <c r="AD80" s="3291"/>
      <c r="AE80" s="3291"/>
      <c r="AF80" s="3291"/>
      <c r="AG80" s="3291"/>
      <c r="AH80" s="3291"/>
      <c r="AI80" s="3291"/>
      <c r="AJ80" s="3291"/>
      <c r="AK80" s="3291"/>
      <c r="AL80" s="3291"/>
      <c r="AM80" s="3"/>
      <c r="AN80" s="3285"/>
      <c r="AO80" s="3268"/>
      <c r="AP80" s="3268"/>
      <c r="AQ80" s="3268"/>
      <c r="AR80" s="3268"/>
      <c r="AS80" s="3268"/>
      <c r="AT80" s="3268"/>
      <c r="AU80" s="3268"/>
      <c r="AV80" s="3268"/>
      <c r="AW80" s="3268"/>
      <c r="AX80" s="3268"/>
    </row>
    <row r="81" spans="15:50" ht="22" customHeight="1">
      <c r="O81" s="3"/>
      <c r="P81" s="3280" t="s">
        <v>5667</v>
      </c>
      <c r="Q81" s="3340" t="s">
        <v>5699</v>
      </c>
      <c r="R81" s="3340"/>
      <c r="S81" s="3340"/>
      <c r="T81" s="3340"/>
      <c r="U81" s="3340"/>
      <c r="V81" s="3340"/>
      <c r="W81" s="3340"/>
      <c r="X81" s="3340"/>
      <c r="Y81" s="3340"/>
      <c r="Z81" s="3340"/>
      <c r="AA81" s="3"/>
      <c r="AB81" s="3315"/>
      <c r="AC81" s="3291"/>
      <c r="AD81" s="3291"/>
      <c r="AE81" s="3291"/>
      <c r="AF81" s="3291"/>
      <c r="AG81" s="3291"/>
      <c r="AH81" s="3291"/>
      <c r="AI81" s="3291"/>
      <c r="AJ81" s="3291"/>
      <c r="AK81" s="3291"/>
      <c r="AL81" s="3291"/>
      <c r="AM81" s="3"/>
      <c r="AN81" s="3285"/>
      <c r="AO81" s="3268"/>
      <c r="AP81" s="3268"/>
      <c r="AQ81" s="3268"/>
      <c r="AR81" s="3268"/>
      <c r="AS81" s="3268"/>
      <c r="AT81" s="3268"/>
      <c r="AU81" s="3268"/>
      <c r="AV81" s="3268"/>
      <c r="AW81" s="3268"/>
      <c r="AX81" s="3268"/>
    </row>
    <row r="82" spans="15:50" ht="22" customHeight="1">
      <c r="O82" s="3"/>
      <c r="P82" s="3281"/>
      <c r="Q82" s="3340"/>
      <c r="R82" s="3340"/>
      <c r="S82" s="3340"/>
      <c r="T82" s="3340"/>
      <c r="U82" s="3340"/>
      <c r="V82" s="3340"/>
      <c r="W82" s="3340"/>
      <c r="X82" s="3340"/>
      <c r="Y82" s="3340"/>
      <c r="Z82" s="3340"/>
      <c r="AA82" s="3"/>
      <c r="AB82" s="3315"/>
      <c r="AC82" s="3271" t="s">
        <v>5700</v>
      </c>
      <c r="AD82" s="3271"/>
      <c r="AE82" s="3271"/>
      <c r="AF82" s="3271"/>
      <c r="AG82" s="3271"/>
      <c r="AH82" s="3271"/>
      <c r="AI82" s="3271"/>
      <c r="AJ82" s="3271"/>
      <c r="AK82" s="3271"/>
      <c r="AL82" s="3271"/>
      <c r="AM82" s="3"/>
      <c r="AN82" s="3285"/>
      <c r="AO82" s="3268"/>
      <c r="AP82" s="3268"/>
      <c r="AQ82" s="3268"/>
      <c r="AR82" s="3268"/>
      <c r="AS82" s="3268"/>
      <c r="AT82" s="3268"/>
      <c r="AU82" s="3268"/>
      <c r="AV82" s="3268"/>
      <c r="AW82" s="3268"/>
      <c r="AX82" s="3268"/>
    </row>
    <row r="83" spans="15:50" ht="22" customHeight="1">
      <c r="O83" s="3"/>
      <c r="P83" s="3281"/>
      <c r="Q83" s="3341" t="s">
        <v>5701</v>
      </c>
      <c r="R83" s="3341"/>
      <c r="S83" s="3341"/>
      <c r="T83" s="3341"/>
      <c r="U83" s="3341"/>
      <c r="V83" s="3341"/>
      <c r="W83" s="3341"/>
      <c r="X83" s="3341"/>
      <c r="Y83" s="3341"/>
      <c r="Z83" s="3341"/>
      <c r="AA83" s="3"/>
      <c r="AB83" s="3315"/>
      <c r="AC83" s="3271" t="s">
        <v>5656</v>
      </c>
      <c r="AD83" s="3271"/>
      <c r="AE83" s="3271"/>
      <c r="AF83" s="3271"/>
      <c r="AG83" s="3271"/>
      <c r="AH83" s="3271"/>
      <c r="AI83" s="3271"/>
      <c r="AJ83" s="3271"/>
      <c r="AK83" s="3271"/>
      <c r="AL83" s="3271"/>
      <c r="AM83" s="3"/>
      <c r="AN83" s="3285"/>
      <c r="AO83" s="3268"/>
      <c r="AP83" s="3268"/>
      <c r="AQ83" s="3268"/>
      <c r="AR83" s="3268"/>
      <c r="AS83" s="3268"/>
      <c r="AT83" s="3268"/>
      <c r="AU83" s="3268"/>
      <c r="AV83" s="3268"/>
      <c r="AW83" s="3268"/>
      <c r="AX83" s="3268"/>
    </row>
    <row r="84" spans="15:50" ht="22" customHeight="1">
      <c r="O84" s="3"/>
      <c r="P84" s="3281"/>
      <c r="Q84" s="3341"/>
      <c r="R84" s="3341"/>
      <c r="S84" s="3341"/>
      <c r="T84" s="3341"/>
      <c r="U84" s="3341"/>
      <c r="V84" s="3341"/>
      <c r="W84" s="3341"/>
      <c r="X84" s="3341"/>
      <c r="Y84" s="3341"/>
      <c r="Z84" s="3341"/>
      <c r="AA84" s="3"/>
      <c r="AB84" s="3315"/>
      <c r="AC84" s="3271" t="s">
        <v>5702</v>
      </c>
      <c r="AD84" s="3271"/>
      <c r="AE84" s="3271"/>
      <c r="AF84" s="3271"/>
      <c r="AG84" s="3271"/>
      <c r="AH84" s="3271"/>
      <c r="AI84" s="3271"/>
      <c r="AJ84" s="3271"/>
      <c r="AK84" s="3271"/>
      <c r="AL84" s="3271"/>
      <c r="AM84" s="3"/>
    </row>
    <row r="85" spans="15:50" ht="22" customHeight="1">
      <c r="O85" s="3"/>
      <c r="P85" s="3284" t="s">
        <v>108</v>
      </c>
      <c r="Q85" s="3275" t="s">
        <v>5703</v>
      </c>
      <c r="R85" s="3275"/>
      <c r="S85" s="3275"/>
      <c r="T85" s="3275"/>
      <c r="U85" s="3275"/>
      <c r="V85" s="3275"/>
      <c r="W85" s="3275"/>
      <c r="X85" s="3275"/>
      <c r="Y85" s="3275"/>
      <c r="Z85" s="3275"/>
      <c r="AA85" s="3"/>
      <c r="AB85" s="3315"/>
      <c r="AC85" s="3271" t="s">
        <v>5704</v>
      </c>
      <c r="AD85" s="3271"/>
      <c r="AE85" s="3271"/>
      <c r="AF85" s="3271"/>
      <c r="AG85" s="3271"/>
      <c r="AH85" s="3271"/>
      <c r="AI85" s="3271"/>
      <c r="AJ85" s="3271"/>
      <c r="AK85" s="3271"/>
      <c r="AL85" s="3271"/>
      <c r="AM85" s="3"/>
    </row>
    <row r="86" spans="15:50" ht="22" customHeight="1">
      <c r="O86" s="3"/>
      <c r="P86" s="3285"/>
      <c r="Q86" s="3275"/>
      <c r="R86" s="3275"/>
      <c r="S86" s="3275"/>
      <c r="T86" s="3275"/>
      <c r="U86" s="3275"/>
      <c r="V86" s="3275"/>
      <c r="W86" s="3275"/>
      <c r="X86" s="3275"/>
      <c r="Y86" s="3275"/>
      <c r="Z86" s="3275"/>
      <c r="AA86" s="3"/>
      <c r="AB86" s="3315"/>
      <c r="AC86" s="3271" t="s">
        <v>5705</v>
      </c>
      <c r="AD86" s="3271"/>
      <c r="AE86" s="3271"/>
      <c r="AF86" s="3271"/>
      <c r="AG86" s="3271"/>
      <c r="AH86" s="3271"/>
      <c r="AI86" s="3271"/>
      <c r="AJ86" s="3271"/>
      <c r="AK86" s="3271"/>
      <c r="AL86" s="3271"/>
      <c r="AM86" s="3"/>
    </row>
    <row r="87" spans="15:50" ht="22" customHeight="1">
      <c r="O87" s="3"/>
      <c r="P87" s="3285"/>
      <c r="Q87" s="3275"/>
      <c r="R87" s="3275"/>
      <c r="S87" s="3275"/>
      <c r="T87" s="3275"/>
      <c r="U87" s="3275"/>
      <c r="V87" s="3275"/>
      <c r="W87" s="3275"/>
      <c r="X87" s="3275"/>
      <c r="Y87" s="3275"/>
      <c r="Z87" s="3275"/>
      <c r="AA87" s="3"/>
      <c r="AB87" s="3315"/>
      <c r="AC87" s="3271" t="s">
        <v>5702</v>
      </c>
      <c r="AD87" s="3271"/>
      <c r="AE87" s="3271"/>
      <c r="AF87" s="3271"/>
      <c r="AG87" s="3271"/>
      <c r="AH87" s="3271"/>
      <c r="AI87" s="3271"/>
      <c r="AJ87" s="3271"/>
      <c r="AK87" s="3271"/>
      <c r="AL87" s="3271"/>
      <c r="AM87" s="3"/>
    </row>
    <row r="88" spans="15:50" ht="22" customHeight="1">
      <c r="O88" s="3"/>
      <c r="P88" s="3285"/>
      <c r="Q88" s="3275"/>
      <c r="R88" s="3275"/>
      <c r="S88" s="3275"/>
      <c r="T88" s="3275"/>
      <c r="U88" s="3275"/>
      <c r="V88" s="3275"/>
      <c r="W88" s="3275"/>
      <c r="X88" s="3275"/>
      <c r="Y88" s="3275"/>
      <c r="Z88" s="3275"/>
      <c r="AA88" s="3"/>
      <c r="AB88" s="3315"/>
      <c r="AC88" s="3271" t="s">
        <v>5706</v>
      </c>
      <c r="AD88" s="3271"/>
      <c r="AE88" s="3271"/>
      <c r="AF88" s="3271"/>
      <c r="AG88" s="3271"/>
      <c r="AH88" s="3271"/>
      <c r="AI88" s="3271"/>
      <c r="AJ88" s="3271"/>
      <c r="AK88" s="3271"/>
      <c r="AL88" s="3271"/>
      <c r="AM88" s="3"/>
    </row>
    <row r="89" spans="15:50" ht="22" customHeight="1">
      <c r="O89" s="3"/>
      <c r="P89" s="3285"/>
      <c r="Q89" s="3275"/>
      <c r="R89" s="3275"/>
      <c r="S89" s="3275"/>
      <c r="T89" s="3275"/>
      <c r="U89" s="3275"/>
      <c r="V89" s="3275"/>
      <c r="W89" s="3275"/>
      <c r="X89" s="3275"/>
      <c r="Y89" s="3275"/>
      <c r="Z89" s="3275"/>
      <c r="AA89" s="3"/>
      <c r="AB89" s="3315"/>
      <c r="AC89" s="3271" t="s">
        <v>5707</v>
      </c>
      <c r="AD89" s="3271"/>
      <c r="AE89" s="3271"/>
      <c r="AF89" s="3271"/>
      <c r="AG89" s="3271"/>
      <c r="AH89" s="3271"/>
      <c r="AI89" s="3271"/>
      <c r="AJ89" s="3271"/>
      <c r="AK89" s="3271"/>
      <c r="AL89" s="3271"/>
      <c r="AM89" s="3"/>
    </row>
    <row r="90" spans="15:50" ht="22" customHeight="1">
      <c r="O90" s="3"/>
      <c r="P90" s="3282" t="s">
        <v>5708</v>
      </c>
      <c r="Q90" s="3283"/>
      <c r="R90" s="3283"/>
      <c r="S90" s="3283"/>
      <c r="T90" s="3283"/>
      <c r="U90" s="3283"/>
      <c r="V90" s="3283"/>
      <c r="W90" s="3283"/>
      <c r="X90" s="3283"/>
      <c r="Y90" s="3283"/>
      <c r="Z90" s="3283"/>
      <c r="AA90" s="3"/>
      <c r="AB90" s="3315"/>
      <c r="AC90" s="3271" t="s">
        <v>5709</v>
      </c>
      <c r="AD90" s="3271"/>
      <c r="AE90" s="3271"/>
      <c r="AF90" s="3271"/>
      <c r="AG90" s="3271"/>
      <c r="AH90" s="3271"/>
      <c r="AI90" s="3271"/>
      <c r="AJ90" s="3271"/>
      <c r="AK90" s="3271"/>
      <c r="AL90" s="3271"/>
      <c r="AM90" s="3"/>
    </row>
    <row r="91" spans="15:50" ht="22" customHeight="1">
      <c r="O91" s="3"/>
      <c r="P91" s="3280" t="s">
        <v>5531</v>
      </c>
      <c r="Q91" s="3271" t="s">
        <v>5710</v>
      </c>
      <c r="R91" s="3271"/>
      <c r="S91" s="3271"/>
      <c r="T91" s="3271"/>
      <c r="U91" s="3271"/>
      <c r="V91" s="3271"/>
      <c r="W91" s="3271"/>
      <c r="X91" s="3271"/>
      <c r="Y91" s="3271"/>
      <c r="Z91" s="3271"/>
      <c r="AA91" s="3"/>
      <c r="AB91" s="3315"/>
      <c r="AC91" s="3271" t="s">
        <v>5711</v>
      </c>
      <c r="AD91" s="3271"/>
      <c r="AE91" s="3271"/>
      <c r="AF91" s="3271"/>
      <c r="AG91" s="3271"/>
      <c r="AH91" s="3271"/>
      <c r="AI91" s="3271"/>
      <c r="AJ91" s="3271"/>
      <c r="AK91" s="3271"/>
      <c r="AL91" s="3271"/>
      <c r="AM91" s="3"/>
    </row>
    <row r="92" spans="15:50" ht="22" customHeight="1">
      <c r="O92" s="3"/>
      <c r="P92" s="3281"/>
      <c r="Q92" s="3271"/>
      <c r="R92" s="3271"/>
      <c r="S92" s="3271"/>
      <c r="T92" s="3271"/>
      <c r="U92" s="3271"/>
      <c r="V92" s="3271"/>
      <c r="W92" s="3271"/>
      <c r="X92" s="3271"/>
      <c r="Y92" s="3271"/>
      <c r="Z92" s="3271"/>
      <c r="AA92" s="3"/>
      <c r="AB92" s="3315"/>
      <c r="AC92" s="3271" t="s">
        <v>5712</v>
      </c>
      <c r="AD92" s="3271"/>
      <c r="AE92" s="3271"/>
      <c r="AF92" s="3271"/>
      <c r="AG92" s="3271"/>
      <c r="AH92" s="3271"/>
      <c r="AI92" s="3271"/>
      <c r="AJ92" s="3271"/>
      <c r="AK92" s="3271"/>
      <c r="AL92" s="3271"/>
      <c r="AM92" s="3"/>
    </row>
    <row r="93" spans="15:50" ht="22" customHeight="1">
      <c r="O93" s="3"/>
      <c r="P93" s="3281"/>
      <c r="Q93" s="3268" t="s">
        <v>5713</v>
      </c>
      <c r="R93" s="3268"/>
      <c r="S93" s="3268"/>
      <c r="T93" s="3268"/>
      <c r="U93" s="3268"/>
      <c r="V93" s="3268"/>
      <c r="W93" s="3268"/>
      <c r="X93" s="3268"/>
      <c r="Y93" s="3268"/>
      <c r="Z93" s="3268"/>
      <c r="AA93" s="3"/>
      <c r="AB93" s="3284" t="s">
        <v>5714</v>
      </c>
      <c r="AC93" s="3268" t="s">
        <v>5715</v>
      </c>
      <c r="AD93" s="3268"/>
      <c r="AE93" s="3268"/>
      <c r="AF93" s="3268"/>
      <c r="AG93" s="3268"/>
      <c r="AH93" s="3268"/>
      <c r="AI93" s="3268"/>
      <c r="AJ93" s="3268"/>
      <c r="AK93" s="3268"/>
      <c r="AL93" s="3268"/>
      <c r="AM93" s="3"/>
    </row>
    <row r="94" spans="15:50" ht="22" customHeight="1">
      <c r="O94" s="3"/>
      <c r="P94" s="3281"/>
      <c r="Q94" s="3268"/>
      <c r="R94" s="3268"/>
      <c r="S94" s="3268"/>
      <c r="T94" s="3268"/>
      <c r="U94" s="3268"/>
      <c r="V94" s="3268"/>
      <c r="W94" s="3268"/>
      <c r="X94" s="3268"/>
      <c r="Y94" s="3268"/>
      <c r="Z94" s="3268"/>
      <c r="AA94" s="3"/>
      <c r="AB94" s="3285"/>
      <c r="AC94" s="3268" t="s">
        <v>5716</v>
      </c>
      <c r="AD94" s="3268"/>
      <c r="AE94" s="3268"/>
      <c r="AF94" s="3268"/>
      <c r="AG94" s="3268"/>
      <c r="AH94" s="3268"/>
      <c r="AI94" s="3268"/>
      <c r="AJ94" s="3268"/>
      <c r="AK94" s="3268"/>
      <c r="AL94" s="3268"/>
      <c r="AM94" s="3"/>
    </row>
    <row r="95" spans="15:50" ht="22" customHeight="1">
      <c r="O95" s="3"/>
      <c r="P95" s="3281"/>
      <c r="Q95" s="3268" t="s">
        <v>5717</v>
      </c>
      <c r="R95" s="3268"/>
      <c r="S95" s="3268"/>
      <c r="T95" s="3268"/>
      <c r="U95" s="3268"/>
      <c r="V95" s="3268"/>
      <c r="W95" s="3268"/>
      <c r="X95" s="3268"/>
      <c r="Y95" s="3268"/>
      <c r="Z95" s="3268"/>
      <c r="AA95" s="3"/>
      <c r="AB95" s="3285"/>
      <c r="AC95" s="3271" t="s">
        <v>5718</v>
      </c>
      <c r="AD95" s="3271"/>
      <c r="AE95" s="3271"/>
      <c r="AF95" s="3271"/>
      <c r="AG95" s="3271"/>
      <c r="AH95" s="3271"/>
      <c r="AI95" s="3271"/>
      <c r="AJ95" s="3271"/>
      <c r="AK95" s="3271"/>
      <c r="AL95" s="3271"/>
      <c r="AM95" s="3"/>
    </row>
    <row r="96" spans="15:50" ht="22" customHeight="1">
      <c r="O96" s="3"/>
      <c r="P96" s="3281"/>
      <c r="Q96" s="3268"/>
      <c r="R96" s="3268"/>
      <c r="S96" s="3268"/>
      <c r="T96" s="3268"/>
      <c r="U96" s="3268"/>
      <c r="V96" s="3268"/>
      <c r="W96" s="3268"/>
      <c r="X96" s="3268"/>
      <c r="Y96" s="3268"/>
      <c r="Z96" s="3268"/>
      <c r="AA96" s="3"/>
      <c r="AB96" s="3284" t="s">
        <v>5549</v>
      </c>
      <c r="AC96" s="3286" t="s">
        <v>5719</v>
      </c>
      <c r="AD96" s="3286"/>
      <c r="AE96" s="3286"/>
      <c r="AF96" s="3286"/>
      <c r="AG96" s="3286"/>
      <c r="AH96" s="3286"/>
      <c r="AI96" s="3286"/>
      <c r="AJ96" s="3286"/>
      <c r="AK96" s="3286"/>
      <c r="AL96" s="3286"/>
      <c r="AM96" s="3"/>
    </row>
    <row r="97" spans="15:39" ht="22" customHeight="1">
      <c r="O97" s="3"/>
      <c r="P97" s="3280" t="s">
        <v>5545</v>
      </c>
      <c r="Q97" s="3268" t="s">
        <v>5720</v>
      </c>
      <c r="R97" s="3268"/>
      <c r="S97" s="3268"/>
      <c r="T97" s="3268"/>
      <c r="U97" s="3268"/>
      <c r="V97" s="3268"/>
      <c r="W97" s="3268"/>
      <c r="X97" s="3268"/>
      <c r="Y97" s="3268"/>
      <c r="Z97" s="3268"/>
      <c r="AA97" s="3"/>
      <c r="AB97" s="3285"/>
      <c r="AC97" s="3271" t="s">
        <v>5721</v>
      </c>
      <c r="AD97" s="3271"/>
      <c r="AE97" s="3271"/>
      <c r="AF97" s="3271"/>
      <c r="AG97" s="3271"/>
      <c r="AH97" s="3271"/>
      <c r="AI97" s="3271"/>
      <c r="AJ97" s="3271"/>
      <c r="AK97" s="3271"/>
      <c r="AL97" s="3271"/>
      <c r="AM97" s="3"/>
    </row>
    <row r="98" spans="15:39" ht="22" customHeight="1">
      <c r="O98" s="3"/>
      <c r="P98" s="3281"/>
      <c r="Q98" s="3268"/>
      <c r="R98" s="3268"/>
      <c r="S98" s="3268"/>
      <c r="T98" s="3268"/>
      <c r="U98" s="3268"/>
      <c r="V98" s="3268"/>
      <c r="W98" s="3268"/>
      <c r="X98" s="3268"/>
      <c r="Y98" s="3268"/>
      <c r="Z98" s="3268"/>
      <c r="AA98" s="3"/>
      <c r="AB98" s="3284" t="s">
        <v>5555</v>
      </c>
      <c r="AC98" s="3271" t="s">
        <v>5722</v>
      </c>
      <c r="AD98" s="3271"/>
      <c r="AE98" s="3271"/>
      <c r="AF98" s="3271"/>
      <c r="AG98" s="3271"/>
      <c r="AH98" s="3271"/>
      <c r="AI98" s="3271"/>
      <c r="AJ98" s="3271"/>
      <c r="AK98" s="3271"/>
      <c r="AL98" s="3271"/>
      <c r="AM98" s="3"/>
    </row>
    <row r="99" spans="15:39" ht="22" customHeight="1">
      <c r="O99" s="3"/>
      <c r="P99" s="3281"/>
      <c r="Q99" s="3289" t="s">
        <v>5723</v>
      </c>
      <c r="R99" s="3289"/>
      <c r="S99" s="3289"/>
      <c r="T99" s="3289"/>
      <c r="U99" s="3289"/>
      <c r="V99" s="3289"/>
      <c r="W99" s="3289"/>
      <c r="X99" s="3289"/>
      <c r="Y99" s="3289"/>
      <c r="Z99" s="3289"/>
      <c r="AA99" s="3"/>
      <c r="AB99" s="3285"/>
      <c r="AC99" s="3271" t="s">
        <v>5724</v>
      </c>
      <c r="AD99" s="3271"/>
      <c r="AE99" s="3271"/>
      <c r="AF99" s="3271"/>
      <c r="AG99" s="3271"/>
      <c r="AH99" s="3271"/>
      <c r="AI99" s="3271"/>
      <c r="AJ99" s="3271"/>
      <c r="AK99" s="3271"/>
      <c r="AL99" s="3271"/>
      <c r="AM99" s="3"/>
    </row>
    <row r="100" spans="15:39" ht="22" customHeight="1">
      <c r="O100" s="3"/>
      <c r="P100" s="3281"/>
      <c r="Q100" s="3289"/>
      <c r="R100" s="3289"/>
      <c r="S100" s="3289"/>
      <c r="T100" s="3289"/>
      <c r="U100" s="3289"/>
      <c r="V100" s="3289"/>
      <c r="W100" s="3289"/>
      <c r="X100" s="3289"/>
      <c r="Y100" s="3289"/>
      <c r="Z100" s="3289"/>
      <c r="AA100" s="3"/>
      <c r="AB100" s="3285"/>
      <c r="AC100" s="3271" t="s">
        <v>5725</v>
      </c>
      <c r="AD100" s="3271"/>
      <c r="AE100" s="3271"/>
      <c r="AF100" s="3271"/>
      <c r="AG100" s="3271"/>
      <c r="AH100" s="3271"/>
      <c r="AI100" s="3271"/>
      <c r="AJ100" s="3271"/>
      <c r="AK100" s="3271"/>
      <c r="AL100" s="3271"/>
      <c r="AM100" s="3"/>
    </row>
    <row r="101" spans="15:39" ht="22" customHeight="1">
      <c r="O101" s="3"/>
      <c r="P101" s="3284" t="s">
        <v>108</v>
      </c>
      <c r="Q101" s="3275" t="s">
        <v>5726</v>
      </c>
      <c r="R101" s="3275"/>
      <c r="S101" s="3275"/>
      <c r="T101" s="3275"/>
      <c r="U101" s="3275"/>
      <c r="V101" s="3275"/>
      <c r="W101" s="3275"/>
      <c r="X101" s="3275"/>
      <c r="Y101" s="3275"/>
      <c r="Z101" s="3275"/>
      <c r="AA101" s="3"/>
      <c r="AB101" s="3284" t="s">
        <v>5558</v>
      </c>
      <c r="AC101" s="3271" t="s">
        <v>5727</v>
      </c>
      <c r="AD101" s="3271"/>
      <c r="AE101" s="3271"/>
      <c r="AF101" s="3271"/>
      <c r="AG101" s="3271"/>
      <c r="AH101" s="3271"/>
      <c r="AI101" s="3271"/>
      <c r="AJ101" s="3271"/>
      <c r="AK101" s="3271"/>
      <c r="AL101" s="3271"/>
      <c r="AM101" s="3"/>
    </row>
    <row r="102" spans="15:39" ht="22" customHeight="1">
      <c r="O102" s="3"/>
      <c r="P102" s="3285"/>
      <c r="Q102" s="3275"/>
      <c r="R102" s="3275"/>
      <c r="S102" s="3275"/>
      <c r="T102" s="3275"/>
      <c r="U102" s="3275"/>
      <c r="V102" s="3275"/>
      <c r="W102" s="3275"/>
      <c r="X102" s="3275"/>
      <c r="Y102" s="3275"/>
      <c r="Z102" s="3275"/>
      <c r="AA102" s="3"/>
      <c r="AB102" s="3285"/>
      <c r="AC102" s="3268" t="s">
        <v>5728</v>
      </c>
      <c r="AD102" s="3268"/>
      <c r="AE102" s="3268"/>
      <c r="AF102" s="3268"/>
      <c r="AG102" s="3268"/>
      <c r="AH102" s="3268"/>
      <c r="AI102" s="3268"/>
      <c r="AJ102" s="3268"/>
      <c r="AK102" s="3268"/>
      <c r="AL102" s="3268"/>
      <c r="AM102" s="3"/>
    </row>
    <row r="103" spans="15:39" ht="22" customHeight="1">
      <c r="O103" s="3"/>
      <c r="P103" s="3285"/>
      <c r="Q103" s="3275"/>
      <c r="R103" s="3275"/>
      <c r="S103" s="3275"/>
      <c r="T103" s="3275"/>
      <c r="U103" s="3275"/>
      <c r="V103" s="3275"/>
      <c r="W103" s="3275"/>
      <c r="X103" s="3275"/>
      <c r="Y103" s="3275"/>
      <c r="Z103" s="3275"/>
      <c r="AA103" s="3"/>
      <c r="AB103" s="3285"/>
      <c r="AC103" s="3268"/>
      <c r="AD103" s="3268"/>
      <c r="AE103" s="3268"/>
      <c r="AF103" s="3268"/>
      <c r="AG103" s="3268"/>
      <c r="AH103" s="3268"/>
      <c r="AI103" s="3268"/>
      <c r="AJ103" s="3268"/>
      <c r="AK103" s="3268"/>
      <c r="AL103" s="3268"/>
      <c r="AM103" s="3"/>
    </row>
    <row r="104" spans="15:39" ht="22" customHeight="1">
      <c r="O104" s="3"/>
      <c r="P104" s="3269" t="s">
        <v>5729</v>
      </c>
      <c r="Q104" s="3270"/>
      <c r="R104" s="3270"/>
      <c r="S104" s="3270"/>
      <c r="T104" s="3270"/>
      <c r="U104" s="3270"/>
      <c r="V104" s="3270"/>
      <c r="W104" s="3270"/>
      <c r="X104" s="3270"/>
      <c r="Y104" s="3270"/>
      <c r="Z104" s="3270"/>
      <c r="AA104" s="3"/>
      <c r="AB104" s="3285"/>
      <c r="AC104" s="3271" t="s">
        <v>5730</v>
      </c>
      <c r="AD104" s="3271"/>
      <c r="AE104" s="3271"/>
      <c r="AF104" s="3271"/>
      <c r="AG104" s="3271"/>
      <c r="AH104" s="3271"/>
      <c r="AI104" s="3271"/>
      <c r="AJ104" s="3271"/>
      <c r="AK104" s="3271"/>
      <c r="AL104" s="3271"/>
      <c r="AM104" s="3"/>
    </row>
    <row r="105" spans="15:39" ht="22" customHeight="1">
      <c r="O105" s="3"/>
      <c r="P105" s="3280" t="s">
        <v>5531</v>
      </c>
      <c r="Q105" s="3268" t="s">
        <v>5731</v>
      </c>
      <c r="R105" s="3271"/>
      <c r="S105" s="3271"/>
      <c r="T105" s="3271"/>
      <c r="U105" s="3271"/>
      <c r="V105" s="3271"/>
      <c r="W105" s="3271"/>
      <c r="X105" s="3271"/>
      <c r="Y105" s="3271"/>
      <c r="Z105" s="3271"/>
      <c r="AA105" s="3"/>
      <c r="AB105" s="3284" t="s">
        <v>5732</v>
      </c>
      <c r="AC105" s="3271" t="s">
        <v>5733</v>
      </c>
      <c r="AD105" s="3271"/>
      <c r="AE105" s="3271"/>
      <c r="AF105" s="3271"/>
      <c r="AG105" s="3271"/>
      <c r="AH105" s="3271"/>
      <c r="AI105" s="3271"/>
      <c r="AJ105" s="3271"/>
      <c r="AK105" s="3271"/>
      <c r="AL105" s="3271"/>
      <c r="AM105" s="3"/>
    </row>
    <row r="106" spans="15:39" ht="22" customHeight="1">
      <c r="O106" s="3"/>
      <c r="P106" s="3281"/>
      <c r="Q106" s="3271"/>
      <c r="R106" s="3271"/>
      <c r="S106" s="3271"/>
      <c r="T106" s="3271"/>
      <c r="U106" s="3271"/>
      <c r="V106" s="3271"/>
      <c r="W106" s="3271"/>
      <c r="X106" s="3271"/>
      <c r="Y106" s="3271"/>
      <c r="Z106" s="3271"/>
      <c r="AA106" s="3"/>
      <c r="AB106" s="3285"/>
      <c r="AC106" s="3271" t="s">
        <v>5734</v>
      </c>
      <c r="AD106" s="3271"/>
      <c r="AE106" s="3271"/>
      <c r="AF106" s="3271"/>
      <c r="AG106" s="3271"/>
      <c r="AH106" s="3271"/>
      <c r="AI106" s="3271"/>
      <c r="AJ106" s="3271"/>
      <c r="AK106" s="3271"/>
      <c r="AL106" s="3271"/>
      <c r="AM106" s="3"/>
    </row>
    <row r="107" spans="15:39" ht="22" customHeight="1">
      <c r="O107" s="3"/>
      <c r="P107" s="3281"/>
      <c r="Q107" s="3271"/>
      <c r="R107" s="3271"/>
      <c r="S107" s="3271"/>
      <c r="T107" s="3271"/>
      <c r="U107" s="3271"/>
      <c r="V107" s="3271"/>
      <c r="W107" s="3271"/>
      <c r="X107" s="3271"/>
      <c r="Y107" s="3271"/>
      <c r="Z107" s="3271"/>
      <c r="AA107" s="3"/>
      <c r="AB107" s="3285"/>
      <c r="AC107" s="3271" t="s">
        <v>5735</v>
      </c>
      <c r="AD107" s="3271"/>
      <c r="AE107" s="3271"/>
      <c r="AF107" s="3271"/>
      <c r="AG107" s="3271"/>
      <c r="AH107" s="3271"/>
      <c r="AI107" s="3271"/>
      <c r="AJ107" s="3271"/>
      <c r="AK107" s="3271"/>
      <c r="AL107" s="3271"/>
      <c r="AM107" s="3"/>
    </row>
    <row r="108" spans="15:39" ht="22" customHeight="1">
      <c r="O108" s="3"/>
      <c r="P108" s="3296" t="s">
        <v>5545</v>
      </c>
      <c r="Q108" s="3289" t="s">
        <v>5736</v>
      </c>
      <c r="R108" s="3290"/>
      <c r="S108" s="3290"/>
      <c r="T108" s="3290"/>
      <c r="U108" s="3290"/>
      <c r="V108" s="3290"/>
      <c r="W108" s="3290"/>
      <c r="X108" s="3290"/>
      <c r="Y108" s="3290"/>
      <c r="Z108" s="3290"/>
      <c r="AA108" s="3"/>
      <c r="AB108" s="3285"/>
      <c r="AC108" s="3271" t="s">
        <v>5737</v>
      </c>
      <c r="AD108" s="3271"/>
      <c r="AE108" s="3271"/>
      <c r="AF108" s="3271"/>
      <c r="AG108" s="3271"/>
      <c r="AH108" s="3271"/>
      <c r="AI108" s="3271"/>
      <c r="AJ108" s="3271"/>
      <c r="AK108" s="3271"/>
      <c r="AL108" s="3271"/>
      <c r="AM108" s="3"/>
    </row>
    <row r="109" spans="15:39" ht="22" customHeight="1">
      <c r="O109" s="3"/>
      <c r="P109" s="3297"/>
      <c r="Q109" s="3290"/>
      <c r="R109" s="3290"/>
      <c r="S109" s="3290"/>
      <c r="T109" s="3290"/>
      <c r="U109" s="3290"/>
      <c r="V109" s="3290"/>
      <c r="W109" s="3290"/>
      <c r="X109" s="3290"/>
      <c r="Y109" s="3290"/>
      <c r="Z109" s="3290"/>
      <c r="AA109" s="3"/>
      <c r="AB109" s="3316" t="s">
        <v>5667</v>
      </c>
      <c r="AC109" s="3287" t="s">
        <v>5738</v>
      </c>
      <c r="AD109" s="3288"/>
      <c r="AE109" s="3288"/>
      <c r="AF109" s="3288"/>
      <c r="AG109" s="3288"/>
      <c r="AH109" s="3288"/>
      <c r="AI109" s="3288"/>
      <c r="AJ109" s="3288"/>
      <c r="AK109" s="3288"/>
      <c r="AL109" s="3288"/>
      <c r="AM109" s="3"/>
    </row>
    <row r="110" spans="15:39" ht="22" customHeight="1">
      <c r="O110" s="3"/>
      <c r="P110" s="3284" t="s">
        <v>108</v>
      </c>
      <c r="Q110" s="3275" t="s">
        <v>5739</v>
      </c>
      <c r="R110" s="3275"/>
      <c r="S110" s="3275"/>
      <c r="T110" s="3275"/>
      <c r="U110" s="3275"/>
      <c r="V110" s="3275"/>
      <c r="W110" s="3275"/>
      <c r="X110" s="3275"/>
      <c r="Y110" s="3275"/>
      <c r="Z110" s="3275"/>
      <c r="AA110" s="3"/>
      <c r="AB110" s="3317"/>
      <c r="AC110" s="3271" t="s">
        <v>5740</v>
      </c>
      <c r="AD110" s="3271"/>
      <c r="AE110" s="3271"/>
      <c r="AF110" s="3271"/>
      <c r="AG110" s="3271"/>
      <c r="AH110" s="3271"/>
      <c r="AI110" s="3271"/>
      <c r="AJ110" s="3271"/>
      <c r="AK110" s="3271"/>
      <c r="AL110" s="3271"/>
      <c r="AM110" s="3"/>
    </row>
    <row r="111" spans="15:39" ht="22" customHeight="1">
      <c r="O111" s="3"/>
      <c r="P111" s="3285"/>
      <c r="Q111" s="3275"/>
      <c r="R111" s="3275"/>
      <c r="S111" s="3275"/>
      <c r="T111" s="3275"/>
      <c r="U111" s="3275"/>
      <c r="V111" s="3275"/>
      <c r="W111" s="3275"/>
      <c r="X111" s="3275"/>
      <c r="Y111" s="3275"/>
      <c r="Z111" s="3275"/>
      <c r="AA111" s="3"/>
      <c r="AB111" s="3317"/>
      <c r="AC111" s="3271" t="s">
        <v>5741</v>
      </c>
      <c r="AD111" s="3271"/>
      <c r="AE111" s="3271"/>
      <c r="AF111" s="3271"/>
      <c r="AG111" s="3271"/>
      <c r="AH111" s="3271"/>
      <c r="AI111" s="3271"/>
      <c r="AJ111" s="3271"/>
      <c r="AK111" s="3271"/>
      <c r="AL111" s="3271"/>
      <c r="AM111" s="3"/>
    </row>
    <row r="112" spans="15:39" ht="22" customHeight="1">
      <c r="O112" s="3"/>
      <c r="P112" s="3285"/>
      <c r="Q112" s="3275"/>
      <c r="R112" s="3275"/>
      <c r="S112" s="3275"/>
      <c r="T112" s="3275"/>
      <c r="U112" s="3275"/>
      <c r="V112" s="3275"/>
      <c r="W112" s="3275"/>
      <c r="X112" s="3275"/>
      <c r="Y112" s="3275"/>
      <c r="Z112" s="3275"/>
      <c r="AA112" s="3"/>
      <c r="AB112" s="3317"/>
      <c r="AC112" s="3271" t="s">
        <v>5742</v>
      </c>
      <c r="AD112" s="3271"/>
      <c r="AE112" s="3271"/>
      <c r="AF112" s="3271"/>
      <c r="AG112" s="3271"/>
      <c r="AH112" s="3271"/>
      <c r="AI112" s="3271"/>
      <c r="AJ112" s="3271"/>
      <c r="AK112" s="3271"/>
      <c r="AL112" s="3271"/>
      <c r="AM112" s="3"/>
    </row>
    <row r="113" spans="15:39" ht="22" customHeight="1">
      <c r="O113" s="3"/>
      <c r="P113" s="3285"/>
      <c r="Q113" s="3275"/>
      <c r="R113" s="3275"/>
      <c r="S113" s="3275"/>
      <c r="T113" s="3275"/>
      <c r="U113" s="3275"/>
      <c r="V113" s="3275"/>
      <c r="W113" s="3275"/>
      <c r="X113" s="3275"/>
      <c r="Y113" s="3275"/>
      <c r="Z113" s="3275"/>
      <c r="AA113" s="3"/>
      <c r="AB113" s="3269" t="s">
        <v>5743</v>
      </c>
      <c r="AC113" s="3270"/>
      <c r="AD113" s="3270"/>
      <c r="AE113" s="3270"/>
      <c r="AF113" s="3270"/>
      <c r="AG113" s="3270"/>
      <c r="AH113" s="3270"/>
      <c r="AI113" s="3270"/>
      <c r="AJ113" s="3270"/>
      <c r="AK113" s="3270"/>
      <c r="AL113" s="3270"/>
      <c r="AM113" s="3"/>
    </row>
    <row r="114" spans="15:39" ht="22" customHeight="1">
      <c r="O114" s="3"/>
      <c r="P114" s="3285"/>
      <c r="Q114" s="3275"/>
      <c r="R114" s="3275"/>
      <c r="S114" s="3275"/>
      <c r="T114" s="3275"/>
      <c r="U114" s="3275"/>
      <c r="V114" s="3275"/>
      <c r="W114" s="3275"/>
      <c r="X114" s="3275"/>
      <c r="Y114" s="3275"/>
      <c r="Z114" s="3275"/>
      <c r="AA114" s="3"/>
      <c r="AB114" s="3312" t="s">
        <v>5531</v>
      </c>
      <c r="AC114" s="3268" t="s">
        <v>5744</v>
      </c>
      <c r="AD114" s="3268"/>
      <c r="AE114" s="3268"/>
      <c r="AF114" s="3268"/>
      <c r="AG114" s="3268"/>
      <c r="AH114" s="3268"/>
      <c r="AI114" s="3268"/>
      <c r="AJ114" s="3268"/>
      <c r="AK114" s="3268"/>
      <c r="AL114" s="3268"/>
      <c r="AM114" s="3"/>
    </row>
    <row r="115" spans="15:39" ht="22" customHeight="1">
      <c r="O115" s="3"/>
      <c r="P115" s="3269" t="s">
        <v>5745</v>
      </c>
      <c r="Q115" s="3270"/>
      <c r="R115" s="3270"/>
      <c r="S115" s="3270"/>
      <c r="T115" s="3270"/>
      <c r="U115" s="3270"/>
      <c r="V115" s="3270"/>
      <c r="W115" s="3270"/>
      <c r="X115" s="3270"/>
      <c r="Y115" s="3270"/>
      <c r="Z115" s="3270"/>
      <c r="AA115" s="3"/>
      <c r="AB115" s="3313"/>
      <c r="AC115" s="3268" t="s">
        <v>5746</v>
      </c>
      <c r="AD115" s="3268"/>
      <c r="AE115" s="3268"/>
      <c r="AF115" s="3268"/>
      <c r="AG115" s="3268"/>
      <c r="AH115" s="3268"/>
      <c r="AI115" s="3268"/>
      <c r="AJ115" s="3268"/>
      <c r="AK115" s="3268"/>
      <c r="AL115" s="3268"/>
      <c r="AM115" s="3"/>
    </row>
    <row r="116" spans="15:39" ht="22" customHeight="1">
      <c r="O116" s="3"/>
      <c r="P116" s="3280" t="s">
        <v>5531</v>
      </c>
      <c r="Q116" s="3271" t="s">
        <v>5747</v>
      </c>
      <c r="R116" s="3271"/>
      <c r="S116" s="3271"/>
      <c r="T116" s="3271"/>
      <c r="U116" s="3271"/>
      <c r="V116" s="3271"/>
      <c r="W116" s="3271"/>
      <c r="X116" s="3271"/>
      <c r="Y116" s="3271"/>
      <c r="Z116" s="3271"/>
      <c r="AA116" s="3"/>
      <c r="AB116" s="9" t="s">
        <v>5545</v>
      </c>
      <c r="AC116" s="3271" t="s">
        <v>399</v>
      </c>
      <c r="AD116" s="3271"/>
      <c r="AE116" s="3271"/>
      <c r="AF116" s="3271"/>
      <c r="AG116" s="3271"/>
      <c r="AH116" s="3271"/>
      <c r="AI116" s="3271"/>
      <c r="AJ116" s="3271"/>
      <c r="AK116" s="3271"/>
      <c r="AL116" s="3271"/>
      <c r="AM116" s="3"/>
    </row>
    <row r="117" spans="15:39" ht="22" customHeight="1">
      <c r="O117" s="3"/>
      <c r="P117" s="3281"/>
      <c r="Q117" s="3271"/>
      <c r="R117" s="3271"/>
      <c r="S117" s="3271"/>
      <c r="T117" s="3271"/>
      <c r="U117" s="3271"/>
      <c r="V117" s="3271"/>
      <c r="W117" s="3271"/>
      <c r="X117" s="3271"/>
      <c r="Y117" s="3271"/>
      <c r="Z117" s="3271"/>
      <c r="AA117" s="3"/>
      <c r="AB117" s="3318" t="s">
        <v>5748</v>
      </c>
      <c r="AC117" s="3268" t="s">
        <v>5749</v>
      </c>
      <c r="AD117" s="3271"/>
      <c r="AE117" s="3271"/>
      <c r="AF117" s="3271"/>
      <c r="AG117" s="3271"/>
      <c r="AH117" s="3271"/>
      <c r="AI117" s="3271"/>
      <c r="AJ117" s="3271"/>
      <c r="AK117" s="3271"/>
      <c r="AL117" s="3271"/>
      <c r="AM117" s="3"/>
    </row>
    <row r="118" spans="15:39" ht="22" customHeight="1">
      <c r="O118" s="3"/>
      <c r="P118" s="3281"/>
      <c r="Q118" s="3268" t="s">
        <v>5750</v>
      </c>
      <c r="R118" s="3268"/>
      <c r="S118" s="3268"/>
      <c r="T118" s="3268"/>
      <c r="U118" s="3268"/>
      <c r="V118" s="3268"/>
      <c r="W118" s="3268"/>
      <c r="X118" s="3268"/>
      <c r="Y118" s="3268"/>
      <c r="Z118" s="3268"/>
      <c r="AA118" s="3"/>
      <c r="AB118" s="3319"/>
      <c r="AC118" s="3271"/>
      <c r="AD118" s="3271"/>
      <c r="AE118" s="3271"/>
      <c r="AF118" s="3271"/>
      <c r="AG118" s="3271"/>
      <c r="AH118" s="3271"/>
      <c r="AI118" s="3271"/>
      <c r="AJ118" s="3271"/>
      <c r="AK118" s="3271"/>
      <c r="AL118" s="3271"/>
      <c r="AM118" s="3"/>
    </row>
    <row r="119" spans="15:39" ht="22" customHeight="1">
      <c r="O119" s="3"/>
      <c r="P119" s="3281"/>
      <c r="Q119" s="3268"/>
      <c r="R119" s="3268"/>
      <c r="S119" s="3268"/>
      <c r="T119" s="3268"/>
      <c r="U119" s="3268"/>
      <c r="V119" s="3268"/>
      <c r="W119" s="3268"/>
      <c r="X119" s="3268"/>
      <c r="Y119" s="3268"/>
      <c r="Z119" s="3268"/>
      <c r="AA119" s="3"/>
      <c r="AB119" s="3319"/>
      <c r="AC119" s="3271"/>
      <c r="AD119" s="3271"/>
      <c r="AE119" s="3271"/>
      <c r="AF119" s="3271"/>
      <c r="AG119" s="3271"/>
      <c r="AH119" s="3271"/>
      <c r="AI119" s="3271"/>
      <c r="AJ119" s="3271"/>
      <c r="AK119" s="3271"/>
      <c r="AL119" s="3271"/>
      <c r="AM119" s="3"/>
    </row>
    <row r="120" spans="15:39" ht="22" customHeight="1">
      <c r="O120" s="3"/>
      <c r="P120" s="3281"/>
      <c r="Q120" s="3268"/>
      <c r="R120" s="3268"/>
      <c r="S120" s="3268"/>
      <c r="T120" s="3268"/>
      <c r="U120" s="3268"/>
      <c r="V120" s="3268"/>
      <c r="W120" s="3268"/>
      <c r="X120" s="3268"/>
      <c r="Y120" s="3268"/>
      <c r="Z120" s="3268"/>
      <c r="AA120" s="3"/>
      <c r="AB120" s="3319"/>
      <c r="AC120" s="3271"/>
      <c r="AD120" s="3271"/>
      <c r="AE120" s="3271"/>
      <c r="AF120" s="3271"/>
      <c r="AG120" s="3271"/>
      <c r="AH120" s="3271"/>
      <c r="AI120" s="3271"/>
      <c r="AJ120" s="3271"/>
      <c r="AK120" s="3271"/>
      <c r="AL120" s="3271"/>
      <c r="AM120" s="3"/>
    </row>
    <row r="121" spans="15:39" ht="22" customHeight="1">
      <c r="O121" s="3"/>
      <c r="P121" s="3281"/>
      <c r="Q121" s="3268" t="s">
        <v>5751</v>
      </c>
      <c r="R121" s="3268"/>
      <c r="S121" s="3268"/>
      <c r="T121" s="3268"/>
      <c r="U121" s="3268"/>
      <c r="V121" s="3268"/>
      <c r="W121" s="3268"/>
      <c r="X121" s="3268"/>
      <c r="Y121" s="3268"/>
      <c r="Z121" s="3268"/>
      <c r="AA121" s="3"/>
      <c r="AB121" s="3319"/>
      <c r="AC121" s="3271" t="s">
        <v>5752</v>
      </c>
      <c r="AD121" s="3271"/>
      <c r="AE121" s="3271"/>
      <c r="AF121" s="3271"/>
      <c r="AG121" s="3271"/>
      <c r="AH121" s="3271"/>
      <c r="AI121" s="3271"/>
      <c r="AJ121" s="3271"/>
      <c r="AK121" s="3271"/>
      <c r="AL121" s="3271"/>
      <c r="AM121" s="3"/>
    </row>
    <row r="122" spans="15:39" ht="22" customHeight="1">
      <c r="O122" s="3"/>
      <c r="P122" s="3281"/>
      <c r="Q122" s="3268"/>
      <c r="R122" s="3268"/>
      <c r="S122" s="3268"/>
      <c r="T122" s="3268"/>
      <c r="U122" s="3268"/>
      <c r="V122" s="3268"/>
      <c r="W122" s="3268"/>
      <c r="X122" s="3268"/>
      <c r="Y122" s="3268"/>
      <c r="Z122" s="3268"/>
      <c r="AA122" s="3"/>
      <c r="AB122" s="3319"/>
      <c r="AC122" s="3268" t="s">
        <v>5753</v>
      </c>
      <c r="AD122" s="3268"/>
      <c r="AE122" s="3268"/>
      <c r="AF122" s="3268"/>
      <c r="AG122" s="3268"/>
      <c r="AH122" s="3268"/>
      <c r="AI122" s="3268"/>
      <c r="AJ122" s="3268"/>
      <c r="AK122" s="3268"/>
      <c r="AL122" s="3268"/>
      <c r="AM122" s="3"/>
    </row>
    <row r="123" spans="15:39" ht="22" customHeight="1">
      <c r="O123" s="3"/>
      <c r="P123" s="3281"/>
      <c r="Q123" s="3291" t="s">
        <v>5754</v>
      </c>
      <c r="R123" s="3291"/>
      <c r="S123" s="3291"/>
      <c r="T123" s="3291"/>
      <c r="U123" s="3291"/>
      <c r="V123" s="3291"/>
      <c r="W123" s="3291"/>
      <c r="X123" s="3291"/>
      <c r="Y123" s="3291"/>
      <c r="Z123" s="3291"/>
      <c r="AA123" s="3"/>
      <c r="AB123" s="3319"/>
      <c r="AC123" s="3268"/>
      <c r="AD123" s="3268"/>
      <c r="AE123" s="3268"/>
      <c r="AF123" s="3268"/>
      <c r="AG123" s="3268"/>
      <c r="AH123" s="3268"/>
      <c r="AI123" s="3268"/>
      <c r="AJ123" s="3268"/>
      <c r="AK123" s="3268"/>
      <c r="AL123" s="3268"/>
      <c r="AM123" s="3"/>
    </row>
    <row r="124" spans="15:39" ht="22" customHeight="1">
      <c r="O124" s="3"/>
      <c r="P124" s="3284" t="s">
        <v>108</v>
      </c>
      <c r="Q124" s="3275" t="s">
        <v>5755</v>
      </c>
      <c r="R124" s="3275"/>
      <c r="S124" s="3275"/>
      <c r="T124" s="3275"/>
      <c r="U124" s="3275"/>
      <c r="V124" s="3275"/>
      <c r="W124" s="3275"/>
      <c r="X124" s="3275"/>
      <c r="Y124" s="3275"/>
      <c r="Z124" s="3275"/>
      <c r="AA124" s="3"/>
      <c r="AB124" s="3319"/>
      <c r="AC124" s="3268"/>
      <c r="AD124" s="3268"/>
      <c r="AE124" s="3268"/>
      <c r="AF124" s="3268"/>
      <c r="AG124" s="3268"/>
      <c r="AH124" s="3268"/>
      <c r="AI124" s="3268"/>
      <c r="AJ124" s="3268"/>
      <c r="AK124" s="3268"/>
      <c r="AL124" s="3268"/>
      <c r="AM124" s="3"/>
    </row>
    <row r="125" spans="15:39" ht="22" customHeight="1">
      <c r="O125" s="3"/>
      <c r="P125" s="3285"/>
      <c r="Q125" s="3275"/>
      <c r="R125" s="3275"/>
      <c r="S125" s="3275"/>
      <c r="T125" s="3275"/>
      <c r="U125" s="3275"/>
      <c r="V125" s="3275"/>
      <c r="W125" s="3275"/>
      <c r="X125" s="3275"/>
      <c r="Y125" s="3275"/>
      <c r="Z125" s="3275"/>
      <c r="AA125" s="3"/>
      <c r="AB125" s="3284" t="s">
        <v>5654</v>
      </c>
      <c r="AC125" s="3271" t="s">
        <v>5756</v>
      </c>
      <c r="AD125" s="3271"/>
      <c r="AE125" s="3271"/>
      <c r="AF125" s="3271"/>
      <c r="AG125" s="3271"/>
      <c r="AH125" s="3271"/>
      <c r="AI125" s="3271"/>
      <c r="AJ125" s="3271"/>
      <c r="AK125" s="3271"/>
      <c r="AL125" s="3271"/>
      <c r="AM125" s="3"/>
    </row>
    <row r="126" spans="15:39" ht="22" customHeight="1">
      <c r="O126" s="3"/>
      <c r="P126" s="3285"/>
      <c r="Q126" s="3275"/>
      <c r="R126" s="3275"/>
      <c r="S126" s="3275"/>
      <c r="T126" s="3275"/>
      <c r="U126" s="3275"/>
      <c r="V126" s="3275"/>
      <c r="W126" s="3275"/>
      <c r="X126" s="3275"/>
      <c r="Y126" s="3275"/>
      <c r="Z126" s="3275"/>
      <c r="AA126" s="3"/>
      <c r="AB126" s="3285"/>
      <c r="AC126" s="3271" t="s">
        <v>5757</v>
      </c>
      <c r="AD126" s="3271"/>
      <c r="AE126" s="3271"/>
      <c r="AF126" s="3271"/>
      <c r="AG126" s="3271"/>
      <c r="AH126" s="3271"/>
      <c r="AI126" s="3271"/>
      <c r="AJ126" s="3271"/>
      <c r="AK126" s="3271"/>
      <c r="AL126" s="3271"/>
      <c r="AM126" s="3"/>
    </row>
    <row r="127" spans="15:39" ht="22" customHeight="1">
      <c r="O127" s="3"/>
      <c r="P127" s="3285"/>
      <c r="Q127" s="3275"/>
      <c r="R127" s="3275"/>
      <c r="S127" s="3275"/>
      <c r="T127" s="3275"/>
      <c r="U127" s="3275"/>
      <c r="V127" s="3275"/>
      <c r="W127" s="3275"/>
      <c r="X127" s="3275"/>
      <c r="Y127" s="3275"/>
      <c r="Z127" s="3275"/>
      <c r="AA127" s="3"/>
      <c r="AB127" s="3285"/>
      <c r="AC127" s="3271" t="s">
        <v>5758</v>
      </c>
      <c r="AD127" s="3271"/>
      <c r="AE127" s="3271"/>
      <c r="AF127" s="3271"/>
      <c r="AG127" s="3271"/>
      <c r="AH127" s="3271"/>
      <c r="AI127" s="3271"/>
      <c r="AJ127" s="3271"/>
      <c r="AK127" s="3271"/>
      <c r="AL127" s="3271"/>
      <c r="AM127" s="3"/>
    </row>
    <row r="128" spans="15:39" ht="22" customHeight="1">
      <c r="O128" s="3"/>
      <c r="P128" s="3285"/>
      <c r="Q128" s="3275"/>
      <c r="R128" s="3275"/>
      <c r="S128" s="3275"/>
      <c r="T128" s="3275"/>
      <c r="U128" s="3275"/>
      <c r="V128" s="3275"/>
      <c r="W128" s="3275"/>
      <c r="X128" s="3275"/>
      <c r="Y128" s="3275"/>
      <c r="Z128" s="3275"/>
      <c r="AA128" s="3"/>
      <c r="AB128" s="3285"/>
      <c r="AC128" s="3271" t="s">
        <v>5759</v>
      </c>
      <c r="AD128" s="3271"/>
      <c r="AE128" s="3271"/>
      <c r="AF128" s="3271"/>
      <c r="AG128" s="3271"/>
      <c r="AH128" s="3271"/>
      <c r="AI128" s="3271"/>
      <c r="AJ128" s="3271"/>
      <c r="AK128" s="3271"/>
      <c r="AL128" s="3271"/>
      <c r="AM128" s="3"/>
    </row>
    <row r="129" spans="15:39" ht="22" customHeight="1">
      <c r="O129" s="3"/>
      <c r="P129" s="3272" t="s">
        <v>5760</v>
      </c>
      <c r="Q129" s="3292"/>
      <c r="R129" s="3292"/>
      <c r="S129" s="3292"/>
      <c r="T129" s="3292"/>
      <c r="U129" s="3292"/>
      <c r="V129" s="3292"/>
      <c r="W129" s="3292"/>
      <c r="X129" s="3292"/>
      <c r="Y129" s="3292"/>
      <c r="Z129" s="3292"/>
      <c r="AA129" s="3"/>
      <c r="AB129" s="3300" t="s">
        <v>5558</v>
      </c>
      <c r="AC129" s="3268" t="s">
        <v>5761</v>
      </c>
      <c r="AD129" s="3271"/>
      <c r="AE129" s="3271"/>
      <c r="AF129" s="3271"/>
      <c r="AG129" s="3271"/>
      <c r="AH129" s="3271"/>
      <c r="AI129" s="3271"/>
      <c r="AJ129" s="3271"/>
      <c r="AK129" s="3271"/>
      <c r="AL129" s="3271"/>
      <c r="AM129" s="3"/>
    </row>
    <row r="130" spans="15:39" ht="22" customHeight="1">
      <c r="O130" s="3"/>
      <c r="P130" s="3280" t="s">
        <v>5531</v>
      </c>
      <c r="Q130" s="3271" t="s">
        <v>5762</v>
      </c>
      <c r="R130" s="3271"/>
      <c r="S130" s="3271"/>
      <c r="T130" s="3271"/>
      <c r="U130" s="3271"/>
      <c r="V130" s="3271"/>
      <c r="W130" s="3271"/>
      <c r="X130" s="3271"/>
      <c r="Y130" s="3271"/>
      <c r="Z130" s="3271"/>
      <c r="AA130" s="3"/>
      <c r="AB130" s="3301"/>
      <c r="AC130" s="3271"/>
      <c r="AD130" s="3271"/>
      <c r="AE130" s="3271"/>
      <c r="AF130" s="3271"/>
      <c r="AG130" s="3271"/>
      <c r="AH130" s="3271"/>
      <c r="AI130" s="3271"/>
      <c r="AJ130" s="3271"/>
      <c r="AK130" s="3271"/>
      <c r="AL130" s="3271"/>
      <c r="AM130" s="3"/>
    </row>
    <row r="131" spans="15:39" ht="22" customHeight="1">
      <c r="O131" s="3"/>
      <c r="P131" s="3281"/>
      <c r="Q131" s="3271"/>
      <c r="R131" s="3271"/>
      <c r="S131" s="3271"/>
      <c r="T131" s="3271"/>
      <c r="U131" s="3271"/>
      <c r="V131" s="3271"/>
      <c r="W131" s="3271"/>
      <c r="X131" s="3271"/>
      <c r="Y131" s="3271"/>
      <c r="Z131" s="3271"/>
      <c r="AA131" s="3"/>
      <c r="AB131" s="3301"/>
      <c r="AC131" s="3271"/>
      <c r="AD131" s="3271"/>
      <c r="AE131" s="3271"/>
      <c r="AF131" s="3271"/>
      <c r="AG131" s="3271"/>
      <c r="AH131" s="3271"/>
      <c r="AI131" s="3271"/>
      <c r="AJ131" s="3271"/>
      <c r="AK131" s="3271"/>
      <c r="AL131" s="3271"/>
      <c r="AM131" s="3"/>
    </row>
    <row r="132" spans="15:39" ht="22" customHeight="1">
      <c r="O132" s="3"/>
      <c r="P132" s="3281"/>
      <c r="Q132" s="3271"/>
      <c r="R132" s="3271"/>
      <c r="S132" s="3271"/>
      <c r="T132" s="3271"/>
      <c r="U132" s="3271"/>
      <c r="V132" s="3271"/>
      <c r="W132" s="3271"/>
      <c r="X132" s="3271"/>
      <c r="Y132" s="3271"/>
      <c r="Z132" s="3271"/>
      <c r="AA132" s="3"/>
      <c r="AB132" s="3301"/>
      <c r="AC132" s="3271"/>
      <c r="AD132" s="3271"/>
      <c r="AE132" s="3271"/>
      <c r="AF132" s="3271"/>
      <c r="AG132" s="3271"/>
      <c r="AH132" s="3271"/>
      <c r="AI132" s="3271"/>
      <c r="AJ132" s="3271"/>
      <c r="AK132" s="3271"/>
      <c r="AL132" s="3271"/>
      <c r="AM132" s="3"/>
    </row>
    <row r="133" spans="15:39" ht="22" customHeight="1">
      <c r="O133" s="3"/>
      <c r="P133" s="3272" t="s">
        <v>5763</v>
      </c>
      <c r="Q133" s="3270"/>
      <c r="R133" s="3270"/>
      <c r="S133" s="3270"/>
      <c r="T133" s="3270"/>
      <c r="U133" s="3270"/>
      <c r="V133" s="3270"/>
      <c r="W133" s="3270"/>
      <c r="X133" s="3270"/>
      <c r="Y133" s="3270"/>
      <c r="Z133" s="3270"/>
      <c r="AA133" s="3"/>
      <c r="AB133" s="3301"/>
      <c r="AC133" s="3268" t="s">
        <v>5764</v>
      </c>
      <c r="AD133" s="3268"/>
      <c r="AE133" s="3268"/>
      <c r="AF133" s="3268"/>
      <c r="AG133" s="3268"/>
      <c r="AH133" s="3268"/>
      <c r="AI133" s="3268"/>
      <c r="AJ133" s="3268"/>
      <c r="AK133" s="3268"/>
      <c r="AL133" s="3268"/>
      <c r="AM133" s="3"/>
    </row>
    <row r="134" spans="15:39" ht="22" customHeight="1">
      <c r="O134" s="3"/>
      <c r="P134" s="3280" t="s">
        <v>5531</v>
      </c>
      <c r="Q134" s="3274" t="s">
        <v>5765</v>
      </c>
      <c r="R134" s="3271"/>
      <c r="S134" s="3271"/>
      <c r="T134" s="3271"/>
      <c r="U134" s="3271"/>
      <c r="V134" s="3271"/>
      <c r="W134" s="3271"/>
      <c r="X134" s="3271"/>
      <c r="Y134" s="3271"/>
      <c r="Z134" s="3271"/>
      <c r="AA134" s="3"/>
      <c r="AB134" s="3301"/>
      <c r="AC134" s="3268"/>
      <c r="AD134" s="3268"/>
      <c r="AE134" s="3268"/>
      <c r="AF134" s="3268"/>
      <c r="AG134" s="3268"/>
      <c r="AH134" s="3268"/>
      <c r="AI134" s="3268"/>
      <c r="AJ134" s="3268"/>
      <c r="AK134" s="3268"/>
      <c r="AL134" s="3268"/>
      <c r="AM134" s="3"/>
    </row>
    <row r="135" spans="15:39" ht="22" customHeight="1">
      <c r="O135" s="3"/>
      <c r="P135" s="3281"/>
      <c r="Q135" s="3333" t="s">
        <v>5766</v>
      </c>
      <c r="R135" s="3271"/>
      <c r="S135" s="3271"/>
      <c r="T135" s="3271"/>
      <c r="U135" s="3271"/>
      <c r="V135" s="3271"/>
      <c r="W135" s="3271"/>
      <c r="X135" s="3271"/>
      <c r="Y135" s="3271"/>
      <c r="Z135" s="3271"/>
      <c r="AA135" s="3"/>
      <c r="AB135" s="3301"/>
      <c r="AC135" s="3268"/>
      <c r="AD135" s="3268"/>
      <c r="AE135" s="3268"/>
      <c r="AF135" s="3268"/>
      <c r="AG135" s="3268"/>
      <c r="AH135" s="3268"/>
      <c r="AI135" s="3268"/>
      <c r="AJ135" s="3268"/>
      <c r="AK135" s="3268"/>
      <c r="AL135" s="3268"/>
      <c r="AM135" s="3"/>
    </row>
    <row r="136" spans="15:39" ht="22" customHeight="1">
      <c r="O136" s="3"/>
      <c r="P136" s="3281"/>
      <c r="Q136" s="3274"/>
      <c r="R136" s="3271"/>
      <c r="S136" s="3271"/>
      <c r="T136" s="3271"/>
      <c r="U136" s="3271"/>
      <c r="V136" s="3271"/>
      <c r="W136" s="3271"/>
      <c r="X136" s="3271"/>
      <c r="Y136" s="3271"/>
      <c r="Z136" s="3271"/>
      <c r="AA136" s="3"/>
      <c r="AB136" s="3301"/>
      <c r="AC136" s="3268" t="s">
        <v>5767</v>
      </c>
      <c r="AD136" s="3268"/>
      <c r="AE136" s="3268"/>
      <c r="AF136" s="3268"/>
      <c r="AG136" s="3268"/>
      <c r="AH136" s="3268"/>
      <c r="AI136" s="3268"/>
      <c r="AJ136" s="3268"/>
      <c r="AK136" s="3268"/>
      <c r="AL136" s="3268"/>
      <c r="AM136" s="3"/>
    </row>
    <row r="137" spans="15:39" ht="22" customHeight="1">
      <c r="O137" s="3"/>
      <c r="P137" s="3281"/>
      <c r="Q137" s="3344" t="s">
        <v>5768</v>
      </c>
      <c r="R137" s="3344"/>
      <c r="S137" s="3344"/>
      <c r="T137" s="3344"/>
      <c r="U137" s="3344"/>
      <c r="V137" s="3344"/>
      <c r="W137" s="3344"/>
      <c r="X137" s="3344"/>
      <c r="Y137" s="3344"/>
      <c r="Z137" s="3344"/>
      <c r="AA137" s="3"/>
      <c r="AB137" s="3301"/>
      <c r="AC137" s="3268" t="s">
        <v>5769</v>
      </c>
      <c r="AD137" s="3268"/>
      <c r="AE137" s="3268"/>
      <c r="AF137" s="3268"/>
      <c r="AG137" s="3268"/>
      <c r="AH137" s="3268"/>
      <c r="AI137" s="3268"/>
      <c r="AJ137" s="3268"/>
      <c r="AK137" s="3268"/>
      <c r="AL137" s="3268"/>
      <c r="AM137" s="3"/>
    </row>
    <row r="138" spans="15:39" ht="22" customHeight="1">
      <c r="O138" s="3"/>
      <c r="P138" s="3281"/>
      <c r="Q138" s="3344"/>
      <c r="R138" s="3344"/>
      <c r="S138" s="3344"/>
      <c r="T138" s="3344"/>
      <c r="U138" s="3344"/>
      <c r="V138" s="3344"/>
      <c r="W138" s="3344"/>
      <c r="X138" s="3344"/>
      <c r="Y138" s="3344"/>
      <c r="Z138" s="3344"/>
      <c r="AA138" s="3"/>
      <c r="AB138" s="3300" t="s">
        <v>5732</v>
      </c>
      <c r="AC138" s="3268" t="s">
        <v>5770</v>
      </c>
      <c r="AD138" s="3268"/>
      <c r="AE138" s="3268"/>
      <c r="AF138" s="3268"/>
      <c r="AG138" s="3268"/>
      <c r="AH138" s="3268"/>
      <c r="AI138" s="3268"/>
      <c r="AJ138" s="3268"/>
      <c r="AK138" s="3268"/>
      <c r="AL138" s="3268"/>
      <c r="AM138" s="3"/>
    </row>
    <row r="139" spans="15:39" ht="22" customHeight="1">
      <c r="O139" s="3"/>
      <c r="P139" s="3293"/>
      <c r="Q139" s="3268" t="s">
        <v>5771</v>
      </c>
      <c r="R139" s="3268"/>
      <c r="S139" s="3268"/>
      <c r="T139" s="3268"/>
      <c r="U139" s="3268"/>
      <c r="V139" s="3268"/>
      <c r="W139" s="3268"/>
      <c r="X139" s="3268"/>
      <c r="Y139" s="3268"/>
      <c r="Z139" s="3268"/>
      <c r="AA139" s="3"/>
      <c r="AB139" s="3301"/>
      <c r="AC139" s="3268"/>
      <c r="AD139" s="3268"/>
      <c r="AE139" s="3268"/>
      <c r="AF139" s="3268"/>
      <c r="AG139" s="3268"/>
      <c r="AH139" s="3268"/>
      <c r="AI139" s="3268"/>
      <c r="AJ139" s="3268"/>
      <c r="AK139" s="3268"/>
      <c r="AL139" s="3268"/>
      <c r="AM139" s="3"/>
    </row>
    <row r="140" spans="15:39" ht="22" customHeight="1">
      <c r="O140" s="3"/>
      <c r="P140" s="3293"/>
      <c r="Q140" s="3268"/>
      <c r="R140" s="3268"/>
      <c r="S140" s="3268"/>
      <c r="T140" s="3268"/>
      <c r="U140" s="3268"/>
      <c r="V140" s="3268"/>
      <c r="W140" s="3268"/>
      <c r="X140" s="3268"/>
      <c r="Y140" s="3268"/>
      <c r="Z140" s="3268"/>
      <c r="AA140" s="3"/>
      <c r="AB140" s="3301"/>
      <c r="AC140" s="3268"/>
      <c r="AD140" s="3268"/>
      <c r="AE140" s="3268"/>
      <c r="AF140" s="3268"/>
      <c r="AG140" s="3268"/>
      <c r="AH140" s="3268"/>
      <c r="AI140" s="3268"/>
      <c r="AJ140" s="3268"/>
      <c r="AK140" s="3268"/>
      <c r="AL140" s="3268"/>
      <c r="AM140" s="3"/>
    </row>
    <row r="141" spans="15:39" ht="22" customHeight="1">
      <c r="O141" s="3"/>
      <c r="P141" s="3293"/>
      <c r="Q141" s="3268"/>
      <c r="R141" s="3268"/>
      <c r="S141" s="3268"/>
      <c r="T141" s="3268"/>
      <c r="U141" s="3268"/>
      <c r="V141" s="3268"/>
      <c r="W141" s="3268"/>
      <c r="X141" s="3268"/>
      <c r="Y141" s="3268"/>
      <c r="Z141" s="3268"/>
      <c r="AA141" s="3"/>
      <c r="AB141" s="3301"/>
      <c r="AC141" s="3268"/>
      <c r="AD141" s="3268"/>
      <c r="AE141" s="3268"/>
      <c r="AF141" s="3268"/>
      <c r="AG141" s="3268"/>
      <c r="AH141" s="3268"/>
      <c r="AI141" s="3268"/>
      <c r="AJ141" s="3268"/>
      <c r="AK141" s="3268"/>
      <c r="AL141" s="3268"/>
      <c r="AM141" s="3"/>
    </row>
    <row r="142" spans="15:39" ht="22" customHeight="1">
      <c r="O142" s="3"/>
      <c r="P142" s="3294" t="s">
        <v>5549</v>
      </c>
      <c r="Q142" s="3343" t="s">
        <v>5772</v>
      </c>
      <c r="R142" s="3343"/>
      <c r="S142" s="3343"/>
      <c r="T142" s="3343"/>
      <c r="U142" s="3343"/>
      <c r="V142" s="3343"/>
      <c r="W142" s="3343"/>
      <c r="X142" s="3343"/>
      <c r="Y142" s="3343"/>
      <c r="Z142" s="3343"/>
      <c r="AA142" s="3"/>
      <c r="AB142" s="3301"/>
      <c r="AC142" s="3268"/>
      <c r="AD142" s="3268"/>
      <c r="AE142" s="3268"/>
      <c r="AF142" s="3268"/>
      <c r="AG142" s="3268"/>
      <c r="AH142" s="3268"/>
      <c r="AI142" s="3268"/>
      <c r="AJ142" s="3268"/>
      <c r="AK142" s="3268"/>
      <c r="AL142" s="3268"/>
      <c r="AM142" s="3"/>
    </row>
    <row r="143" spans="15:39" ht="22" customHeight="1">
      <c r="O143" s="3"/>
      <c r="P143" s="3295"/>
      <c r="Q143" s="3268"/>
      <c r="R143" s="3268"/>
      <c r="S143" s="3268"/>
      <c r="T143" s="3268"/>
      <c r="U143" s="3268"/>
      <c r="V143" s="3268"/>
      <c r="W143" s="3268"/>
      <c r="X143" s="3268"/>
      <c r="Y143" s="3268"/>
      <c r="Z143" s="3268"/>
      <c r="AA143" s="3"/>
      <c r="AB143" s="3301"/>
      <c r="AC143" s="3268"/>
      <c r="AD143" s="3268"/>
      <c r="AE143" s="3268"/>
      <c r="AF143" s="3268"/>
      <c r="AG143" s="3268"/>
      <c r="AH143" s="3268"/>
      <c r="AI143" s="3268"/>
      <c r="AJ143" s="3268"/>
      <c r="AK143" s="3268"/>
      <c r="AL143" s="3268"/>
      <c r="AM143" s="3"/>
    </row>
    <row r="144" spans="15:39" ht="22" customHeight="1">
      <c r="O144" s="3"/>
      <c r="P144" s="3295"/>
      <c r="Q144" s="3268"/>
      <c r="R144" s="3268"/>
      <c r="S144" s="3268"/>
      <c r="T144" s="3268"/>
      <c r="U144" s="3268"/>
      <c r="V144" s="3268"/>
      <c r="W144" s="3268"/>
      <c r="X144" s="3268"/>
      <c r="Y144" s="3268"/>
      <c r="Z144" s="3268"/>
      <c r="AA144" s="3"/>
      <c r="AB144" s="3301"/>
      <c r="AC144" s="3268"/>
      <c r="AD144" s="3268"/>
      <c r="AE144" s="3268"/>
      <c r="AF144" s="3268"/>
      <c r="AG144" s="3268"/>
      <c r="AH144" s="3268"/>
      <c r="AI144" s="3268"/>
      <c r="AJ144" s="3268"/>
      <c r="AK144" s="3268"/>
      <c r="AL144" s="3268"/>
      <c r="AM144" s="3"/>
    </row>
    <row r="145" spans="15:39" ht="22" customHeight="1">
      <c r="O145" s="3"/>
      <c r="P145" s="3296" t="s">
        <v>5545</v>
      </c>
      <c r="Q145" s="3290" t="s">
        <v>5773</v>
      </c>
      <c r="R145" s="3290"/>
      <c r="S145" s="3290"/>
      <c r="T145" s="3290"/>
      <c r="U145" s="3290"/>
      <c r="V145" s="3290"/>
      <c r="W145" s="3290"/>
      <c r="X145" s="3290"/>
      <c r="Y145" s="3290"/>
      <c r="Z145" s="3290"/>
      <c r="AA145" s="3"/>
      <c r="AB145" s="3301"/>
      <c r="AC145" s="3268"/>
      <c r="AD145" s="3268"/>
      <c r="AE145" s="3268"/>
      <c r="AF145" s="3268"/>
      <c r="AG145" s="3268"/>
      <c r="AH145" s="3268"/>
      <c r="AI145" s="3268"/>
      <c r="AJ145" s="3268"/>
      <c r="AK145" s="3268"/>
      <c r="AL145" s="3268"/>
      <c r="AM145" s="3"/>
    </row>
    <row r="146" spans="15:39" ht="22" customHeight="1">
      <c r="O146" s="3"/>
      <c r="P146" s="3297"/>
      <c r="Q146" s="3290"/>
      <c r="R146" s="3290"/>
      <c r="S146" s="3290"/>
      <c r="T146" s="3290"/>
      <c r="U146" s="3290"/>
      <c r="V146" s="3290"/>
      <c r="W146" s="3290"/>
      <c r="X146" s="3290"/>
      <c r="Y146" s="3290"/>
      <c r="Z146" s="3290"/>
      <c r="AA146" s="3"/>
      <c r="AB146" s="3301"/>
      <c r="AC146" s="3268"/>
      <c r="AD146" s="3268"/>
      <c r="AE146" s="3268"/>
      <c r="AF146" s="3268"/>
      <c r="AG146" s="3268"/>
      <c r="AH146" s="3268"/>
      <c r="AI146" s="3268"/>
      <c r="AJ146" s="3268"/>
      <c r="AK146" s="3268"/>
      <c r="AL146" s="3268"/>
      <c r="AM146" s="3"/>
    </row>
    <row r="147" spans="15:39" ht="22" customHeight="1">
      <c r="O147" s="3"/>
      <c r="P147" s="3296" t="s">
        <v>5561</v>
      </c>
      <c r="Q147" s="3268" t="s">
        <v>5774</v>
      </c>
      <c r="R147" s="3268"/>
      <c r="S147" s="3268"/>
      <c r="T147" s="3268"/>
      <c r="U147" s="3268"/>
      <c r="V147" s="3268"/>
      <c r="W147" s="3268"/>
      <c r="X147" s="3268"/>
      <c r="Y147" s="3268"/>
      <c r="Z147" s="3268"/>
      <c r="AA147" s="3"/>
      <c r="AB147" s="3301"/>
      <c r="AC147" s="3268"/>
      <c r="AD147" s="3268"/>
      <c r="AE147" s="3268"/>
      <c r="AF147" s="3268"/>
      <c r="AG147" s="3268"/>
      <c r="AH147" s="3268"/>
      <c r="AI147" s="3268"/>
      <c r="AJ147" s="3268"/>
      <c r="AK147" s="3268"/>
      <c r="AL147" s="3268"/>
      <c r="AM147" s="3"/>
    </row>
    <row r="148" spans="15:39" ht="22" customHeight="1">
      <c r="O148" s="3"/>
      <c r="P148" s="3297"/>
      <c r="Q148" s="3268"/>
      <c r="R148" s="3268"/>
      <c r="S148" s="3268"/>
      <c r="T148" s="3268"/>
      <c r="U148" s="3268"/>
      <c r="V148" s="3268"/>
      <c r="W148" s="3268"/>
      <c r="X148" s="3268"/>
      <c r="Y148" s="3268"/>
      <c r="Z148" s="3268"/>
      <c r="AA148" s="3"/>
      <c r="AB148" s="3301"/>
      <c r="AC148" s="3268" t="s">
        <v>5775</v>
      </c>
      <c r="AD148" s="3268"/>
      <c r="AE148" s="3268"/>
      <c r="AF148" s="3268"/>
      <c r="AG148" s="3268"/>
      <c r="AH148" s="3268"/>
      <c r="AI148" s="3268"/>
      <c r="AJ148" s="3268"/>
      <c r="AK148" s="3268"/>
      <c r="AL148" s="3268"/>
      <c r="AM148" s="3"/>
    </row>
    <row r="149" spans="15:39" ht="22" customHeight="1">
      <c r="O149" s="3"/>
      <c r="P149" s="3284" t="s">
        <v>108</v>
      </c>
      <c r="Q149" s="3275" t="s">
        <v>5776</v>
      </c>
      <c r="R149" s="3275"/>
      <c r="S149" s="3275"/>
      <c r="T149" s="3275"/>
      <c r="U149" s="3275"/>
      <c r="V149" s="3275"/>
      <c r="W149" s="3275"/>
      <c r="X149" s="3275"/>
      <c r="Y149" s="3275"/>
      <c r="Z149" s="3275"/>
      <c r="AA149" s="3"/>
      <c r="AB149" s="3301"/>
      <c r="AC149" s="3268"/>
      <c r="AD149" s="3268"/>
      <c r="AE149" s="3268"/>
      <c r="AF149" s="3268"/>
      <c r="AG149" s="3268"/>
      <c r="AH149" s="3268"/>
      <c r="AI149" s="3268"/>
      <c r="AJ149" s="3268"/>
      <c r="AK149" s="3268"/>
      <c r="AL149" s="3268"/>
      <c r="AM149" s="3"/>
    </row>
    <row r="150" spans="15:39" ht="22" customHeight="1">
      <c r="O150" s="3"/>
      <c r="P150" s="3285"/>
      <c r="Q150" s="3275"/>
      <c r="R150" s="3275"/>
      <c r="S150" s="3275"/>
      <c r="T150" s="3275"/>
      <c r="U150" s="3275"/>
      <c r="V150" s="3275"/>
      <c r="W150" s="3275"/>
      <c r="X150" s="3275"/>
      <c r="Y150" s="3275"/>
      <c r="Z150" s="3275"/>
      <c r="AA150" s="3"/>
      <c r="AB150" s="3301"/>
      <c r="AC150" s="3268"/>
      <c r="AD150" s="3268"/>
      <c r="AE150" s="3268"/>
      <c r="AF150" s="3268"/>
      <c r="AG150" s="3268"/>
      <c r="AH150" s="3268"/>
      <c r="AI150" s="3268"/>
      <c r="AJ150" s="3268"/>
      <c r="AK150" s="3268"/>
      <c r="AL150" s="3268"/>
      <c r="AM150" s="3"/>
    </row>
    <row r="151" spans="15:39" ht="22" customHeight="1">
      <c r="O151" s="3"/>
      <c r="P151" s="3285"/>
      <c r="Q151" s="3275"/>
      <c r="R151" s="3275"/>
      <c r="S151" s="3275"/>
      <c r="T151" s="3275"/>
      <c r="U151" s="3275"/>
      <c r="V151" s="3275"/>
      <c r="W151" s="3275"/>
      <c r="X151" s="3275"/>
      <c r="Y151" s="3275"/>
      <c r="Z151" s="3275"/>
      <c r="AA151" s="3"/>
      <c r="AB151" s="3301"/>
      <c r="AC151" s="3268"/>
      <c r="AD151" s="3268"/>
      <c r="AE151" s="3268"/>
      <c r="AF151" s="3268"/>
      <c r="AG151" s="3268"/>
      <c r="AH151" s="3268"/>
      <c r="AI151" s="3268"/>
      <c r="AJ151" s="3268"/>
      <c r="AK151" s="3268"/>
      <c r="AL151" s="3268"/>
      <c r="AM151" s="3"/>
    </row>
    <row r="152" spans="15:39" ht="22" customHeight="1">
      <c r="O152" s="3"/>
      <c r="P152" s="3285"/>
      <c r="Q152" s="3275"/>
      <c r="R152" s="3275"/>
      <c r="S152" s="3275"/>
      <c r="T152" s="3275"/>
      <c r="U152" s="3275"/>
      <c r="V152" s="3275"/>
      <c r="W152" s="3275"/>
      <c r="X152" s="3275"/>
      <c r="Y152" s="3275"/>
      <c r="Z152" s="3275"/>
      <c r="AA152" s="3"/>
      <c r="AB152" s="3301"/>
      <c r="AC152" s="3268"/>
      <c r="AD152" s="3268"/>
      <c r="AE152" s="3268"/>
      <c r="AF152" s="3268"/>
      <c r="AG152" s="3268"/>
      <c r="AH152" s="3268"/>
      <c r="AI152" s="3268"/>
      <c r="AJ152" s="3268"/>
      <c r="AK152" s="3268"/>
      <c r="AL152" s="3268"/>
      <c r="AM152" s="3"/>
    </row>
    <row r="153" spans="15:39" ht="22" customHeight="1">
      <c r="O153" s="3"/>
      <c r="P153" s="3285"/>
      <c r="Q153" s="3275"/>
      <c r="R153" s="3275"/>
      <c r="S153" s="3275"/>
      <c r="T153" s="3275"/>
      <c r="U153" s="3275"/>
      <c r="V153" s="3275"/>
      <c r="W153" s="3275"/>
      <c r="X153" s="3275"/>
      <c r="Y153" s="3275"/>
      <c r="Z153" s="3275"/>
      <c r="AA153" s="3"/>
      <c r="AB153" s="3301"/>
      <c r="AC153" s="3271" t="s">
        <v>5777</v>
      </c>
      <c r="AD153" s="3271"/>
      <c r="AE153" s="3271"/>
      <c r="AF153" s="3271"/>
      <c r="AG153" s="3271"/>
      <c r="AH153" s="3271"/>
      <c r="AI153" s="3271"/>
      <c r="AJ153" s="3271"/>
      <c r="AK153" s="3271"/>
      <c r="AL153" s="3271"/>
      <c r="AM153" s="3"/>
    </row>
    <row r="154" spans="15:39" ht="22" customHeight="1">
      <c r="O154" s="3"/>
      <c r="AA154" s="3"/>
      <c r="AB154" s="3301"/>
      <c r="AC154" s="3271" t="s">
        <v>5778</v>
      </c>
      <c r="AD154" s="3271"/>
      <c r="AE154" s="3271"/>
      <c r="AF154" s="3271"/>
      <c r="AG154" s="3271"/>
      <c r="AH154" s="3271"/>
      <c r="AI154" s="3271"/>
      <c r="AJ154" s="3271"/>
      <c r="AK154" s="3271"/>
      <c r="AL154" s="3271"/>
      <c r="AM154" s="3"/>
    </row>
    <row r="155" spans="15:39" ht="22" customHeight="1">
      <c r="O155" s="3"/>
      <c r="AA155" s="3"/>
      <c r="AB155" s="3320" t="s">
        <v>5561</v>
      </c>
      <c r="AC155" s="3271" t="s">
        <v>5779</v>
      </c>
      <c r="AD155" s="3271"/>
      <c r="AE155" s="3271"/>
      <c r="AF155" s="3271"/>
      <c r="AG155" s="3271"/>
      <c r="AH155" s="3271"/>
      <c r="AI155" s="3271"/>
      <c r="AJ155" s="3271"/>
      <c r="AK155" s="3271"/>
      <c r="AL155" s="3271"/>
      <c r="AM155" s="3"/>
    </row>
    <row r="156" spans="15:39" ht="22" customHeight="1">
      <c r="O156" s="3"/>
      <c r="AA156" s="3"/>
      <c r="AB156" s="3321"/>
      <c r="AC156" s="3271" t="s">
        <v>5780</v>
      </c>
      <c r="AD156" s="3271"/>
      <c r="AE156" s="3271"/>
      <c r="AF156" s="3271"/>
      <c r="AG156" s="3271"/>
      <c r="AH156" s="3271"/>
      <c r="AI156" s="3271"/>
      <c r="AJ156" s="3271"/>
      <c r="AK156" s="3271"/>
      <c r="AL156" s="3271"/>
      <c r="AM156" s="3"/>
    </row>
    <row r="157" spans="15:39" ht="22" customHeight="1">
      <c r="O157" s="3"/>
      <c r="P157" s="3269" t="s">
        <v>5781</v>
      </c>
      <c r="Q157" s="3270"/>
      <c r="R157" s="3270"/>
      <c r="S157" s="3270"/>
      <c r="T157" s="3270"/>
      <c r="U157" s="3270"/>
      <c r="V157" s="3270"/>
      <c r="W157" s="3270"/>
      <c r="X157" s="3270"/>
      <c r="Y157" s="3270"/>
      <c r="Z157" s="3270"/>
      <c r="AA157" s="3"/>
      <c r="AB157" s="3269" t="s">
        <v>5782</v>
      </c>
      <c r="AC157" s="3270"/>
      <c r="AD157" s="3270"/>
      <c r="AE157" s="3270"/>
      <c r="AF157" s="3270"/>
      <c r="AG157" s="3270"/>
      <c r="AH157" s="3270"/>
      <c r="AI157" s="3270"/>
      <c r="AJ157" s="3270"/>
      <c r="AK157" s="3270"/>
      <c r="AL157" s="3270"/>
      <c r="AM157" s="3"/>
    </row>
    <row r="158" spans="15:39" ht="22" customHeight="1">
      <c r="O158" s="3"/>
      <c r="P158" s="3298" t="s">
        <v>5667</v>
      </c>
      <c r="Q158" s="3268" t="s">
        <v>5783</v>
      </c>
      <c r="R158" s="3268"/>
      <c r="S158" s="3268"/>
      <c r="T158" s="3268"/>
      <c r="U158" s="3268"/>
      <c r="V158" s="3268"/>
      <c r="W158" s="3268"/>
      <c r="X158" s="3268"/>
      <c r="Y158" s="3268"/>
      <c r="Z158" s="3268"/>
      <c r="AA158" s="3"/>
      <c r="AB158" s="10" t="s">
        <v>5531</v>
      </c>
      <c r="AC158" s="3271" t="s">
        <v>5784</v>
      </c>
      <c r="AD158" s="3271"/>
      <c r="AE158" s="3271"/>
      <c r="AF158" s="3271"/>
      <c r="AG158" s="3271"/>
      <c r="AH158" s="3271"/>
      <c r="AI158" s="3271"/>
      <c r="AJ158" s="3271"/>
      <c r="AK158" s="3271"/>
      <c r="AL158" s="3271"/>
      <c r="AM158" s="3"/>
    </row>
    <row r="159" spans="15:39" ht="22" customHeight="1">
      <c r="O159" s="3"/>
      <c r="P159" s="3299"/>
      <c r="Q159" s="3268"/>
      <c r="R159" s="3268"/>
      <c r="S159" s="3268"/>
      <c r="T159" s="3268"/>
      <c r="U159" s="3268"/>
      <c r="V159" s="3268"/>
      <c r="W159" s="3268"/>
      <c r="X159" s="3268"/>
      <c r="Y159" s="3268"/>
      <c r="Z159" s="3268"/>
      <c r="AA159" s="3"/>
      <c r="AB159" s="4" t="s">
        <v>5558</v>
      </c>
      <c r="AC159" s="3271" t="s">
        <v>5785</v>
      </c>
      <c r="AD159" s="3271"/>
      <c r="AE159" s="3271"/>
      <c r="AF159" s="3271"/>
      <c r="AG159" s="3271"/>
      <c r="AH159" s="3271"/>
      <c r="AI159" s="3271"/>
      <c r="AJ159" s="3271"/>
      <c r="AK159" s="3271"/>
      <c r="AL159" s="3271"/>
      <c r="AM159" s="3"/>
    </row>
    <row r="160" spans="15:39" ht="22" customHeight="1">
      <c r="O160" s="3"/>
      <c r="P160" s="3298" t="s">
        <v>5786</v>
      </c>
      <c r="Q160" s="3268" t="s">
        <v>5787</v>
      </c>
      <c r="R160" s="3268"/>
      <c r="S160" s="3268"/>
      <c r="T160" s="3268"/>
      <c r="U160" s="3268"/>
      <c r="V160" s="3268"/>
      <c r="W160" s="3268"/>
      <c r="X160" s="3268"/>
      <c r="Y160" s="3268"/>
      <c r="Z160" s="3268"/>
      <c r="AA160" s="3"/>
      <c r="AB160" s="3269" t="s">
        <v>5788</v>
      </c>
      <c r="AC160" s="3270"/>
      <c r="AD160" s="3270"/>
      <c r="AE160" s="3270"/>
      <c r="AF160" s="3270"/>
      <c r="AG160" s="3270"/>
      <c r="AH160" s="3270"/>
      <c r="AI160" s="3270"/>
      <c r="AJ160" s="3270"/>
      <c r="AK160" s="3270"/>
      <c r="AL160" s="3270"/>
      <c r="AM160" s="3"/>
    </row>
    <row r="161" spans="15:39" ht="22" customHeight="1">
      <c r="O161" s="3"/>
      <c r="P161" s="3299"/>
      <c r="Q161" s="3268"/>
      <c r="R161" s="3268"/>
      <c r="S161" s="3268"/>
      <c r="T161" s="3268"/>
      <c r="U161" s="3268"/>
      <c r="V161" s="3268"/>
      <c r="W161" s="3268"/>
      <c r="X161" s="3268"/>
      <c r="Y161" s="3268"/>
      <c r="Z161" s="3268"/>
      <c r="AA161" s="3"/>
      <c r="AB161" s="7" t="s">
        <v>5667</v>
      </c>
      <c r="AC161" s="3288" t="s">
        <v>5789</v>
      </c>
      <c r="AD161" s="3288"/>
      <c r="AE161" s="3288"/>
      <c r="AF161" s="3288"/>
      <c r="AG161" s="3288"/>
      <c r="AH161" s="3288"/>
      <c r="AI161" s="3288"/>
      <c r="AJ161" s="3288"/>
      <c r="AK161" s="3288"/>
      <c r="AL161" s="3288"/>
      <c r="AM161" s="3"/>
    </row>
    <row r="162" spans="15:39" ht="22" customHeight="1">
      <c r="O162" s="3"/>
      <c r="P162" s="3299"/>
      <c r="Q162" s="3268"/>
      <c r="R162" s="3268"/>
      <c r="S162" s="3268"/>
      <c r="T162" s="3268"/>
      <c r="U162" s="3268"/>
      <c r="V162" s="3268"/>
      <c r="W162" s="3268"/>
      <c r="X162" s="3268"/>
      <c r="Y162" s="3268"/>
      <c r="Z162" s="3268"/>
      <c r="AA162" s="3"/>
      <c r="AB162" s="3269" t="s">
        <v>5790</v>
      </c>
      <c r="AC162" s="3270"/>
      <c r="AD162" s="3270"/>
      <c r="AE162" s="3270"/>
      <c r="AF162" s="3270"/>
      <c r="AG162" s="3270"/>
      <c r="AH162" s="3270"/>
      <c r="AI162" s="3270"/>
      <c r="AJ162" s="3270"/>
      <c r="AK162" s="3270"/>
      <c r="AL162" s="3270"/>
      <c r="AM162" s="3"/>
    </row>
    <row r="163" spans="15:39" ht="22" customHeight="1">
      <c r="O163" s="3"/>
      <c r="P163" s="3299"/>
      <c r="Q163" s="3268"/>
      <c r="R163" s="3268"/>
      <c r="S163" s="3268"/>
      <c r="T163" s="3268"/>
      <c r="U163" s="3268"/>
      <c r="V163" s="3268"/>
      <c r="W163" s="3268"/>
      <c r="X163" s="3268"/>
      <c r="Y163" s="3268"/>
      <c r="Z163" s="3268"/>
      <c r="AA163" s="3"/>
      <c r="AB163" s="3300" t="s">
        <v>5531</v>
      </c>
      <c r="AC163" s="3268" t="s">
        <v>5791</v>
      </c>
      <c r="AD163" s="3271"/>
      <c r="AE163" s="3271"/>
      <c r="AF163" s="3271"/>
      <c r="AG163" s="3271"/>
      <c r="AH163" s="3271"/>
      <c r="AI163" s="3271"/>
      <c r="AJ163" s="3271"/>
      <c r="AK163" s="3271"/>
      <c r="AL163" s="3271"/>
      <c r="AM163" s="3"/>
    </row>
    <row r="164" spans="15:39" ht="22" customHeight="1">
      <c r="O164" s="3"/>
      <c r="P164" s="3298" t="s">
        <v>108</v>
      </c>
      <c r="Q164" s="3268" t="s">
        <v>5792</v>
      </c>
      <c r="R164" s="3268"/>
      <c r="S164" s="3268"/>
      <c r="T164" s="3268"/>
      <c r="U164" s="3268"/>
      <c r="V164" s="3268"/>
      <c r="W164" s="3268"/>
      <c r="X164" s="3268"/>
      <c r="Y164" s="3268"/>
      <c r="Z164" s="3268"/>
      <c r="AA164" s="3"/>
      <c r="AB164" s="3301"/>
      <c r="AC164" s="3271"/>
      <c r="AD164" s="3271"/>
      <c r="AE164" s="3271"/>
      <c r="AF164" s="3271"/>
      <c r="AG164" s="3271"/>
      <c r="AH164" s="3271"/>
      <c r="AI164" s="3271"/>
      <c r="AJ164" s="3271"/>
      <c r="AK164" s="3271"/>
      <c r="AL164" s="3271"/>
      <c r="AM164" s="3"/>
    </row>
    <row r="165" spans="15:39" ht="22" customHeight="1">
      <c r="O165" s="3"/>
      <c r="P165" s="3299"/>
      <c r="Q165" s="3268"/>
      <c r="R165" s="3268"/>
      <c r="S165" s="3268"/>
      <c r="T165" s="3268"/>
      <c r="U165" s="3268"/>
      <c r="V165" s="3268"/>
      <c r="W165" s="3268"/>
      <c r="X165" s="3268"/>
      <c r="Y165" s="3268"/>
      <c r="Z165" s="3268"/>
      <c r="AA165" s="3"/>
      <c r="AB165" s="3301"/>
      <c r="AC165" s="3271"/>
      <c r="AD165" s="3271"/>
      <c r="AE165" s="3271"/>
      <c r="AF165" s="3271"/>
      <c r="AG165" s="3271"/>
      <c r="AH165" s="3271"/>
      <c r="AI165" s="3271"/>
      <c r="AJ165" s="3271"/>
      <c r="AK165" s="3271"/>
      <c r="AL165" s="3271"/>
      <c r="AM165" s="3"/>
    </row>
    <row r="166" spans="15:39" ht="22" customHeight="1">
      <c r="O166" s="3"/>
      <c r="AA166" s="3"/>
      <c r="AB166" s="3301"/>
      <c r="AC166" s="3268" t="s">
        <v>5793</v>
      </c>
      <c r="AD166" s="3271"/>
      <c r="AE166" s="3271"/>
      <c r="AF166" s="3271"/>
      <c r="AG166" s="3271"/>
      <c r="AH166" s="3271"/>
      <c r="AI166" s="3271"/>
      <c r="AJ166" s="3271"/>
      <c r="AK166" s="3271"/>
      <c r="AL166" s="3271"/>
      <c r="AM166" s="3"/>
    </row>
    <row r="167" spans="15:39" ht="22" customHeight="1">
      <c r="O167" s="3"/>
      <c r="AA167" s="3"/>
      <c r="AB167" s="3301"/>
      <c r="AC167" s="3271"/>
      <c r="AD167" s="3271"/>
      <c r="AE167" s="3271"/>
      <c r="AF167" s="3271"/>
      <c r="AG167" s="3271"/>
      <c r="AH167" s="3271"/>
      <c r="AI167" s="3271"/>
      <c r="AJ167" s="3271"/>
      <c r="AK167" s="3271"/>
      <c r="AL167" s="3271"/>
      <c r="AM167" s="3"/>
    </row>
    <row r="168" spans="15:39" ht="22" customHeight="1">
      <c r="O168" s="3"/>
      <c r="AA168" s="3"/>
      <c r="AB168" s="3301"/>
      <c r="AC168" s="3268" t="s">
        <v>5794</v>
      </c>
      <c r="AD168" s="3271"/>
      <c r="AE168" s="3271"/>
      <c r="AF168" s="3271"/>
      <c r="AG168" s="3271"/>
      <c r="AH168" s="3271"/>
      <c r="AI168" s="3271"/>
      <c r="AJ168" s="3271"/>
      <c r="AK168" s="3271"/>
      <c r="AL168" s="3271"/>
      <c r="AM168" s="3"/>
    </row>
    <row r="169" spans="15:39" ht="22" customHeight="1">
      <c r="O169" s="3"/>
      <c r="AA169" s="3"/>
      <c r="AB169" s="3301"/>
      <c r="AC169" s="3271"/>
      <c r="AD169" s="3271"/>
      <c r="AE169" s="3271"/>
      <c r="AF169" s="3271"/>
      <c r="AG169" s="3271"/>
      <c r="AH169" s="3271"/>
      <c r="AI169" s="3271"/>
      <c r="AJ169" s="3271"/>
      <c r="AK169" s="3271"/>
      <c r="AL169" s="3271"/>
      <c r="AM169" s="3"/>
    </row>
    <row r="170" spans="15:39" ht="22" customHeight="1">
      <c r="O170" s="3"/>
      <c r="AA170" s="3"/>
      <c r="AB170" s="3301"/>
      <c r="AC170" s="3268" t="s">
        <v>5795</v>
      </c>
      <c r="AD170" s="3268"/>
      <c r="AE170" s="3268"/>
      <c r="AF170" s="3268"/>
      <c r="AG170" s="3268"/>
      <c r="AH170" s="3268"/>
      <c r="AI170" s="3268"/>
      <c r="AJ170" s="3268"/>
      <c r="AK170" s="3268"/>
      <c r="AL170" s="3268"/>
      <c r="AM170" s="3"/>
    </row>
    <row r="171" spans="15:39" ht="22" customHeight="1">
      <c r="O171" s="3"/>
      <c r="AA171" s="3"/>
      <c r="AB171" s="3301"/>
      <c r="AC171" s="3268"/>
      <c r="AD171" s="3268"/>
      <c r="AE171" s="3268"/>
      <c r="AF171" s="3268"/>
      <c r="AG171" s="3268"/>
      <c r="AH171" s="3268"/>
      <c r="AI171" s="3268"/>
      <c r="AJ171" s="3268"/>
      <c r="AK171" s="3268"/>
      <c r="AL171" s="3268"/>
      <c r="AM171" s="3"/>
    </row>
    <row r="172" spans="15:39" ht="22" customHeight="1">
      <c r="O172" s="3"/>
      <c r="AA172" s="3"/>
      <c r="AB172" s="3301"/>
      <c r="AC172" s="3271" t="s">
        <v>5796</v>
      </c>
      <c r="AD172" s="3271"/>
      <c r="AE172" s="3271"/>
      <c r="AF172" s="3271"/>
      <c r="AG172" s="3271"/>
      <c r="AH172" s="3271"/>
      <c r="AI172" s="3271"/>
      <c r="AJ172" s="3271"/>
      <c r="AK172" s="3271"/>
      <c r="AL172" s="3271"/>
      <c r="AM172" s="3"/>
    </row>
    <row r="173" spans="15:39" ht="22" customHeight="1">
      <c r="O173" s="3"/>
      <c r="AA173" s="3"/>
      <c r="AB173" s="3301"/>
      <c r="AC173" s="3271" t="s">
        <v>5797</v>
      </c>
      <c r="AD173" s="3271"/>
      <c r="AE173" s="3271"/>
      <c r="AF173" s="3271"/>
      <c r="AG173" s="3271"/>
      <c r="AH173" s="3271"/>
      <c r="AI173" s="3271"/>
      <c r="AJ173" s="3271"/>
      <c r="AK173" s="3271"/>
      <c r="AL173" s="3271"/>
      <c r="AM173" s="3"/>
    </row>
    <row r="174" spans="15:39" ht="22" customHeight="1">
      <c r="O174" s="3"/>
      <c r="AA174" s="3"/>
      <c r="AB174" s="3301"/>
      <c r="AC174" s="3271" t="s">
        <v>5798</v>
      </c>
      <c r="AD174" s="3271"/>
      <c r="AE174" s="3271"/>
      <c r="AF174" s="3271"/>
      <c r="AG174" s="3271"/>
      <c r="AH174" s="3271"/>
      <c r="AI174" s="3271"/>
      <c r="AJ174" s="3271"/>
      <c r="AK174" s="3271"/>
      <c r="AL174" s="3271"/>
      <c r="AM174" s="3"/>
    </row>
    <row r="175" spans="15:39" ht="22" customHeight="1">
      <c r="O175" s="3"/>
      <c r="AA175" s="3"/>
      <c r="AB175" s="3301"/>
      <c r="AC175" s="3271" t="s">
        <v>5799</v>
      </c>
      <c r="AD175" s="3271"/>
      <c r="AE175" s="3271"/>
      <c r="AF175" s="3271"/>
      <c r="AG175" s="3271"/>
      <c r="AH175" s="3271"/>
      <c r="AI175" s="3271"/>
      <c r="AJ175" s="3271"/>
      <c r="AK175" s="3271"/>
      <c r="AL175" s="3271"/>
      <c r="AM175" s="3"/>
    </row>
    <row r="176" spans="15:39" ht="22" customHeight="1">
      <c r="O176" s="3"/>
      <c r="AA176" s="3"/>
      <c r="AB176" s="3301"/>
      <c r="AC176" s="3268" t="s">
        <v>5800</v>
      </c>
      <c r="AD176" s="3268"/>
      <c r="AE176" s="3268"/>
      <c r="AF176" s="3268"/>
      <c r="AG176" s="3268"/>
      <c r="AH176" s="3268"/>
      <c r="AI176" s="3268"/>
      <c r="AJ176" s="3268"/>
      <c r="AK176" s="3268"/>
      <c r="AL176" s="3268"/>
      <c r="AM176" s="3"/>
    </row>
    <row r="177" spans="15:39" ht="22" customHeight="1">
      <c r="O177" s="3"/>
      <c r="AA177" s="3"/>
      <c r="AB177" s="3301"/>
      <c r="AC177" s="3268"/>
      <c r="AD177" s="3268"/>
      <c r="AE177" s="3268"/>
      <c r="AF177" s="3268"/>
      <c r="AG177" s="3268"/>
      <c r="AH177" s="3268"/>
      <c r="AI177" s="3268"/>
      <c r="AJ177" s="3268"/>
      <c r="AK177" s="3268"/>
      <c r="AL177" s="3268"/>
      <c r="AM177" s="3"/>
    </row>
    <row r="178" spans="15:39" ht="22" customHeight="1">
      <c r="O178" s="3"/>
      <c r="AA178" s="3"/>
      <c r="AB178" s="3301"/>
      <c r="AC178" s="3268"/>
      <c r="AD178" s="3268"/>
      <c r="AE178" s="3268"/>
      <c r="AF178" s="3268"/>
      <c r="AG178" s="3268"/>
      <c r="AH178" s="3268"/>
      <c r="AI178" s="3268"/>
      <c r="AJ178" s="3268"/>
      <c r="AK178" s="3268"/>
      <c r="AL178" s="3268"/>
      <c r="AM178" s="3"/>
    </row>
    <row r="179" spans="15:39" ht="22" customHeight="1">
      <c r="O179" s="3"/>
      <c r="AA179" s="3"/>
      <c r="AB179" s="7" t="s">
        <v>5577</v>
      </c>
      <c r="AC179" s="3271" t="s">
        <v>5801</v>
      </c>
      <c r="AD179" s="3271"/>
      <c r="AE179" s="3271"/>
      <c r="AF179" s="3271"/>
      <c r="AG179" s="3271"/>
      <c r="AH179" s="3271"/>
      <c r="AI179" s="3271"/>
      <c r="AJ179" s="3271"/>
      <c r="AK179" s="3271"/>
      <c r="AL179" s="3271"/>
      <c r="AM179" s="3"/>
    </row>
    <row r="180" spans="15:39" ht="22" customHeight="1">
      <c r="O180" s="3"/>
      <c r="AA180" s="3"/>
      <c r="AB180" s="3303" t="s">
        <v>5802</v>
      </c>
      <c r="AC180" s="3271" t="s">
        <v>5803</v>
      </c>
      <c r="AD180" s="3271"/>
      <c r="AE180" s="3271"/>
      <c r="AF180" s="3271"/>
      <c r="AG180" s="3271"/>
      <c r="AH180" s="3271"/>
      <c r="AI180" s="3271"/>
      <c r="AJ180" s="3271"/>
      <c r="AK180" s="3271"/>
      <c r="AL180" s="3271"/>
      <c r="AM180" s="3"/>
    </row>
    <row r="181" spans="15:39" ht="22" customHeight="1">
      <c r="O181" s="3"/>
      <c r="AA181" s="3"/>
      <c r="AB181" s="3295"/>
      <c r="AC181" s="3271" t="s">
        <v>5804</v>
      </c>
      <c r="AD181" s="3271"/>
      <c r="AE181" s="3271"/>
      <c r="AF181" s="3271"/>
      <c r="AG181" s="3271"/>
      <c r="AH181" s="3271"/>
      <c r="AI181" s="3271"/>
      <c r="AJ181" s="3271"/>
      <c r="AK181" s="3271"/>
      <c r="AL181" s="3271"/>
      <c r="AM181" s="3"/>
    </row>
    <row r="182" spans="15:39" ht="22" customHeight="1">
      <c r="O182" s="3"/>
      <c r="AA182" s="3"/>
      <c r="AB182" s="3295"/>
      <c r="AC182" s="3271" t="s">
        <v>5805</v>
      </c>
      <c r="AD182" s="3271"/>
      <c r="AE182" s="3271"/>
      <c r="AF182" s="3271"/>
      <c r="AG182" s="3271"/>
      <c r="AH182" s="3271"/>
      <c r="AI182" s="3271"/>
      <c r="AJ182" s="3271"/>
      <c r="AK182" s="3271"/>
      <c r="AL182" s="3271"/>
      <c r="AM182" s="3"/>
    </row>
    <row r="183" spans="15:39" ht="22" customHeight="1">
      <c r="O183" s="3"/>
      <c r="AA183" s="3"/>
      <c r="AB183" s="3295"/>
      <c r="AC183" s="3271" t="s">
        <v>5806</v>
      </c>
      <c r="AD183" s="3271"/>
      <c r="AE183" s="3271"/>
      <c r="AF183" s="3271"/>
      <c r="AG183" s="3271"/>
      <c r="AH183" s="3271"/>
      <c r="AI183" s="3271"/>
      <c r="AJ183" s="3271"/>
      <c r="AK183" s="3271"/>
      <c r="AL183" s="3271"/>
      <c r="AM183" s="3"/>
    </row>
    <row r="184" spans="15:39" ht="22" customHeight="1">
      <c r="O184" s="3"/>
      <c r="AA184" s="3"/>
      <c r="AB184" s="3295"/>
      <c r="AC184" s="3302" t="s">
        <v>5807</v>
      </c>
      <c r="AD184" s="3302"/>
      <c r="AE184" s="3302"/>
      <c r="AF184" s="3302"/>
      <c r="AG184" s="3302"/>
      <c r="AH184" s="3302"/>
      <c r="AI184" s="3302"/>
      <c r="AJ184" s="3302"/>
      <c r="AK184" s="3302"/>
      <c r="AL184" s="3302"/>
      <c r="AM184" s="3"/>
    </row>
    <row r="185" spans="15:39" ht="22" customHeight="1">
      <c r="O185" s="3"/>
      <c r="AA185" s="3"/>
      <c r="AB185" s="3269" t="s">
        <v>5808</v>
      </c>
      <c r="AC185" s="3270"/>
      <c r="AD185" s="3270"/>
      <c r="AE185" s="3270"/>
      <c r="AF185" s="3270"/>
      <c r="AG185" s="3270"/>
      <c r="AH185" s="3270"/>
      <c r="AI185" s="3270"/>
      <c r="AJ185" s="3270"/>
      <c r="AK185" s="3270"/>
      <c r="AL185" s="3270"/>
      <c r="AM185" s="3"/>
    </row>
    <row r="186" spans="15:39" ht="22" customHeight="1">
      <c r="O186" s="3"/>
      <c r="AA186" s="3"/>
      <c r="AB186" s="3300" t="s">
        <v>5531</v>
      </c>
      <c r="AC186" s="3271" t="s">
        <v>5809</v>
      </c>
      <c r="AD186" s="3271"/>
      <c r="AE186" s="3271"/>
      <c r="AF186" s="3271"/>
      <c r="AG186" s="3271"/>
      <c r="AH186" s="3271"/>
      <c r="AI186" s="3271"/>
      <c r="AJ186" s="3271"/>
      <c r="AK186" s="3271"/>
      <c r="AL186" s="3271"/>
      <c r="AM186" s="3"/>
    </row>
    <row r="187" spans="15:39" ht="22" customHeight="1">
      <c r="O187" s="3"/>
      <c r="AA187" s="3"/>
      <c r="AB187" s="3301"/>
      <c r="AC187" s="3342" t="s">
        <v>5810</v>
      </c>
      <c r="AD187" s="3291"/>
      <c r="AE187" s="3291"/>
      <c r="AF187" s="3291"/>
      <c r="AG187" s="3291"/>
      <c r="AH187" s="3291"/>
      <c r="AI187" s="3291"/>
      <c r="AJ187" s="3291"/>
      <c r="AK187" s="3291"/>
      <c r="AL187" s="3291"/>
      <c r="AM187" s="3"/>
    </row>
    <row r="188" spans="15:39" ht="22" customHeight="1">
      <c r="O188" s="3"/>
      <c r="AA188" s="3"/>
      <c r="AB188" s="3301"/>
      <c r="AC188" s="3291"/>
      <c r="AD188" s="3291"/>
      <c r="AE188" s="3291"/>
      <c r="AF188" s="3291"/>
      <c r="AG188" s="3291"/>
      <c r="AH188" s="3291"/>
      <c r="AI188" s="3291"/>
      <c r="AJ188" s="3291"/>
      <c r="AK188" s="3291"/>
      <c r="AL188" s="3291"/>
      <c r="AM188" s="3"/>
    </row>
    <row r="189" spans="15:39" ht="22" customHeight="1">
      <c r="O189" s="3"/>
      <c r="AA189" s="3"/>
      <c r="AB189" s="3301"/>
      <c r="AC189" s="3271" t="s">
        <v>5811</v>
      </c>
      <c r="AD189" s="3271"/>
      <c r="AE189" s="3271"/>
      <c r="AF189" s="3271"/>
      <c r="AG189" s="3271"/>
      <c r="AH189" s="3271"/>
      <c r="AI189" s="3271"/>
      <c r="AJ189" s="3271"/>
      <c r="AK189" s="3271"/>
      <c r="AL189" s="3271"/>
      <c r="AM189" s="3"/>
    </row>
    <row r="190" spans="15:39" ht="22" customHeight="1">
      <c r="O190" s="3"/>
      <c r="AA190" s="3"/>
      <c r="AB190" s="3301"/>
      <c r="AC190" s="3271" t="s">
        <v>5812</v>
      </c>
      <c r="AD190" s="3271"/>
      <c r="AE190" s="3271"/>
      <c r="AF190" s="3271"/>
      <c r="AG190" s="3271"/>
      <c r="AH190" s="3271"/>
      <c r="AI190" s="3271"/>
      <c r="AJ190" s="3271"/>
      <c r="AK190" s="3271"/>
      <c r="AL190" s="3271"/>
      <c r="AM190" s="3"/>
    </row>
    <row r="191" spans="15:39" ht="22" customHeight="1">
      <c r="O191" s="3"/>
      <c r="AA191" s="3"/>
      <c r="AB191" s="3301"/>
      <c r="AC191" s="3271" t="s">
        <v>5656</v>
      </c>
      <c r="AD191" s="3271"/>
      <c r="AE191" s="3271"/>
      <c r="AF191" s="3271"/>
      <c r="AG191" s="3271"/>
      <c r="AH191" s="3271"/>
      <c r="AI191" s="3271"/>
      <c r="AJ191" s="3271"/>
      <c r="AK191" s="3271"/>
      <c r="AL191" s="3271"/>
      <c r="AM191" s="3"/>
    </row>
    <row r="192" spans="15:39" ht="22" customHeight="1">
      <c r="O192" s="3"/>
      <c r="AA192" s="3"/>
      <c r="AB192" s="4" t="s">
        <v>5549</v>
      </c>
      <c r="AC192" s="3271" t="s">
        <v>5813</v>
      </c>
      <c r="AD192" s="3271"/>
      <c r="AE192" s="3271"/>
      <c r="AF192" s="3271"/>
      <c r="AG192" s="3271"/>
      <c r="AH192" s="3271"/>
      <c r="AI192" s="3271"/>
      <c r="AJ192" s="3271"/>
      <c r="AK192" s="3271"/>
      <c r="AL192" s="3271"/>
      <c r="AM192" s="3"/>
    </row>
    <row r="193" spans="15:39" ht="22" customHeight="1">
      <c r="O193" s="3"/>
      <c r="AA193" s="3"/>
      <c r="AB193" s="10" t="s">
        <v>5545</v>
      </c>
      <c r="AC193" s="3271" t="s">
        <v>5814</v>
      </c>
      <c r="AD193" s="3271"/>
      <c r="AE193" s="3271"/>
      <c r="AF193" s="3271"/>
      <c r="AG193" s="3271"/>
      <c r="AH193" s="3271"/>
      <c r="AI193" s="3271"/>
      <c r="AJ193" s="3271"/>
      <c r="AK193" s="3271"/>
      <c r="AL193" s="3271"/>
      <c r="AM193" s="3"/>
    </row>
    <row r="194" spans="15:39" ht="22" customHeight="1">
      <c r="O194" s="3"/>
      <c r="AA194" s="3"/>
      <c r="AB194" s="11" t="s">
        <v>5815</v>
      </c>
      <c r="AC194" s="3271" t="s">
        <v>5816</v>
      </c>
      <c r="AD194" s="3271"/>
      <c r="AE194" s="3271"/>
      <c r="AF194" s="3271"/>
      <c r="AG194" s="3271"/>
      <c r="AH194" s="3271"/>
      <c r="AI194" s="3271"/>
      <c r="AJ194" s="3271"/>
      <c r="AK194" s="3271"/>
      <c r="AL194" s="3271"/>
      <c r="AM194" s="3"/>
    </row>
    <row r="195" spans="15:39" ht="22" customHeight="1">
      <c r="O195" s="3"/>
      <c r="AA195" s="3"/>
      <c r="AB195" s="3304" t="s">
        <v>5558</v>
      </c>
      <c r="AC195" s="3271" t="s">
        <v>5816</v>
      </c>
      <c r="AD195" s="3271"/>
      <c r="AE195" s="3271"/>
      <c r="AF195" s="3271"/>
      <c r="AG195" s="3271"/>
      <c r="AH195" s="3271"/>
      <c r="AI195" s="3271"/>
      <c r="AJ195" s="3271"/>
      <c r="AK195" s="3271"/>
      <c r="AL195" s="3271"/>
      <c r="AM195" s="3"/>
    </row>
    <row r="196" spans="15:39" ht="22" customHeight="1">
      <c r="O196" s="3"/>
      <c r="AA196" s="3"/>
      <c r="AB196" s="3305"/>
      <c r="AC196" s="3271" t="s">
        <v>5817</v>
      </c>
      <c r="AD196" s="3271"/>
      <c r="AE196" s="3271"/>
      <c r="AF196" s="3271"/>
      <c r="AG196" s="3271"/>
      <c r="AH196" s="3271"/>
      <c r="AI196" s="3271"/>
      <c r="AJ196" s="3271"/>
      <c r="AK196" s="3271"/>
      <c r="AL196" s="3271"/>
      <c r="AM196" s="3"/>
    </row>
    <row r="197" spans="15:39" ht="22" customHeight="1">
      <c r="O197" s="3"/>
      <c r="AA197" s="3"/>
      <c r="AB197" s="3269" t="s">
        <v>5818</v>
      </c>
      <c r="AC197" s="3270"/>
      <c r="AD197" s="3270"/>
      <c r="AE197" s="3270"/>
      <c r="AF197" s="3270"/>
      <c r="AG197" s="3270"/>
      <c r="AH197" s="3270"/>
      <c r="AI197" s="3270"/>
      <c r="AJ197" s="3270"/>
      <c r="AK197" s="3270"/>
      <c r="AL197" s="3270"/>
      <c r="AM197" s="3"/>
    </row>
    <row r="198" spans="15:39" ht="22" customHeight="1">
      <c r="O198" s="3"/>
      <c r="AA198" s="3"/>
      <c r="AB198" s="3306" t="s">
        <v>5531</v>
      </c>
      <c r="AC198" s="3271" t="s">
        <v>5819</v>
      </c>
      <c r="AD198" s="3271"/>
      <c r="AE198" s="3271"/>
      <c r="AF198" s="3271"/>
      <c r="AG198" s="3271"/>
      <c r="AH198" s="3271"/>
      <c r="AI198" s="3271"/>
      <c r="AJ198" s="3271"/>
      <c r="AK198" s="3271"/>
      <c r="AL198" s="3271"/>
      <c r="AM198" s="3"/>
    </row>
    <row r="199" spans="15:39" ht="22" customHeight="1">
      <c r="O199" s="3"/>
      <c r="AA199" s="3"/>
      <c r="AB199" s="3307"/>
      <c r="AC199" s="3271" t="s">
        <v>5820</v>
      </c>
      <c r="AD199" s="3271"/>
      <c r="AE199" s="3271"/>
      <c r="AF199" s="3271"/>
      <c r="AG199" s="3271"/>
      <c r="AH199" s="3271"/>
      <c r="AI199" s="3271"/>
      <c r="AJ199" s="3271"/>
      <c r="AK199" s="3271"/>
      <c r="AL199" s="3271"/>
      <c r="AM199" s="3"/>
    </row>
    <row r="200" spans="15:39" ht="22" customHeight="1">
      <c r="O200" s="3"/>
      <c r="AA200" s="3"/>
      <c r="AB200" s="3307"/>
      <c r="AC200" s="3271" t="s">
        <v>5821</v>
      </c>
      <c r="AD200" s="3271"/>
      <c r="AE200" s="3271"/>
      <c r="AF200" s="3271"/>
      <c r="AG200" s="3271"/>
      <c r="AH200" s="3271"/>
      <c r="AI200" s="3271"/>
      <c r="AJ200" s="3271"/>
      <c r="AK200" s="3271"/>
      <c r="AL200" s="3271"/>
      <c r="AM200" s="3"/>
    </row>
    <row r="201" spans="15:39" ht="22" customHeight="1">
      <c r="O201" s="3"/>
      <c r="AA201" s="3"/>
      <c r="AB201" s="3307"/>
      <c r="AC201" s="3268" t="s">
        <v>5822</v>
      </c>
      <c r="AD201" s="3271"/>
      <c r="AE201" s="3271"/>
      <c r="AF201" s="3271"/>
      <c r="AG201" s="3271"/>
      <c r="AH201" s="3271"/>
      <c r="AI201" s="3271"/>
      <c r="AJ201" s="3271"/>
      <c r="AK201" s="3271"/>
      <c r="AL201" s="3271"/>
      <c r="AM201" s="3"/>
    </row>
    <row r="202" spans="15:39" ht="22" customHeight="1">
      <c r="O202" s="3"/>
      <c r="AA202" s="3"/>
      <c r="AB202" s="3307"/>
      <c r="AC202" s="3271"/>
      <c r="AD202" s="3271"/>
      <c r="AE202" s="3271"/>
      <c r="AF202" s="3271"/>
      <c r="AG202" s="3271"/>
      <c r="AH202" s="3271"/>
      <c r="AI202" s="3271"/>
      <c r="AJ202" s="3271"/>
      <c r="AK202" s="3271"/>
      <c r="AL202" s="3271"/>
      <c r="AM202" s="3"/>
    </row>
    <row r="203" spans="15:39" ht="22" customHeight="1">
      <c r="O203" s="3"/>
      <c r="AA203" s="3"/>
      <c r="AB203" s="3307"/>
      <c r="AC203" s="3271" t="s">
        <v>5823</v>
      </c>
      <c r="AD203" s="3271"/>
      <c r="AE203" s="3271"/>
      <c r="AF203" s="3271"/>
      <c r="AG203" s="3271"/>
      <c r="AH203" s="3271"/>
      <c r="AI203" s="3271"/>
      <c r="AJ203" s="3271"/>
      <c r="AK203" s="3271"/>
      <c r="AL203" s="3271"/>
      <c r="AM203" s="3"/>
    </row>
    <row r="204" spans="15:39" ht="22" customHeight="1">
      <c r="O204" s="3"/>
      <c r="AA204" s="3"/>
      <c r="AB204" s="3280" t="s">
        <v>5577</v>
      </c>
      <c r="AC204" s="3271" t="s">
        <v>5824</v>
      </c>
      <c r="AD204" s="3271"/>
      <c r="AE204" s="3271"/>
      <c r="AF204" s="3271"/>
      <c r="AG204" s="3271"/>
      <c r="AH204" s="3271"/>
      <c r="AI204" s="3271"/>
      <c r="AJ204" s="3271"/>
      <c r="AK204" s="3271"/>
      <c r="AL204" s="3271"/>
      <c r="AM204" s="3"/>
    </row>
    <row r="205" spans="15:39" ht="22" customHeight="1">
      <c r="O205" s="3"/>
      <c r="AA205" s="3"/>
      <c r="AB205" s="3281"/>
      <c r="AC205" s="3342" t="s">
        <v>5825</v>
      </c>
      <c r="AD205" s="3291"/>
      <c r="AE205" s="3291"/>
      <c r="AF205" s="3291"/>
      <c r="AG205" s="3291"/>
      <c r="AH205" s="3291"/>
      <c r="AI205" s="3291"/>
      <c r="AJ205" s="3291"/>
      <c r="AK205" s="3291"/>
      <c r="AL205" s="3291"/>
      <c r="AM205" s="3"/>
    </row>
    <row r="206" spans="15:39" ht="22" customHeight="1">
      <c r="O206" s="3"/>
      <c r="AA206" s="3"/>
      <c r="AB206" s="3281"/>
      <c r="AC206" s="3291"/>
      <c r="AD206" s="3291"/>
      <c r="AE206" s="3291"/>
      <c r="AF206" s="3291"/>
      <c r="AG206" s="3291"/>
      <c r="AH206" s="3291"/>
      <c r="AI206" s="3291"/>
      <c r="AJ206" s="3291"/>
      <c r="AK206" s="3291"/>
      <c r="AL206" s="3291"/>
      <c r="AM206" s="3"/>
    </row>
    <row r="207" spans="15:39" ht="22" customHeight="1">
      <c r="O207" s="3"/>
      <c r="AA207" s="3"/>
      <c r="AB207" s="3281"/>
      <c r="AC207" s="3291"/>
      <c r="AD207" s="3291"/>
      <c r="AE207" s="3291"/>
      <c r="AF207" s="3291"/>
      <c r="AG207" s="3291"/>
      <c r="AH207" s="3291"/>
      <c r="AI207" s="3291"/>
      <c r="AJ207" s="3291"/>
      <c r="AK207" s="3291"/>
      <c r="AL207" s="3291"/>
      <c r="AM207" s="3"/>
    </row>
    <row r="208" spans="15:39" ht="22" customHeight="1">
      <c r="O208" s="3"/>
      <c r="AA208" s="3"/>
      <c r="AB208" s="3281"/>
      <c r="AC208" s="3271" t="s">
        <v>5826</v>
      </c>
      <c r="AD208" s="3271"/>
      <c r="AE208" s="3271"/>
      <c r="AF208" s="3271"/>
      <c r="AG208" s="3271"/>
      <c r="AH208" s="3271"/>
      <c r="AI208" s="3271"/>
      <c r="AJ208" s="3271"/>
      <c r="AK208" s="3271"/>
      <c r="AL208" s="3271"/>
      <c r="AM208" s="3"/>
    </row>
    <row r="209" spans="15:39" ht="22" customHeight="1">
      <c r="O209" s="3"/>
      <c r="AA209" s="3"/>
      <c r="AB209" s="3281"/>
      <c r="AC209" s="3268" t="s">
        <v>5827</v>
      </c>
      <c r="AD209" s="3268"/>
      <c r="AE209" s="3268"/>
      <c r="AF209" s="3268"/>
      <c r="AG209" s="3268"/>
      <c r="AH209" s="3268"/>
      <c r="AI209" s="3268"/>
      <c r="AJ209" s="3268"/>
      <c r="AK209" s="3268"/>
      <c r="AL209" s="3268"/>
      <c r="AM209" s="3"/>
    </row>
    <row r="210" spans="15:39" ht="22" customHeight="1">
      <c r="O210" s="3"/>
      <c r="AA210" s="3"/>
      <c r="AB210" s="3281"/>
      <c r="AC210" s="3268"/>
      <c r="AD210" s="3268"/>
      <c r="AE210" s="3268"/>
      <c r="AF210" s="3268"/>
      <c r="AG210" s="3268"/>
      <c r="AH210" s="3268"/>
      <c r="AI210" s="3268"/>
      <c r="AJ210" s="3268"/>
      <c r="AK210" s="3268"/>
      <c r="AL210" s="3268"/>
      <c r="AM210" s="3"/>
    </row>
    <row r="211" spans="15:39" ht="22" customHeight="1">
      <c r="O211" s="3"/>
      <c r="AA211" s="3"/>
      <c r="AB211" s="3281"/>
      <c r="AC211" s="3268"/>
      <c r="AD211" s="3268"/>
      <c r="AE211" s="3268"/>
      <c r="AF211" s="3268"/>
      <c r="AG211" s="3268"/>
      <c r="AH211" s="3268"/>
      <c r="AI211" s="3268"/>
      <c r="AJ211" s="3268"/>
      <c r="AK211" s="3268"/>
      <c r="AL211" s="3268"/>
      <c r="AM211" s="3"/>
    </row>
    <row r="212" spans="15:39" ht="22" customHeight="1">
      <c r="O212" s="3"/>
      <c r="AA212" s="3"/>
      <c r="AB212" s="3281"/>
      <c r="AC212" s="3268"/>
      <c r="AD212" s="3268"/>
      <c r="AE212" s="3268"/>
      <c r="AF212" s="3268"/>
      <c r="AG212" s="3268"/>
      <c r="AH212" s="3268"/>
      <c r="AI212" s="3268"/>
      <c r="AJ212" s="3268"/>
      <c r="AK212" s="3268"/>
      <c r="AL212" s="3268"/>
      <c r="AM212" s="3"/>
    </row>
    <row r="213" spans="15:39" ht="22" customHeight="1">
      <c r="O213" s="3"/>
      <c r="AA213" s="3"/>
      <c r="AB213" s="3281"/>
      <c r="AC213" s="3268"/>
      <c r="AD213" s="3268"/>
      <c r="AE213" s="3268"/>
      <c r="AF213" s="3268"/>
      <c r="AG213" s="3268"/>
      <c r="AH213" s="3268"/>
      <c r="AI213" s="3268"/>
      <c r="AJ213" s="3268"/>
      <c r="AK213" s="3268"/>
      <c r="AL213" s="3268"/>
      <c r="AM213" s="3"/>
    </row>
    <row r="214" spans="15:39" ht="22" customHeight="1">
      <c r="O214" s="3"/>
      <c r="AA214" s="3"/>
      <c r="AB214" s="3281"/>
      <c r="AC214" s="3271" t="s">
        <v>5828</v>
      </c>
      <c r="AD214" s="3271"/>
      <c r="AE214" s="3271"/>
      <c r="AF214" s="3271"/>
      <c r="AG214" s="3271"/>
      <c r="AH214" s="3271"/>
      <c r="AI214" s="3271"/>
      <c r="AJ214" s="3271"/>
      <c r="AK214" s="3271"/>
      <c r="AL214" s="3271"/>
      <c r="AM214" s="3"/>
    </row>
    <row r="215" spans="15:39" ht="22" customHeight="1">
      <c r="O215" s="3"/>
      <c r="AA215" s="3"/>
      <c r="AB215" s="3281"/>
      <c r="AC215" s="3271" t="s">
        <v>5829</v>
      </c>
      <c r="AD215" s="3271"/>
      <c r="AE215" s="3271"/>
      <c r="AF215" s="3271"/>
      <c r="AG215" s="3271"/>
      <c r="AH215" s="3271"/>
      <c r="AI215" s="3271"/>
      <c r="AJ215" s="3271"/>
      <c r="AK215" s="3271"/>
      <c r="AL215" s="3271"/>
      <c r="AM215" s="3"/>
    </row>
    <row r="216" spans="15:39" ht="22" customHeight="1">
      <c r="O216" s="3"/>
      <c r="AA216" s="3"/>
      <c r="AB216" s="3316" t="s">
        <v>5549</v>
      </c>
      <c r="AC216" s="3271" t="s">
        <v>5830</v>
      </c>
      <c r="AD216" s="3271"/>
      <c r="AE216" s="3271"/>
      <c r="AF216" s="3271"/>
      <c r="AG216" s="3271"/>
      <c r="AH216" s="3271"/>
      <c r="AI216" s="3271"/>
      <c r="AJ216" s="3271"/>
      <c r="AK216" s="3271"/>
      <c r="AL216" s="3271"/>
      <c r="AM216" s="3"/>
    </row>
    <row r="217" spans="15:39" ht="22" customHeight="1">
      <c r="O217" s="3"/>
      <c r="AA217" s="3"/>
      <c r="AB217" s="3317"/>
      <c r="AC217" s="3268" t="s">
        <v>5831</v>
      </c>
      <c r="AD217" s="3271"/>
      <c r="AE217" s="3271"/>
      <c r="AF217" s="3271"/>
      <c r="AG217" s="3271"/>
      <c r="AH217" s="3271"/>
      <c r="AI217" s="3271"/>
      <c r="AJ217" s="3271"/>
      <c r="AK217" s="3271"/>
      <c r="AL217" s="3271"/>
      <c r="AM217" s="3"/>
    </row>
    <row r="218" spans="15:39" ht="22" customHeight="1">
      <c r="O218" s="3"/>
      <c r="AA218" s="3"/>
      <c r="AB218" s="3317"/>
      <c r="AC218" s="3271"/>
      <c r="AD218" s="3271"/>
      <c r="AE218" s="3271"/>
      <c r="AF218" s="3271"/>
      <c r="AG218" s="3271"/>
      <c r="AH218" s="3271"/>
      <c r="AI218" s="3271"/>
      <c r="AJ218" s="3271"/>
      <c r="AK218" s="3271"/>
      <c r="AL218" s="3271"/>
      <c r="AM218" s="3"/>
    </row>
    <row r="219" spans="15:39" ht="22" customHeight="1">
      <c r="O219" s="3"/>
      <c r="AA219" s="3"/>
      <c r="AB219" s="4" t="s">
        <v>5558</v>
      </c>
      <c r="AC219" s="3268" t="s">
        <v>5832</v>
      </c>
      <c r="AD219" s="3268"/>
      <c r="AE219" s="3268"/>
      <c r="AF219" s="3268"/>
      <c r="AG219" s="3268"/>
      <c r="AH219" s="3268"/>
      <c r="AI219" s="3268"/>
      <c r="AJ219" s="3268"/>
      <c r="AK219" s="3268"/>
      <c r="AL219" s="3268"/>
      <c r="AM219" s="3"/>
    </row>
    <row r="220" spans="15:39" ht="22" customHeight="1">
      <c r="O220" s="3"/>
      <c r="AA220" s="3"/>
      <c r="AB220" s="3284" t="s">
        <v>5732</v>
      </c>
      <c r="AC220" s="3268" t="s">
        <v>5833</v>
      </c>
      <c r="AD220" s="3271"/>
      <c r="AE220" s="3271"/>
      <c r="AF220" s="3271"/>
      <c r="AG220" s="3271"/>
      <c r="AH220" s="3271"/>
      <c r="AI220" s="3271"/>
      <c r="AJ220" s="3271"/>
      <c r="AK220" s="3271"/>
      <c r="AL220" s="3271"/>
      <c r="AM220" s="3"/>
    </row>
    <row r="221" spans="15:39" ht="22" customHeight="1">
      <c r="O221" s="3"/>
      <c r="AA221" s="3"/>
      <c r="AB221" s="3285"/>
      <c r="AC221" s="3268" t="s">
        <v>5834</v>
      </c>
      <c r="AD221" s="3268"/>
      <c r="AE221" s="3268"/>
      <c r="AF221" s="3268"/>
      <c r="AG221" s="3268"/>
      <c r="AH221" s="3268"/>
      <c r="AI221" s="3268"/>
      <c r="AJ221" s="3268"/>
      <c r="AK221" s="3268"/>
      <c r="AL221" s="3268"/>
      <c r="AM221" s="3"/>
    </row>
    <row r="222" spans="15:39" ht="22" customHeight="1">
      <c r="O222" s="3"/>
      <c r="AA222" s="3"/>
      <c r="AB222" s="3285"/>
      <c r="AC222" s="3268"/>
      <c r="AD222" s="3268"/>
      <c r="AE222" s="3268"/>
      <c r="AF222" s="3268"/>
      <c r="AG222" s="3268"/>
      <c r="AH222" s="3268"/>
      <c r="AI222" s="3268"/>
      <c r="AJ222" s="3268"/>
      <c r="AK222" s="3268"/>
      <c r="AL222" s="3268"/>
      <c r="AM222" s="3"/>
    </row>
    <row r="223" spans="15:39" ht="22" customHeight="1">
      <c r="O223" s="3"/>
      <c r="AA223" s="3"/>
      <c r="AB223" s="3285"/>
      <c r="AC223" s="3268"/>
      <c r="AD223" s="3268"/>
      <c r="AE223" s="3268"/>
      <c r="AF223" s="3268"/>
      <c r="AG223" s="3268"/>
      <c r="AH223" s="3268"/>
      <c r="AI223" s="3268"/>
      <c r="AJ223" s="3268"/>
      <c r="AK223" s="3268"/>
      <c r="AL223" s="3268"/>
      <c r="AM223" s="3"/>
    </row>
    <row r="224" spans="15:39" ht="22" customHeight="1">
      <c r="O224" s="3"/>
      <c r="AA224" s="3"/>
      <c r="AB224" s="3285"/>
      <c r="AC224" s="3268" t="s">
        <v>5835</v>
      </c>
      <c r="AD224" s="3268"/>
      <c r="AE224" s="3268"/>
      <c r="AF224" s="3268"/>
      <c r="AG224" s="3268"/>
      <c r="AH224" s="3268"/>
      <c r="AI224" s="3268"/>
      <c r="AJ224" s="3268"/>
      <c r="AK224" s="3268"/>
      <c r="AL224" s="3268"/>
      <c r="AM224" s="3"/>
    </row>
    <row r="225" spans="15:39" ht="22" customHeight="1">
      <c r="O225" s="3"/>
      <c r="AA225" s="3"/>
      <c r="AB225" s="3269" t="s">
        <v>5836</v>
      </c>
      <c r="AC225" s="3270"/>
      <c r="AD225" s="3270"/>
      <c r="AE225" s="3270"/>
      <c r="AF225" s="3270"/>
      <c r="AG225" s="3270"/>
      <c r="AH225" s="3270"/>
      <c r="AI225" s="3270"/>
      <c r="AJ225" s="3270"/>
      <c r="AK225" s="3270"/>
      <c r="AL225" s="3270"/>
      <c r="AM225" s="3"/>
    </row>
    <row r="226" spans="15:39" ht="22" customHeight="1">
      <c r="O226" s="3"/>
      <c r="AA226" s="3"/>
      <c r="AB226" s="3306" t="s">
        <v>5531</v>
      </c>
      <c r="AC226" s="3271" t="s">
        <v>5837</v>
      </c>
      <c r="AD226" s="3271"/>
      <c r="AE226" s="3271"/>
      <c r="AF226" s="3271"/>
      <c r="AG226" s="3271"/>
      <c r="AH226" s="3271"/>
      <c r="AI226" s="3271"/>
      <c r="AJ226" s="3271"/>
      <c r="AK226" s="3271"/>
      <c r="AL226" s="3271"/>
      <c r="AM226" s="3"/>
    </row>
    <row r="227" spans="15:39" ht="22" customHeight="1">
      <c r="O227" s="3"/>
      <c r="AA227" s="3"/>
      <c r="AB227" s="3307"/>
      <c r="AC227" s="3268" t="s">
        <v>5838</v>
      </c>
      <c r="AD227" s="3271"/>
      <c r="AE227" s="3271"/>
      <c r="AF227" s="3271"/>
      <c r="AG227" s="3271"/>
      <c r="AH227" s="3271"/>
      <c r="AI227" s="3271"/>
      <c r="AJ227" s="3271"/>
      <c r="AK227" s="3271"/>
      <c r="AL227" s="3271"/>
      <c r="AM227" s="3"/>
    </row>
    <row r="228" spans="15:39" ht="22" customHeight="1">
      <c r="O228" s="3"/>
      <c r="AA228" s="3"/>
      <c r="AB228" s="3307"/>
      <c r="AC228" s="3271"/>
      <c r="AD228" s="3271"/>
      <c r="AE228" s="3271"/>
      <c r="AF228" s="3271"/>
      <c r="AG228" s="3271"/>
      <c r="AH228" s="3271"/>
      <c r="AI228" s="3271"/>
      <c r="AJ228" s="3271"/>
      <c r="AK228" s="3271"/>
      <c r="AL228" s="3271"/>
      <c r="AM228" s="3"/>
    </row>
    <row r="229" spans="15:39" ht="22" customHeight="1">
      <c r="O229" s="3"/>
      <c r="AA229" s="3"/>
      <c r="AB229" s="3307"/>
      <c r="AC229" s="3271" t="s">
        <v>5839</v>
      </c>
      <c r="AD229" s="3271"/>
      <c r="AE229" s="3271"/>
      <c r="AF229" s="3271"/>
      <c r="AG229" s="3271"/>
      <c r="AH229" s="3271"/>
      <c r="AI229" s="3271"/>
      <c r="AJ229" s="3271"/>
      <c r="AK229" s="3271"/>
      <c r="AL229" s="3271"/>
      <c r="AM229" s="3"/>
    </row>
    <row r="230" spans="15:39" ht="22" customHeight="1">
      <c r="O230" s="3"/>
      <c r="AA230" s="3"/>
      <c r="AB230" s="3307"/>
      <c r="AC230" s="3268" t="s">
        <v>5840</v>
      </c>
      <c r="AD230" s="3271"/>
      <c r="AE230" s="3271"/>
      <c r="AF230" s="3271"/>
      <c r="AG230" s="3271"/>
      <c r="AH230" s="3271"/>
      <c r="AI230" s="3271"/>
      <c r="AJ230" s="3271"/>
      <c r="AK230" s="3271"/>
      <c r="AL230" s="3271"/>
      <c r="AM230" s="3"/>
    </row>
    <row r="231" spans="15:39" ht="22" customHeight="1">
      <c r="O231" s="3"/>
      <c r="AA231" s="3"/>
      <c r="AB231" s="3307"/>
      <c r="AC231" s="3271"/>
      <c r="AD231" s="3271"/>
      <c r="AE231" s="3271"/>
      <c r="AF231" s="3271"/>
      <c r="AG231" s="3271"/>
      <c r="AH231" s="3271"/>
      <c r="AI231" s="3271"/>
      <c r="AJ231" s="3271"/>
      <c r="AK231" s="3271"/>
      <c r="AL231" s="3271"/>
      <c r="AM231" s="3"/>
    </row>
    <row r="232" spans="15:39" ht="22" customHeight="1">
      <c r="AB232" s="3307"/>
      <c r="AC232" s="3271"/>
      <c r="AD232" s="3271"/>
      <c r="AE232" s="3271"/>
      <c r="AF232" s="3271"/>
      <c r="AG232" s="3271"/>
      <c r="AH232" s="3271"/>
      <c r="AI232" s="3271"/>
      <c r="AJ232" s="3271"/>
      <c r="AK232" s="3271"/>
      <c r="AL232" s="3271"/>
    </row>
    <row r="233" spans="15:39" ht="22" customHeight="1">
      <c r="AB233" s="3307"/>
      <c r="AC233" s="3271"/>
      <c r="AD233" s="3271"/>
      <c r="AE233" s="3271"/>
      <c r="AF233" s="3271"/>
      <c r="AG233" s="3271"/>
      <c r="AH233" s="3271"/>
      <c r="AI233" s="3271"/>
      <c r="AJ233" s="3271"/>
      <c r="AK233" s="3271"/>
      <c r="AL233" s="3271"/>
    </row>
    <row r="234" spans="15:39" ht="22" customHeight="1">
      <c r="AB234" s="3307"/>
      <c r="AC234" s="3271"/>
      <c r="AD234" s="3271"/>
      <c r="AE234" s="3271"/>
      <c r="AF234" s="3271"/>
      <c r="AG234" s="3271"/>
      <c r="AH234" s="3271"/>
      <c r="AI234" s="3271"/>
      <c r="AJ234" s="3271"/>
      <c r="AK234" s="3271"/>
      <c r="AL234" s="3271"/>
    </row>
    <row r="235" spans="15:39" ht="22" customHeight="1">
      <c r="AB235" s="3307"/>
      <c r="AC235" s="3271"/>
      <c r="AD235" s="3271"/>
      <c r="AE235" s="3271"/>
      <c r="AF235" s="3271"/>
      <c r="AG235" s="3271"/>
      <c r="AH235" s="3271"/>
      <c r="AI235" s="3271"/>
      <c r="AJ235" s="3271"/>
      <c r="AK235" s="3271"/>
      <c r="AL235" s="3271"/>
    </row>
    <row r="236" spans="15:39" ht="22" customHeight="1">
      <c r="AB236" s="3306" t="s">
        <v>5545</v>
      </c>
      <c r="AC236" s="3271" t="s">
        <v>5841</v>
      </c>
      <c r="AD236" s="3271"/>
      <c r="AE236" s="3271"/>
      <c r="AF236" s="3271"/>
      <c r="AG236" s="3271"/>
      <c r="AH236" s="3271"/>
      <c r="AI236" s="3271"/>
      <c r="AJ236" s="3271"/>
      <c r="AK236" s="3271"/>
      <c r="AL236" s="3271"/>
    </row>
    <row r="237" spans="15:39" ht="22" customHeight="1">
      <c r="AB237" s="3307"/>
      <c r="AC237" s="3268" t="s">
        <v>5842</v>
      </c>
      <c r="AD237" s="3268"/>
      <c r="AE237" s="3268"/>
      <c r="AF237" s="3268"/>
      <c r="AG237" s="3268"/>
      <c r="AH237" s="3268"/>
      <c r="AI237" s="3268"/>
      <c r="AJ237" s="3268"/>
      <c r="AK237" s="3268"/>
      <c r="AL237" s="3268"/>
    </row>
    <row r="238" spans="15:39" ht="22" customHeight="1">
      <c r="AB238" s="3307"/>
      <c r="AC238" s="3268"/>
      <c r="AD238" s="3268"/>
      <c r="AE238" s="3268"/>
      <c r="AF238" s="3268"/>
      <c r="AG238" s="3268"/>
      <c r="AH238" s="3268"/>
      <c r="AI238" s="3268"/>
      <c r="AJ238" s="3268"/>
      <c r="AK238" s="3268"/>
      <c r="AL238" s="3268"/>
    </row>
    <row r="239" spans="15:39" ht="22" customHeight="1">
      <c r="AB239" s="3307"/>
      <c r="AC239" s="3268"/>
      <c r="AD239" s="3268"/>
      <c r="AE239" s="3268"/>
      <c r="AF239" s="3268"/>
      <c r="AG239" s="3268"/>
      <c r="AH239" s="3268"/>
      <c r="AI239" s="3268"/>
      <c r="AJ239" s="3268"/>
      <c r="AK239" s="3268"/>
      <c r="AL239" s="3268"/>
    </row>
    <row r="240" spans="15:39" ht="22" customHeight="1">
      <c r="AB240" s="3307"/>
      <c r="AC240" s="3268"/>
      <c r="AD240" s="3268"/>
      <c r="AE240" s="3268"/>
      <c r="AF240" s="3268"/>
      <c r="AG240" s="3268"/>
      <c r="AH240" s="3268"/>
      <c r="AI240" s="3268"/>
      <c r="AJ240" s="3268"/>
      <c r="AK240" s="3268"/>
      <c r="AL240" s="3268"/>
    </row>
    <row r="241" spans="28:38" ht="22" customHeight="1">
      <c r="AB241" s="3307"/>
      <c r="AC241" s="3268"/>
      <c r="AD241" s="3268"/>
      <c r="AE241" s="3268"/>
      <c r="AF241" s="3268"/>
      <c r="AG241" s="3268"/>
      <c r="AH241" s="3268"/>
      <c r="AI241" s="3268"/>
      <c r="AJ241" s="3268"/>
      <c r="AK241" s="3268"/>
      <c r="AL241" s="3268"/>
    </row>
    <row r="242" spans="28:38" ht="22" customHeight="1">
      <c r="AB242" s="3322" t="s">
        <v>5815</v>
      </c>
      <c r="AC242" s="3271" t="s">
        <v>5843</v>
      </c>
      <c r="AD242" s="3271"/>
      <c r="AE242" s="3271"/>
      <c r="AF242" s="3271"/>
      <c r="AG242" s="3271"/>
      <c r="AH242" s="3271"/>
      <c r="AI242" s="3271"/>
      <c r="AJ242" s="3271"/>
      <c r="AK242" s="3271"/>
      <c r="AL242" s="3271"/>
    </row>
    <row r="243" spans="28:38" ht="22" customHeight="1">
      <c r="AB243" s="3323"/>
      <c r="AC243" s="3268" t="s">
        <v>5844</v>
      </c>
      <c r="AD243" s="3268"/>
      <c r="AE243" s="3268"/>
      <c r="AF243" s="3268"/>
      <c r="AG243" s="3268"/>
      <c r="AH243" s="3268"/>
      <c r="AI243" s="3268"/>
      <c r="AJ243" s="3268"/>
      <c r="AK243" s="3268"/>
      <c r="AL243" s="3268"/>
    </row>
    <row r="244" spans="28:38" ht="22" customHeight="1">
      <c r="AB244" s="3323"/>
      <c r="AC244" s="3268"/>
      <c r="AD244" s="3268"/>
      <c r="AE244" s="3268"/>
      <c r="AF244" s="3268"/>
      <c r="AG244" s="3268"/>
      <c r="AH244" s="3268"/>
      <c r="AI244" s="3268"/>
      <c r="AJ244" s="3268"/>
      <c r="AK244" s="3268"/>
      <c r="AL244" s="3268"/>
    </row>
    <row r="245" spans="28:38" ht="22" customHeight="1">
      <c r="AB245" s="3323"/>
      <c r="AC245" s="3268"/>
      <c r="AD245" s="3268"/>
      <c r="AE245" s="3268"/>
      <c r="AF245" s="3268"/>
      <c r="AG245" s="3268"/>
      <c r="AH245" s="3268"/>
      <c r="AI245" s="3268"/>
      <c r="AJ245" s="3268"/>
      <c r="AK245" s="3268"/>
      <c r="AL245" s="3268"/>
    </row>
    <row r="246" spans="28:38" ht="22" customHeight="1">
      <c r="AB246" s="3323"/>
      <c r="AC246" s="3271" t="s">
        <v>5839</v>
      </c>
      <c r="AD246" s="3271"/>
      <c r="AE246" s="3271"/>
      <c r="AF246" s="3271"/>
      <c r="AG246" s="3271"/>
      <c r="AH246" s="3271"/>
      <c r="AI246" s="3271"/>
      <c r="AJ246" s="3271"/>
      <c r="AK246" s="3271"/>
      <c r="AL246" s="3271"/>
    </row>
    <row r="247" spans="28:38" ht="22" customHeight="1">
      <c r="AB247" s="3323"/>
      <c r="AC247" s="3268" t="s">
        <v>5845</v>
      </c>
      <c r="AD247" s="3271"/>
      <c r="AE247" s="3271"/>
      <c r="AF247" s="3271"/>
      <c r="AG247" s="3271"/>
      <c r="AH247" s="3271"/>
      <c r="AI247" s="3271"/>
      <c r="AJ247" s="3271"/>
      <c r="AK247" s="3271"/>
      <c r="AL247" s="3271"/>
    </row>
    <row r="248" spans="28:38" ht="22" customHeight="1">
      <c r="AB248" s="3323"/>
      <c r="AC248" s="3271"/>
      <c r="AD248" s="3271"/>
      <c r="AE248" s="3271"/>
      <c r="AF248" s="3271"/>
      <c r="AG248" s="3271"/>
      <c r="AH248" s="3271"/>
      <c r="AI248" s="3271"/>
      <c r="AJ248" s="3271"/>
      <c r="AK248" s="3271"/>
      <c r="AL248" s="3271"/>
    </row>
    <row r="249" spans="28:38" ht="22" customHeight="1">
      <c r="AB249" s="3323"/>
      <c r="AC249" s="3268" t="s">
        <v>5846</v>
      </c>
      <c r="AD249" s="3271"/>
      <c r="AE249" s="3271"/>
      <c r="AF249" s="3271"/>
      <c r="AG249" s="3271"/>
      <c r="AH249" s="3271"/>
      <c r="AI249" s="3271"/>
      <c r="AJ249" s="3271"/>
      <c r="AK249" s="3271"/>
      <c r="AL249" s="3271"/>
    </row>
    <row r="250" spans="28:38" ht="22" customHeight="1">
      <c r="AB250" s="3323"/>
      <c r="AC250" s="3271"/>
      <c r="AD250" s="3271"/>
      <c r="AE250" s="3271"/>
      <c r="AF250" s="3271"/>
      <c r="AG250" s="3271"/>
      <c r="AH250" s="3271"/>
      <c r="AI250" s="3271"/>
      <c r="AJ250" s="3271"/>
      <c r="AK250" s="3271"/>
      <c r="AL250" s="3271"/>
    </row>
    <row r="251" spans="28:38" ht="22" customHeight="1">
      <c r="AB251" s="3323"/>
      <c r="AC251" s="3271"/>
      <c r="AD251" s="3271"/>
      <c r="AE251" s="3271"/>
      <c r="AF251" s="3271"/>
      <c r="AG251" s="3271"/>
      <c r="AH251" s="3271"/>
      <c r="AI251" s="3271"/>
      <c r="AJ251" s="3271"/>
      <c r="AK251" s="3271"/>
      <c r="AL251" s="3271"/>
    </row>
    <row r="252" spans="28:38" ht="22" customHeight="1">
      <c r="AB252" s="3323"/>
      <c r="AC252" s="3271"/>
      <c r="AD252" s="3271"/>
      <c r="AE252" s="3271"/>
      <c r="AF252" s="3271"/>
      <c r="AG252" s="3271"/>
      <c r="AH252" s="3271"/>
      <c r="AI252" s="3271"/>
      <c r="AJ252" s="3271"/>
      <c r="AK252" s="3271"/>
      <c r="AL252" s="3271"/>
    </row>
    <row r="253" spans="28:38" ht="22" customHeight="1">
      <c r="AB253" s="3323"/>
      <c r="AC253" s="3271"/>
      <c r="AD253" s="3271"/>
      <c r="AE253" s="3271"/>
      <c r="AF253" s="3271"/>
      <c r="AG253" s="3271"/>
      <c r="AH253" s="3271"/>
      <c r="AI253" s="3271"/>
      <c r="AJ253" s="3271"/>
      <c r="AK253" s="3271"/>
      <c r="AL253" s="3271"/>
    </row>
    <row r="254" spans="28:38" ht="22" customHeight="1">
      <c r="AB254" s="3320" t="s">
        <v>5847</v>
      </c>
      <c r="AC254" s="3271" t="s">
        <v>5848</v>
      </c>
      <c r="AD254" s="3271"/>
      <c r="AE254" s="3271"/>
      <c r="AF254" s="3271"/>
      <c r="AG254" s="3271"/>
      <c r="AH254" s="3271"/>
      <c r="AI254" s="3271"/>
      <c r="AJ254" s="3271"/>
      <c r="AK254" s="3271"/>
      <c r="AL254" s="3271"/>
    </row>
    <row r="255" spans="28:38" ht="22" customHeight="1">
      <c r="AB255" s="3321"/>
      <c r="AC255" s="3271" t="s">
        <v>5849</v>
      </c>
      <c r="AD255" s="3271"/>
      <c r="AE255" s="3271"/>
      <c r="AF255" s="3271"/>
      <c r="AG255" s="3271"/>
      <c r="AH255" s="3271"/>
      <c r="AI255" s="3271"/>
      <c r="AJ255" s="3271"/>
      <c r="AK255" s="3271"/>
      <c r="AL255" s="3271"/>
    </row>
    <row r="256" spans="28:38" ht="22" customHeight="1">
      <c r="AB256" s="3269" t="s">
        <v>5850</v>
      </c>
      <c r="AC256" s="3270"/>
      <c r="AD256" s="3270"/>
      <c r="AE256" s="3270"/>
      <c r="AF256" s="3270"/>
      <c r="AG256" s="3270"/>
      <c r="AH256" s="3270"/>
      <c r="AI256" s="3270"/>
      <c r="AJ256" s="3270"/>
      <c r="AK256" s="3270"/>
      <c r="AL256" s="3270"/>
    </row>
    <row r="257" spans="28:38" ht="22" customHeight="1">
      <c r="AB257" s="3304" t="s">
        <v>5531</v>
      </c>
      <c r="AC257" s="3271" t="s">
        <v>5851</v>
      </c>
      <c r="AD257" s="3271"/>
      <c r="AE257" s="3271"/>
      <c r="AF257" s="3271"/>
      <c r="AG257" s="3271"/>
      <c r="AH257" s="3271"/>
      <c r="AI257" s="3271"/>
      <c r="AJ257" s="3271"/>
      <c r="AK257" s="3271"/>
      <c r="AL257" s="3271"/>
    </row>
    <row r="258" spans="28:38" ht="22" customHeight="1">
      <c r="AB258" s="3305"/>
      <c r="AC258" s="3271" t="s">
        <v>5852</v>
      </c>
      <c r="AD258" s="3271"/>
      <c r="AE258" s="3271"/>
      <c r="AF258" s="3271"/>
      <c r="AG258" s="3271"/>
      <c r="AH258" s="3271"/>
      <c r="AI258" s="3271"/>
      <c r="AJ258" s="3271"/>
      <c r="AK258" s="3271"/>
      <c r="AL258" s="3271"/>
    </row>
    <row r="259" spans="28:38" ht="22" customHeight="1">
      <c r="AB259" s="3305"/>
      <c r="AC259" s="3271" t="s">
        <v>5853</v>
      </c>
      <c r="AD259" s="3271"/>
      <c r="AE259" s="3271"/>
      <c r="AF259" s="3271"/>
      <c r="AG259" s="3271"/>
      <c r="AH259" s="3271"/>
      <c r="AI259" s="3271"/>
      <c r="AJ259" s="3271"/>
      <c r="AK259" s="3271"/>
      <c r="AL259" s="3271"/>
    </row>
    <row r="260" spans="28:38" ht="22" customHeight="1">
      <c r="AB260" s="11" t="s">
        <v>5815</v>
      </c>
      <c r="AC260" s="3271" t="s">
        <v>5854</v>
      </c>
      <c r="AD260" s="3271"/>
      <c r="AE260" s="3271"/>
      <c r="AF260" s="3271"/>
      <c r="AG260" s="3271"/>
      <c r="AH260" s="3271"/>
      <c r="AI260" s="3271"/>
      <c r="AJ260" s="3271"/>
      <c r="AK260" s="3271"/>
      <c r="AL260" s="3271"/>
    </row>
    <row r="261" spans="28:38" ht="22" customHeight="1">
      <c r="AB261" s="3304" t="s">
        <v>5855</v>
      </c>
      <c r="AC261" s="3268" t="s">
        <v>5856</v>
      </c>
      <c r="AD261" s="3271"/>
      <c r="AE261" s="3271"/>
      <c r="AF261" s="3271"/>
      <c r="AG261" s="3271"/>
      <c r="AH261" s="3271"/>
      <c r="AI261" s="3271"/>
      <c r="AJ261" s="3271"/>
      <c r="AK261" s="3271"/>
      <c r="AL261" s="3271"/>
    </row>
    <row r="262" spans="28:38" ht="22" customHeight="1">
      <c r="AB262" s="3305"/>
      <c r="AC262" s="3271"/>
      <c r="AD262" s="3271"/>
      <c r="AE262" s="3271"/>
      <c r="AF262" s="3271"/>
      <c r="AG262" s="3271"/>
      <c r="AH262" s="3271"/>
      <c r="AI262" s="3271"/>
      <c r="AJ262" s="3271"/>
      <c r="AK262" s="3271"/>
      <c r="AL262" s="3271"/>
    </row>
    <row r="263" spans="28:38" ht="22" customHeight="1">
      <c r="AB263" s="3269" t="s">
        <v>5857</v>
      </c>
      <c r="AC263" s="3270"/>
      <c r="AD263" s="3270"/>
      <c r="AE263" s="3270"/>
      <c r="AF263" s="3270"/>
      <c r="AG263" s="3270"/>
      <c r="AH263" s="3270"/>
      <c r="AI263" s="3270"/>
      <c r="AJ263" s="3270"/>
      <c r="AK263" s="3270"/>
      <c r="AL263" s="3270"/>
    </row>
    <row r="264" spans="28:38" ht="22" customHeight="1">
      <c r="AB264" s="3304" t="s">
        <v>5531</v>
      </c>
      <c r="AC264" s="3268" t="s">
        <v>5858</v>
      </c>
      <c r="AD264" s="3268"/>
      <c r="AE264" s="3268"/>
      <c r="AF264" s="3268"/>
      <c r="AG264" s="3268"/>
      <c r="AH264" s="3268"/>
      <c r="AI264" s="3268"/>
      <c r="AJ264" s="3268"/>
      <c r="AK264" s="3268"/>
      <c r="AL264" s="3268"/>
    </row>
    <row r="265" spans="28:38" ht="22" customHeight="1">
      <c r="AB265" s="3305"/>
      <c r="AC265" s="3268" t="s">
        <v>5859</v>
      </c>
      <c r="AD265" s="3271"/>
      <c r="AE265" s="3271"/>
      <c r="AF265" s="3271"/>
      <c r="AG265" s="3271"/>
      <c r="AH265" s="3271"/>
      <c r="AI265" s="3271"/>
      <c r="AJ265" s="3271"/>
      <c r="AK265" s="3271"/>
      <c r="AL265" s="3271"/>
    </row>
    <row r="266" spans="28:38" ht="22" customHeight="1">
      <c r="AB266" s="3305"/>
      <c r="AC266" s="3271"/>
      <c r="AD266" s="3271"/>
      <c r="AE266" s="3271"/>
      <c r="AF266" s="3271"/>
      <c r="AG266" s="3271"/>
      <c r="AH266" s="3271"/>
      <c r="AI266" s="3271"/>
      <c r="AJ266" s="3271"/>
      <c r="AK266" s="3271"/>
      <c r="AL266" s="3271"/>
    </row>
    <row r="267" spans="28:38" ht="22" customHeight="1">
      <c r="AB267" s="3305"/>
      <c r="AC267" s="3271" t="s">
        <v>5860</v>
      </c>
      <c r="AD267" s="3271"/>
      <c r="AE267" s="3271"/>
      <c r="AF267" s="3271"/>
      <c r="AG267" s="3271"/>
      <c r="AH267" s="3271"/>
      <c r="AI267" s="3271"/>
      <c r="AJ267" s="3271"/>
      <c r="AK267" s="3271"/>
      <c r="AL267" s="3271"/>
    </row>
    <row r="268" spans="28:38" ht="22" customHeight="1">
      <c r="AB268" s="3305"/>
      <c r="AC268" s="3268" t="s">
        <v>5861</v>
      </c>
      <c r="AD268" s="3271"/>
      <c r="AE268" s="3271"/>
      <c r="AF268" s="3271"/>
      <c r="AG268" s="3271"/>
      <c r="AH268" s="3271"/>
      <c r="AI268" s="3271"/>
      <c r="AJ268" s="3271"/>
      <c r="AK268" s="3271"/>
      <c r="AL268" s="3271"/>
    </row>
    <row r="269" spans="28:38" ht="22" customHeight="1">
      <c r="AB269" s="3305"/>
      <c r="AC269" s="3271"/>
      <c r="AD269" s="3271"/>
      <c r="AE269" s="3271"/>
      <c r="AF269" s="3271"/>
      <c r="AG269" s="3271"/>
      <c r="AH269" s="3271"/>
      <c r="AI269" s="3271"/>
      <c r="AJ269" s="3271"/>
      <c r="AK269" s="3271"/>
      <c r="AL269" s="3271"/>
    </row>
    <row r="270" spans="28:38" ht="22" customHeight="1">
      <c r="AB270" s="3305"/>
      <c r="AC270" s="3342" t="s">
        <v>5862</v>
      </c>
      <c r="AD270" s="3291"/>
      <c r="AE270" s="3291"/>
      <c r="AF270" s="3291"/>
      <c r="AG270" s="3291"/>
      <c r="AH270" s="3291"/>
      <c r="AI270" s="3291"/>
      <c r="AJ270" s="3291"/>
      <c r="AK270" s="3291"/>
      <c r="AL270" s="3291"/>
    </row>
    <row r="271" spans="28:38" ht="22" customHeight="1">
      <c r="AB271" s="3305"/>
      <c r="AC271" s="3291"/>
      <c r="AD271" s="3291"/>
      <c r="AE271" s="3291"/>
      <c r="AF271" s="3291"/>
      <c r="AG271" s="3291"/>
      <c r="AH271" s="3291"/>
      <c r="AI271" s="3291"/>
      <c r="AJ271" s="3291"/>
      <c r="AK271" s="3291"/>
      <c r="AL271" s="3291"/>
    </row>
    <row r="272" spans="28:38" ht="22" customHeight="1">
      <c r="AB272" s="3305"/>
      <c r="AC272" s="3291"/>
      <c r="AD272" s="3291"/>
      <c r="AE272" s="3291"/>
      <c r="AF272" s="3291"/>
      <c r="AG272" s="3291"/>
      <c r="AH272" s="3291"/>
      <c r="AI272" s="3291"/>
      <c r="AJ272" s="3291"/>
      <c r="AK272" s="3291"/>
      <c r="AL272" s="3291"/>
    </row>
    <row r="273" spans="28:38" ht="22" customHeight="1">
      <c r="AB273" s="3305"/>
      <c r="AC273" s="3291"/>
      <c r="AD273" s="3291"/>
      <c r="AE273" s="3291"/>
      <c r="AF273" s="3291"/>
      <c r="AG273" s="3291"/>
      <c r="AH273" s="3291"/>
      <c r="AI273" s="3291"/>
      <c r="AJ273" s="3291"/>
      <c r="AK273" s="3291"/>
      <c r="AL273" s="3291"/>
    </row>
    <row r="274" spans="28:38" ht="22" customHeight="1">
      <c r="AB274" s="4" t="s">
        <v>5577</v>
      </c>
      <c r="AC274" s="3268" t="s">
        <v>5863</v>
      </c>
      <c r="AD274" s="3268"/>
      <c r="AE274" s="3268"/>
      <c r="AF274" s="3268"/>
      <c r="AG274" s="3268"/>
      <c r="AH274" s="3268"/>
      <c r="AI274" s="3268"/>
      <c r="AJ274" s="3268"/>
      <c r="AK274" s="3268"/>
      <c r="AL274" s="3268"/>
    </row>
    <row r="275" spans="28:38" ht="22" customHeight="1">
      <c r="AB275" s="12" t="s">
        <v>5847</v>
      </c>
      <c r="AC275" s="3271" t="s">
        <v>5864</v>
      </c>
      <c r="AD275" s="3271"/>
      <c r="AE275" s="3271"/>
      <c r="AF275" s="3271"/>
      <c r="AG275" s="3271"/>
      <c r="AH275" s="3271"/>
      <c r="AI275" s="3271"/>
      <c r="AJ275" s="3271"/>
      <c r="AK275" s="3271"/>
      <c r="AL275" s="3271"/>
    </row>
    <row r="276" spans="28:38" ht="22" customHeight="1">
      <c r="AB276" s="11" t="s">
        <v>5815</v>
      </c>
      <c r="AC276" s="3271" t="s">
        <v>5865</v>
      </c>
      <c r="AD276" s="3271"/>
      <c r="AE276" s="3271"/>
      <c r="AF276" s="3271"/>
      <c r="AG276" s="3271"/>
      <c r="AH276" s="3271"/>
      <c r="AI276" s="3271"/>
      <c r="AJ276" s="3271"/>
      <c r="AK276" s="3271"/>
      <c r="AL276" s="3271"/>
    </row>
    <row r="277" spans="28:38" ht="22" customHeight="1">
      <c r="AB277" s="3269" t="s">
        <v>5866</v>
      </c>
      <c r="AC277" s="3270"/>
      <c r="AD277" s="3270"/>
      <c r="AE277" s="3270"/>
      <c r="AF277" s="3270"/>
      <c r="AG277" s="3270"/>
      <c r="AH277" s="3270"/>
      <c r="AI277" s="3270"/>
      <c r="AJ277" s="3270"/>
      <c r="AK277" s="3270"/>
      <c r="AL277" s="3270"/>
    </row>
    <row r="278" spans="28:38" ht="22" customHeight="1">
      <c r="AB278" s="13" t="s">
        <v>5667</v>
      </c>
      <c r="AC278" s="3271" t="s">
        <v>5867</v>
      </c>
      <c r="AD278" s="3271"/>
      <c r="AE278" s="3271"/>
      <c r="AF278" s="3271"/>
      <c r="AG278" s="3271"/>
      <c r="AH278" s="3271"/>
      <c r="AI278" s="3271"/>
      <c r="AJ278" s="3271"/>
      <c r="AK278" s="3271"/>
      <c r="AL278" s="3271"/>
    </row>
    <row r="279" spans="28:38" ht="22" customHeight="1">
      <c r="AB279" s="3304" t="s">
        <v>5531</v>
      </c>
      <c r="AC279" s="3268" t="s">
        <v>5868</v>
      </c>
      <c r="AD279" s="3268"/>
      <c r="AE279" s="3268"/>
      <c r="AF279" s="3268"/>
      <c r="AG279" s="3268"/>
      <c r="AH279" s="3268"/>
      <c r="AI279" s="3268"/>
      <c r="AJ279" s="3268"/>
      <c r="AK279" s="3268"/>
      <c r="AL279" s="3268"/>
    </row>
    <row r="280" spans="28:38" ht="22" customHeight="1">
      <c r="AB280" s="3305"/>
      <c r="AC280" s="3271" t="s">
        <v>5869</v>
      </c>
      <c r="AD280" s="3271"/>
      <c r="AE280" s="3271"/>
      <c r="AF280" s="3271"/>
      <c r="AG280" s="3271"/>
      <c r="AH280" s="3271"/>
      <c r="AI280" s="3271"/>
      <c r="AJ280" s="3271"/>
      <c r="AK280" s="3271"/>
      <c r="AL280" s="3271"/>
    </row>
    <row r="281" spans="28:38" ht="22" customHeight="1">
      <c r="AB281" s="3305"/>
      <c r="AC281" s="3271" t="s">
        <v>5870</v>
      </c>
      <c r="AD281" s="3271"/>
      <c r="AE281" s="3271"/>
      <c r="AF281" s="3271"/>
      <c r="AG281" s="3271"/>
      <c r="AH281" s="3271"/>
      <c r="AI281" s="3271"/>
      <c r="AJ281" s="3271"/>
      <c r="AK281" s="3271"/>
      <c r="AL281" s="3271"/>
    </row>
    <row r="282" spans="28:38" ht="22" customHeight="1">
      <c r="AB282" s="3305"/>
      <c r="AC282" s="3271" t="s">
        <v>5871</v>
      </c>
      <c r="AD282" s="3271"/>
      <c r="AE282" s="3271"/>
      <c r="AF282" s="3271"/>
      <c r="AG282" s="3271"/>
      <c r="AH282" s="3271"/>
      <c r="AI282" s="3271"/>
      <c r="AJ282" s="3271"/>
      <c r="AK282" s="3271"/>
      <c r="AL282" s="3271"/>
    </row>
    <row r="283" spans="28:38" ht="22" customHeight="1">
      <c r="AB283" s="3284" t="s">
        <v>5558</v>
      </c>
      <c r="AC283" s="3268" t="s">
        <v>5872</v>
      </c>
      <c r="AD283" s="3268"/>
      <c r="AE283" s="3268"/>
      <c r="AF283" s="3268"/>
      <c r="AG283" s="3268"/>
      <c r="AH283" s="3268"/>
      <c r="AI283" s="3268"/>
      <c r="AJ283" s="3268"/>
      <c r="AK283" s="3268"/>
      <c r="AL283" s="3268"/>
    </row>
    <row r="284" spans="28:38" ht="22" customHeight="1">
      <c r="AB284" s="3285"/>
      <c r="AC284" s="3268"/>
      <c r="AD284" s="3268"/>
      <c r="AE284" s="3268"/>
      <c r="AF284" s="3268"/>
      <c r="AG284" s="3268"/>
      <c r="AH284" s="3268"/>
      <c r="AI284" s="3268"/>
      <c r="AJ284" s="3268"/>
      <c r="AK284" s="3268"/>
      <c r="AL284" s="3268"/>
    </row>
    <row r="285" spans="28:38" ht="22" customHeight="1">
      <c r="AB285" s="3285"/>
      <c r="AC285" s="3268"/>
      <c r="AD285" s="3268"/>
      <c r="AE285" s="3268"/>
      <c r="AF285" s="3268"/>
      <c r="AG285" s="3268"/>
      <c r="AH285" s="3268"/>
      <c r="AI285" s="3268"/>
      <c r="AJ285" s="3268"/>
      <c r="AK285" s="3268"/>
      <c r="AL285" s="3268"/>
    </row>
    <row r="286" spans="28:38" ht="22" customHeight="1">
      <c r="AB286" s="3285"/>
      <c r="AC286" s="3268"/>
      <c r="AD286" s="3268"/>
      <c r="AE286" s="3268"/>
      <c r="AF286" s="3268"/>
      <c r="AG286" s="3268"/>
      <c r="AH286" s="3268"/>
      <c r="AI286" s="3268"/>
      <c r="AJ286" s="3268"/>
      <c r="AK286" s="3268"/>
      <c r="AL286" s="3268"/>
    </row>
    <row r="287" spans="28:38" ht="22" customHeight="1">
      <c r="AB287" s="3285"/>
      <c r="AC287" s="3268"/>
      <c r="AD287" s="3268"/>
      <c r="AE287" s="3268"/>
      <c r="AF287" s="3268"/>
      <c r="AG287" s="3268"/>
      <c r="AH287" s="3268"/>
      <c r="AI287" s="3268"/>
      <c r="AJ287" s="3268"/>
      <c r="AK287" s="3268"/>
      <c r="AL287" s="3268"/>
    </row>
    <row r="288" spans="28:38" ht="22" customHeight="1">
      <c r="AB288" s="3285"/>
      <c r="AC288" s="3268"/>
      <c r="AD288" s="3268"/>
      <c r="AE288" s="3268"/>
      <c r="AF288" s="3268"/>
      <c r="AG288" s="3268"/>
      <c r="AH288" s="3268"/>
      <c r="AI288" s="3268"/>
      <c r="AJ288" s="3268"/>
      <c r="AK288" s="3268"/>
      <c r="AL288" s="3268"/>
    </row>
    <row r="289" spans="28:38" ht="22" customHeight="1">
      <c r="AB289" s="3285"/>
      <c r="AC289" s="3268"/>
      <c r="AD289" s="3268"/>
      <c r="AE289" s="3268"/>
      <c r="AF289" s="3268"/>
      <c r="AG289" s="3268"/>
      <c r="AH289" s="3268"/>
      <c r="AI289" s="3268"/>
      <c r="AJ289" s="3268"/>
      <c r="AK289" s="3268"/>
      <c r="AL289" s="3268"/>
    </row>
    <row r="290" spans="28:38" ht="22" customHeight="1">
      <c r="AB290" s="4" t="s">
        <v>5748</v>
      </c>
      <c r="AC290" s="3271" t="s">
        <v>5873</v>
      </c>
      <c r="AD290" s="3271"/>
      <c r="AE290" s="3271"/>
      <c r="AF290" s="3271"/>
      <c r="AG290" s="3271"/>
      <c r="AH290" s="3271"/>
      <c r="AI290" s="3271"/>
      <c r="AJ290" s="3271"/>
      <c r="AK290" s="3271"/>
      <c r="AL290" s="3271"/>
    </row>
    <row r="291" spans="28:38" ht="22" customHeight="1">
      <c r="AB291" s="3269" t="s">
        <v>5874</v>
      </c>
      <c r="AC291" s="3270"/>
      <c r="AD291" s="3270"/>
      <c r="AE291" s="3270"/>
      <c r="AF291" s="3270"/>
      <c r="AG291" s="3270"/>
      <c r="AH291" s="3270"/>
      <c r="AI291" s="3270"/>
      <c r="AJ291" s="3270"/>
      <c r="AK291" s="3270"/>
      <c r="AL291" s="3270"/>
    </row>
    <row r="292" spans="28:38" ht="22" customHeight="1">
      <c r="AB292" s="3284" t="s">
        <v>5875</v>
      </c>
      <c r="AC292" s="3268" t="s">
        <v>5876</v>
      </c>
      <c r="AD292" s="3268"/>
      <c r="AE292" s="3268"/>
      <c r="AF292" s="3268"/>
      <c r="AG292" s="3268"/>
      <c r="AH292" s="3268"/>
      <c r="AI292" s="3268"/>
      <c r="AJ292" s="3268"/>
      <c r="AK292" s="3268"/>
      <c r="AL292" s="3268"/>
    </row>
    <row r="293" spans="28:38" ht="22" customHeight="1">
      <c r="AB293" s="3285"/>
      <c r="AC293" s="3268" t="s">
        <v>5877</v>
      </c>
      <c r="AD293" s="3268"/>
      <c r="AE293" s="3268"/>
      <c r="AF293" s="3268"/>
      <c r="AG293" s="3268"/>
      <c r="AH293" s="3268"/>
      <c r="AI293" s="3268"/>
      <c r="AJ293" s="3268"/>
      <c r="AK293" s="3268"/>
      <c r="AL293" s="3268"/>
    </row>
    <row r="294" spans="28:38" ht="22" customHeight="1">
      <c r="AB294" s="3285"/>
      <c r="AC294" s="3268"/>
      <c r="AD294" s="3268"/>
      <c r="AE294" s="3268"/>
      <c r="AF294" s="3268"/>
      <c r="AG294" s="3268"/>
      <c r="AH294" s="3268"/>
      <c r="AI294" s="3268"/>
      <c r="AJ294" s="3268"/>
      <c r="AK294" s="3268"/>
      <c r="AL294" s="3268"/>
    </row>
    <row r="295" spans="28:38" ht="22" customHeight="1">
      <c r="AB295" s="3285"/>
      <c r="AC295" s="3268"/>
      <c r="AD295" s="3268"/>
      <c r="AE295" s="3268"/>
      <c r="AF295" s="3268"/>
      <c r="AG295" s="3268"/>
      <c r="AH295" s="3268"/>
      <c r="AI295" s="3268"/>
      <c r="AJ295" s="3268"/>
      <c r="AK295" s="3268"/>
      <c r="AL295" s="3268"/>
    </row>
    <row r="296" spans="28:38" ht="22" customHeight="1">
      <c r="AB296" s="3285"/>
      <c r="AC296" s="3268"/>
      <c r="AD296" s="3268"/>
      <c r="AE296" s="3268"/>
      <c r="AF296" s="3268"/>
      <c r="AG296" s="3268"/>
      <c r="AH296" s="3268"/>
      <c r="AI296" s="3268"/>
      <c r="AJ296" s="3268"/>
      <c r="AK296" s="3268"/>
      <c r="AL296" s="3268"/>
    </row>
    <row r="297" spans="28:38" ht="22" customHeight="1">
      <c r="AB297" s="3285"/>
      <c r="AC297" s="3268" t="s">
        <v>5878</v>
      </c>
      <c r="AD297" s="3268"/>
      <c r="AE297" s="3268"/>
      <c r="AF297" s="3268"/>
      <c r="AG297" s="3268"/>
      <c r="AH297" s="3268"/>
      <c r="AI297" s="3268"/>
      <c r="AJ297" s="3268"/>
      <c r="AK297" s="3268"/>
      <c r="AL297" s="3268"/>
    </row>
    <row r="298" spans="28:38" ht="22" customHeight="1">
      <c r="AB298" s="3285"/>
      <c r="AC298" s="3271" t="s">
        <v>5879</v>
      </c>
      <c r="AD298" s="3271"/>
      <c r="AE298" s="3271"/>
      <c r="AF298" s="3271"/>
      <c r="AG298" s="3271"/>
      <c r="AH298" s="3271"/>
      <c r="AI298" s="3271"/>
      <c r="AJ298" s="3271"/>
      <c r="AK298" s="3271"/>
      <c r="AL298" s="3271"/>
    </row>
    <row r="299" spans="28:38" ht="22" customHeight="1">
      <c r="AB299" s="3285"/>
      <c r="AC299" s="3271" t="s">
        <v>5880</v>
      </c>
      <c r="AD299" s="3271"/>
      <c r="AE299" s="3271"/>
      <c r="AF299" s="3271"/>
      <c r="AG299" s="3271"/>
      <c r="AH299" s="3271"/>
      <c r="AI299" s="3271"/>
      <c r="AJ299" s="3271"/>
      <c r="AK299" s="3271"/>
      <c r="AL299" s="3271"/>
    </row>
    <row r="300" spans="28:38" ht="22" customHeight="1">
      <c r="AB300" s="3285"/>
      <c r="AC300" s="3271" t="s">
        <v>5881</v>
      </c>
      <c r="AD300" s="3271"/>
      <c r="AE300" s="3271"/>
      <c r="AF300" s="3271"/>
      <c r="AG300" s="3271"/>
      <c r="AH300" s="3271"/>
      <c r="AI300" s="3271"/>
      <c r="AJ300" s="3271"/>
      <c r="AK300" s="3271"/>
      <c r="AL300" s="3271"/>
    </row>
    <row r="301" spans="28:38" ht="22" customHeight="1">
      <c r="AB301" s="3285"/>
      <c r="AC301" s="3268" t="s">
        <v>5882</v>
      </c>
      <c r="AD301" s="3268"/>
      <c r="AE301" s="3268"/>
      <c r="AF301" s="3268"/>
      <c r="AG301" s="3268"/>
      <c r="AH301" s="3268"/>
      <c r="AI301" s="3268"/>
      <c r="AJ301" s="3268"/>
      <c r="AK301" s="3268"/>
      <c r="AL301" s="3268"/>
    </row>
    <row r="302" spans="28:38" ht="22" customHeight="1">
      <c r="AB302" s="3285"/>
      <c r="AC302" s="3268"/>
      <c r="AD302" s="3268"/>
      <c r="AE302" s="3268"/>
      <c r="AF302" s="3268"/>
      <c r="AG302" s="3268"/>
      <c r="AH302" s="3268"/>
      <c r="AI302" s="3268"/>
      <c r="AJ302" s="3268"/>
      <c r="AK302" s="3268"/>
      <c r="AL302" s="3268"/>
    </row>
    <row r="303" spans="28:38" ht="22" customHeight="1">
      <c r="AB303" s="3285"/>
      <c r="AC303" s="3268" t="s">
        <v>5883</v>
      </c>
      <c r="AD303" s="3268"/>
      <c r="AE303" s="3268"/>
      <c r="AF303" s="3268"/>
      <c r="AG303" s="3268"/>
      <c r="AH303" s="3268"/>
      <c r="AI303" s="3268"/>
      <c r="AJ303" s="3268"/>
      <c r="AK303" s="3268"/>
      <c r="AL303" s="3268"/>
    </row>
    <row r="304" spans="28:38" ht="22" customHeight="1">
      <c r="AB304" s="3285"/>
      <c r="AC304" s="3268" t="s">
        <v>5884</v>
      </c>
      <c r="AD304" s="3268"/>
      <c r="AE304" s="3268"/>
      <c r="AF304" s="3268"/>
      <c r="AG304" s="3268"/>
      <c r="AH304" s="3268"/>
      <c r="AI304" s="3268"/>
      <c r="AJ304" s="3268"/>
      <c r="AK304" s="3268"/>
      <c r="AL304" s="3268"/>
    </row>
    <row r="305" spans="28:38" ht="22" customHeight="1">
      <c r="AB305" s="3285"/>
      <c r="AC305" s="3271" t="s">
        <v>5885</v>
      </c>
      <c r="AD305" s="3271"/>
      <c r="AE305" s="3271"/>
      <c r="AF305" s="3271"/>
      <c r="AG305" s="3271"/>
      <c r="AH305" s="3271"/>
      <c r="AI305" s="3271"/>
      <c r="AJ305" s="3271"/>
      <c r="AK305" s="3271"/>
      <c r="AL305" s="3271"/>
    </row>
    <row r="306" spans="28:38" ht="22" customHeight="1">
      <c r="AB306" s="3285"/>
      <c r="AC306" s="3268" t="s">
        <v>5886</v>
      </c>
      <c r="AD306" s="3271"/>
      <c r="AE306" s="3271"/>
      <c r="AF306" s="3271"/>
      <c r="AG306" s="3271"/>
      <c r="AH306" s="3271"/>
      <c r="AI306" s="3271"/>
      <c r="AJ306" s="3271"/>
      <c r="AK306" s="3271"/>
      <c r="AL306" s="3271"/>
    </row>
    <row r="307" spans="28:38" ht="22" customHeight="1">
      <c r="AB307" s="3285"/>
      <c r="AC307" s="3271"/>
      <c r="AD307" s="3271"/>
      <c r="AE307" s="3271"/>
      <c r="AF307" s="3271"/>
      <c r="AG307" s="3271"/>
      <c r="AH307" s="3271"/>
      <c r="AI307" s="3271"/>
      <c r="AJ307" s="3271"/>
      <c r="AK307" s="3271"/>
      <c r="AL307" s="3271"/>
    </row>
    <row r="308" spans="28:38" ht="22" customHeight="1">
      <c r="AB308" s="3284" t="s">
        <v>5558</v>
      </c>
      <c r="AC308" s="3271" t="s">
        <v>5887</v>
      </c>
      <c r="AD308" s="3271"/>
      <c r="AE308" s="3271"/>
      <c r="AF308" s="3271"/>
      <c r="AG308" s="3271"/>
      <c r="AH308" s="3271"/>
      <c r="AI308" s="3271"/>
      <c r="AJ308" s="3271"/>
      <c r="AK308" s="3271"/>
      <c r="AL308" s="3271"/>
    </row>
    <row r="309" spans="28:38" ht="22" customHeight="1">
      <c r="AB309" s="3285"/>
      <c r="AC309" s="3268" t="s">
        <v>5888</v>
      </c>
      <c r="AD309" s="3271"/>
      <c r="AE309" s="3271"/>
      <c r="AF309" s="3271"/>
      <c r="AG309" s="3271"/>
      <c r="AH309" s="3271"/>
      <c r="AI309" s="3271"/>
      <c r="AJ309" s="3271"/>
      <c r="AK309" s="3271"/>
      <c r="AL309" s="3271"/>
    </row>
    <row r="310" spans="28:38" ht="22" customHeight="1">
      <c r="AB310" s="3285"/>
      <c r="AC310" s="3271"/>
      <c r="AD310" s="3271"/>
      <c r="AE310" s="3271"/>
      <c r="AF310" s="3271"/>
      <c r="AG310" s="3271"/>
      <c r="AH310" s="3271"/>
      <c r="AI310" s="3271"/>
      <c r="AJ310" s="3271"/>
      <c r="AK310" s="3271"/>
      <c r="AL310" s="3271"/>
    </row>
    <row r="311" spans="28:38" ht="22" customHeight="1">
      <c r="AB311" s="3285"/>
      <c r="AC311" s="3271" t="s">
        <v>5889</v>
      </c>
      <c r="AD311" s="3271"/>
      <c r="AE311" s="3271"/>
      <c r="AF311" s="3271"/>
      <c r="AG311" s="3271"/>
      <c r="AH311" s="3271"/>
      <c r="AI311" s="3271"/>
      <c r="AJ311" s="3271"/>
      <c r="AK311" s="3271"/>
      <c r="AL311" s="3271"/>
    </row>
    <row r="312" spans="28:38" ht="22" customHeight="1">
      <c r="AB312" s="3320" t="s">
        <v>5732</v>
      </c>
      <c r="AC312" s="3271" t="s">
        <v>5890</v>
      </c>
      <c r="AD312" s="3271"/>
      <c r="AE312" s="3271"/>
      <c r="AF312" s="3271"/>
      <c r="AG312" s="3271"/>
      <c r="AH312" s="3271"/>
      <c r="AI312" s="3271"/>
      <c r="AJ312" s="3271"/>
      <c r="AK312" s="3271"/>
      <c r="AL312" s="3271"/>
    </row>
    <row r="313" spans="28:38" ht="22" customHeight="1">
      <c r="AB313" s="3321"/>
      <c r="AC313" s="3271" t="s">
        <v>5891</v>
      </c>
      <c r="AD313" s="3271"/>
      <c r="AE313" s="3271"/>
      <c r="AF313" s="3271"/>
      <c r="AG313" s="3271"/>
      <c r="AH313" s="3271"/>
      <c r="AI313" s="3271"/>
      <c r="AJ313" s="3271"/>
      <c r="AK313" s="3271"/>
      <c r="AL313" s="3271"/>
    </row>
    <row r="314" spans="28:38" ht="22" customHeight="1">
      <c r="AB314" s="12" t="s">
        <v>5847</v>
      </c>
      <c r="AC314" s="3271" t="s">
        <v>5892</v>
      </c>
      <c r="AD314" s="3271"/>
      <c r="AE314" s="3271"/>
      <c r="AF314" s="3271"/>
      <c r="AG314" s="3271"/>
      <c r="AH314" s="3271"/>
      <c r="AI314" s="3271"/>
      <c r="AJ314" s="3271"/>
      <c r="AK314" s="3271"/>
      <c r="AL314" s="3271"/>
    </row>
    <row r="315" spans="28:38" ht="22" customHeight="1">
      <c r="AB315" s="3284" t="s">
        <v>5893</v>
      </c>
      <c r="AC315" s="3268" t="s">
        <v>5894</v>
      </c>
      <c r="AD315" s="3271"/>
      <c r="AE315" s="3271"/>
      <c r="AF315" s="3271"/>
      <c r="AG315" s="3271"/>
      <c r="AH315" s="3271"/>
      <c r="AI315" s="3271"/>
      <c r="AJ315" s="3271"/>
      <c r="AK315" s="3271"/>
      <c r="AL315" s="3271"/>
    </row>
    <row r="316" spans="28:38" ht="22" customHeight="1">
      <c r="AB316" s="3285"/>
      <c r="AC316" s="3271"/>
      <c r="AD316" s="3271"/>
      <c r="AE316" s="3271"/>
      <c r="AF316" s="3271"/>
      <c r="AG316" s="3271"/>
      <c r="AH316" s="3271"/>
      <c r="AI316" s="3271"/>
      <c r="AJ316" s="3271"/>
      <c r="AK316" s="3271"/>
      <c r="AL316" s="3271"/>
    </row>
    <row r="317" spans="28:38" ht="22" customHeight="1">
      <c r="AB317" s="3285"/>
      <c r="AC317" s="3271"/>
      <c r="AD317" s="3271"/>
      <c r="AE317" s="3271"/>
      <c r="AF317" s="3271"/>
      <c r="AG317" s="3271"/>
      <c r="AH317" s="3271"/>
      <c r="AI317" s="3271"/>
      <c r="AJ317" s="3271"/>
      <c r="AK317" s="3271"/>
      <c r="AL317" s="3271"/>
    </row>
    <row r="318" spans="28:38" ht="22" customHeight="1">
      <c r="AB318" s="3285"/>
      <c r="AC318" s="3271"/>
      <c r="AD318" s="3271"/>
      <c r="AE318" s="3271"/>
      <c r="AF318" s="3271"/>
      <c r="AG318" s="3271"/>
      <c r="AH318" s="3271"/>
      <c r="AI318" s="3271"/>
      <c r="AJ318" s="3271"/>
      <c r="AK318" s="3271"/>
      <c r="AL318" s="3271"/>
    </row>
    <row r="319" spans="28:38" ht="22" customHeight="1">
      <c r="AB319" s="3285"/>
      <c r="AC319" s="3271"/>
      <c r="AD319" s="3271"/>
      <c r="AE319" s="3271"/>
      <c r="AF319" s="3271"/>
      <c r="AG319" s="3271"/>
      <c r="AH319" s="3271"/>
      <c r="AI319" s="3271"/>
      <c r="AJ319" s="3271"/>
      <c r="AK319" s="3271"/>
      <c r="AL319" s="3271"/>
    </row>
    <row r="320" spans="28:38" ht="22" customHeight="1">
      <c r="AB320" s="3284" t="s">
        <v>5895</v>
      </c>
      <c r="AC320" s="3268" t="s">
        <v>5896</v>
      </c>
      <c r="AD320" s="3268"/>
      <c r="AE320" s="3268"/>
      <c r="AF320" s="3268"/>
      <c r="AG320" s="3268"/>
      <c r="AH320" s="3268"/>
      <c r="AI320" s="3268"/>
      <c r="AJ320" s="3268"/>
      <c r="AK320" s="3268"/>
      <c r="AL320" s="3268"/>
    </row>
    <row r="321" spans="28:38" ht="22" customHeight="1">
      <c r="AB321" s="3285"/>
      <c r="AC321" s="3268"/>
      <c r="AD321" s="3268"/>
      <c r="AE321" s="3268"/>
      <c r="AF321" s="3268"/>
      <c r="AG321" s="3268"/>
      <c r="AH321" s="3268"/>
      <c r="AI321" s="3268"/>
      <c r="AJ321" s="3268"/>
      <c r="AK321" s="3268"/>
      <c r="AL321" s="3268"/>
    </row>
    <row r="322" spans="28:38" ht="22" customHeight="1">
      <c r="AB322" s="3285"/>
      <c r="AC322" s="3268"/>
      <c r="AD322" s="3268"/>
      <c r="AE322" s="3268"/>
      <c r="AF322" s="3268"/>
      <c r="AG322" s="3268"/>
      <c r="AH322" s="3268"/>
      <c r="AI322" s="3268"/>
      <c r="AJ322" s="3268"/>
      <c r="AK322" s="3268"/>
      <c r="AL322" s="3268"/>
    </row>
    <row r="323" spans="28:38" ht="22" customHeight="1">
      <c r="AB323" s="3285"/>
      <c r="AC323" s="3268"/>
      <c r="AD323" s="3268"/>
      <c r="AE323" s="3268"/>
      <c r="AF323" s="3268"/>
      <c r="AG323" s="3268"/>
      <c r="AH323" s="3268"/>
      <c r="AI323" s="3268"/>
      <c r="AJ323" s="3268"/>
      <c r="AK323" s="3268"/>
      <c r="AL323" s="3268"/>
    </row>
    <row r="324" spans="28:38" ht="22" customHeight="1">
      <c r="AB324" s="3285"/>
      <c r="AC324" s="3268"/>
      <c r="AD324" s="3268"/>
      <c r="AE324" s="3268"/>
      <c r="AF324" s="3268"/>
      <c r="AG324" s="3268"/>
      <c r="AH324" s="3268"/>
      <c r="AI324" s="3268"/>
      <c r="AJ324" s="3268"/>
      <c r="AK324" s="3268"/>
      <c r="AL324" s="3268"/>
    </row>
    <row r="325" spans="28:38" ht="22" customHeight="1">
      <c r="AB325" s="3285"/>
      <c r="AC325" s="3268"/>
      <c r="AD325" s="3268"/>
      <c r="AE325" s="3268"/>
      <c r="AF325" s="3268"/>
      <c r="AG325" s="3268"/>
      <c r="AH325" s="3268"/>
      <c r="AI325" s="3268"/>
      <c r="AJ325" s="3268"/>
      <c r="AK325" s="3268"/>
      <c r="AL325" s="3268"/>
    </row>
    <row r="326" spans="28:38" ht="22" customHeight="1">
      <c r="AB326" s="3269" t="s">
        <v>5897</v>
      </c>
      <c r="AC326" s="3270"/>
      <c r="AD326" s="3270"/>
      <c r="AE326" s="3270"/>
      <c r="AF326" s="3270"/>
      <c r="AG326" s="3270"/>
      <c r="AH326" s="3270"/>
      <c r="AI326" s="3270"/>
      <c r="AJ326" s="3270"/>
      <c r="AK326" s="3270"/>
      <c r="AL326" s="3270"/>
    </row>
    <row r="327" spans="28:38" ht="22" customHeight="1">
      <c r="AB327" s="14" t="s">
        <v>5667</v>
      </c>
      <c r="AC327" s="3271" t="s">
        <v>5898</v>
      </c>
      <c r="AD327" s="3271"/>
      <c r="AE327" s="3271"/>
      <c r="AF327" s="3271"/>
      <c r="AG327" s="3271"/>
      <c r="AH327" s="3271"/>
      <c r="AI327" s="3271"/>
      <c r="AJ327" s="3271"/>
      <c r="AK327" s="3271"/>
      <c r="AL327" s="3271"/>
    </row>
    <row r="328" spans="28:38" ht="22" customHeight="1">
      <c r="AB328" s="3284" t="s">
        <v>5899</v>
      </c>
      <c r="AC328" s="3271" t="s">
        <v>5900</v>
      </c>
      <c r="AD328" s="3271"/>
      <c r="AE328" s="3271"/>
      <c r="AF328" s="3271"/>
      <c r="AG328" s="3271"/>
      <c r="AH328" s="3271"/>
      <c r="AI328" s="3271"/>
      <c r="AJ328" s="3271"/>
      <c r="AK328" s="3271"/>
      <c r="AL328" s="3271"/>
    </row>
    <row r="329" spans="28:38" ht="22" customHeight="1">
      <c r="AB329" s="3285"/>
      <c r="AC329" s="3271" t="s">
        <v>5901</v>
      </c>
      <c r="AD329" s="3271"/>
      <c r="AE329" s="3271"/>
      <c r="AF329" s="3271"/>
      <c r="AG329" s="3271"/>
      <c r="AH329" s="3271"/>
      <c r="AI329" s="3271"/>
      <c r="AJ329" s="3271"/>
      <c r="AK329" s="3271"/>
      <c r="AL329" s="3271"/>
    </row>
    <row r="330" spans="28:38" ht="22" customHeight="1">
      <c r="AB330" s="3285"/>
      <c r="AC330" s="3271" t="s">
        <v>5902</v>
      </c>
      <c r="AD330" s="3271"/>
      <c r="AE330" s="3271"/>
      <c r="AF330" s="3271"/>
      <c r="AG330" s="3271"/>
      <c r="AH330" s="3271"/>
      <c r="AI330" s="3271"/>
      <c r="AJ330" s="3271"/>
      <c r="AK330" s="3271"/>
      <c r="AL330" s="3271"/>
    </row>
    <row r="331" spans="28:38" ht="22" customHeight="1">
      <c r="AB331" s="3285"/>
      <c r="AC331" s="3268" t="s">
        <v>5903</v>
      </c>
      <c r="AD331" s="3268"/>
      <c r="AE331" s="3268"/>
      <c r="AF331" s="3268"/>
      <c r="AG331" s="3268"/>
      <c r="AH331" s="3268"/>
      <c r="AI331" s="3268"/>
      <c r="AJ331" s="3268"/>
      <c r="AK331" s="3268"/>
      <c r="AL331" s="3268"/>
    </row>
    <row r="332" spans="28:38" ht="22" customHeight="1">
      <c r="AB332" s="3285"/>
      <c r="AC332" s="3268"/>
      <c r="AD332" s="3268"/>
      <c r="AE332" s="3268"/>
      <c r="AF332" s="3268"/>
      <c r="AG332" s="3268"/>
      <c r="AH332" s="3268"/>
      <c r="AI332" s="3268"/>
      <c r="AJ332" s="3268"/>
      <c r="AK332" s="3268"/>
      <c r="AL332" s="3268"/>
    </row>
    <row r="333" spans="28:38" ht="22" customHeight="1">
      <c r="AB333" s="3285"/>
      <c r="AC333" s="3268"/>
      <c r="AD333" s="3268"/>
      <c r="AE333" s="3268"/>
      <c r="AF333" s="3268"/>
      <c r="AG333" s="3268"/>
      <c r="AH333" s="3268"/>
      <c r="AI333" s="3268"/>
      <c r="AJ333" s="3268"/>
      <c r="AK333" s="3268"/>
      <c r="AL333" s="3268"/>
    </row>
    <row r="334" spans="28:38" ht="22" customHeight="1">
      <c r="AB334" s="3285"/>
      <c r="AC334" s="3271" t="s">
        <v>5904</v>
      </c>
      <c r="AD334" s="3271"/>
      <c r="AE334" s="3271"/>
      <c r="AF334" s="3271"/>
      <c r="AG334" s="3271"/>
      <c r="AH334" s="3271"/>
      <c r="AI334" s="3271"/>
      <c r="AJ334" s="3271"/>
      <c r="AK334" s="3271"/>
      <c r="AL334" s="3271"/>
    </row>
    <row r="335" spans="28:38" ht="22" customHeight="1">
      <c r="AB335" s="3285"/>
      <c r="AC335" s="3271" t="s">
        <v>5905</v>
      </c>
      <c r="AD335" s="3271"/>
      <c r="AE335" s="3271"/>
      <c r="AF335" s="3271"/>
      <c r="AG335" s="3271"/>
      <c r="AH335" s="3271"/>
      <c r="AI335" s="3271"/>
      <c r="AJ335" s="3271"/>
      <c r="AK335" s="3271"/>
      <c r="AL335" s="3271"/>
    </row>
    <row r="336" spans="28:38" ht="22" customHeight="1">
      <c r="AB336" s="3285"/>
      <c r="AC336" s="3271" t="s">
        <v>5906</v>
      </c>
      <c r="AD336" s="3271"/>
      <c r="AE336" s="3271"/>
      <c r="AF336" s="3271"/>
      <c r="AG336" s="3271"/>
      <c r="AH336" s="3271"/>
      <c r="AI336" s="3271"/>
      <c r="AJ336" s="3271"/>
      <c r="AK336" s="3271"/>
      <c r="AL336" s="3271"/>
    </row>
    <row r="337" spans="28:38" ht="22" customHeight="1">
      <c r="AB337" s="3285"/>
      <c r="AC337" s="3268" t="s">
        <v>5907</v>
      </c>
      <c r="AD337" s="3271"/>
      <c r="AE337" s="3271"/>
      <c r="AF337" s="3271"/>
      <c r="AG337" s="3271"/>
      <c r="AH337" s="3271"/>
      <c r="AI337" s="3271"/>
      <c r="AJ337" s="3271"/>
      <c r="AK337" s="3271"/>
      <c r="AL337" s="3271"/>
    </row>
    <row r="338" spans="28:38" ht="22" customHeight="1">
      <c r="AB338" s="3285"/>
      <c r="AC338" s="3271"/>
      <c r="AD338" s="3271"/>
      <c r="AE338" s="3271"/>
      <c r="AF338" s="3271"/>
      <c r="AG338" s="3271"/>
      <c r="AH338" s="3271"/>
      <c r="AI338" s="3271"/>
      <c r="AJ338" s="3271"/>
      <c r="AK338" s="3271"/>
      <c r="AL338" s="3271"/>
    </row>
    <row r="339" spans="28:38" ht="22" customHeight="1">
      <c r="AB339" s="3285"/>
      <c r="AC339" s="3271" t="s">
        <v>5908</v>
      </c>
      <c r="AD339" s="3271"/>
      <c r="AE339" s="3271"/>
      <c r="AF339" s="3271"/>
      <c r="AG339" s="3271"/>
      <c r="AH339" s="3271"/>
      <c r="AI339" s="3271"/>
      <c r="AJ339" s="3271"/>
      <c r="AK339" s="3271"/>
      <c r="AL339" s="3271"/>
    </row>
    <row r="340" spans="28:38" ht="22" customHeight="1">
      <c r="AB340" s="3285"/>
      <c r="AC340" s="3268" t="s">
        <v>5909</v>
      </c>
      <c r="AD340" s="3271"/>
      <c r="AE340" s="3271"/>
      <c r="AF340" s="3271"/>
      <c r="AG340" s="3271"/>
      <c r="AH340" s="3271"/>
      <c r="AI340" s="3271"/>
      <c r="AJ340" s="3271"/>
      <c r="AK340" s="3271"/>
      <c r="AL340" s="3271"/>
    </row>
    <row r="341" spans="28:38" ht="22" customHeight="1">
      <c r="AB341" s="3285"/>
      <c r="AC341" s="3271"/>
      <c r="AD341" s="3271"/>
      <c r="AE341" s="3271"/>
      <c r="AF341" s="3271"/>
      <c r="AG341" s="3271"/>
      <c r="AH341" s="3271"/>
      <c r="AI341" s="3271"/>
      <c r="AJ341" s="3271"/>
      <c r="AK341" s="3271"/>
      <c r="AL341" s="3271"/>
    </row>
    <row r="342" spans="28:38" ht="22" customHeight="1">
      <c r="AB342" s="3285"/>
      <c r="AC342" s="3271" t="s">
        <v>5910</v>
      </c>
      <c r="AD342" s="3271"/>
      <c r="AE342" s="3271"/>
      <c r="AF342" s="3271"/>
      <c r="AG342" s="3271"/>
      <c r="AH342" s="3271"/>
      <c r="AI342" s="3271"/>
      <c r="AJ342" s="3271"/>
      <c r="AK342" s="3271"/>
      <c r="AL342" s="3271"/>
    </row>
    <row r="343" spans="28:38" ht="22" customHeight="1">
      <c r="AB343" s="3285"/>
      <c r="AC343" s="3271" t="s">
        <v>5911</v>
      </c>
      <c r="AD343" s="3271"/>
      <c r="AE343" s="3271"/>
      <c r="AF343" s="3271"/>
      <c r="AG343" s="3271"/>
      <c r="AH343" s="3271"/>
      <c r="AI343" s="3271"/>
      <c r="AJ343" s="3271"/>
      <c r="AK343" s="3271"/>
      <c r="AL343" s="3271"/>
    </row>
    <row r="344" spans="28:38" ht="22" customHeight="1">
      <c r="AB344" s="3285"/>
      <c r="AC344" s="3268" t="s">
        <v>5912</v>
      </c>
      <c r="AD344" s="3271"/>
      <c r="AE344" s="3271"/>
      <c r="AF344" s="3271"/>
      <c r="AG344" s="3271"/>
      <c r="AH344" s="3271"/>
      <c r="AI344" s="3271"/>
      <c r="AJ344" s="3271"/>
      <c r="AK344" s="3271"/>
      <c r="AL344" s="3271"/>
    </row>
    <row r="345" spans="28:38" ht="22" customHeight="1">
      <c r="AB345" s="3285"/>
      <c r="AC345" s="3271"/>
      <c r="AD345" s="3271"/>
      <c r="AE345" s="3271"/>
      <c r="AF345" s="3271"/>
      <c r="AG345" s="3271"/>
      <c r="AH345" s="3271"/>
      <c r="AI345" s="3271"/>
      <c r="AJ345" s="3271"/>
      <c r="AK345" s="3271"/>
      <c r="AL345" s="3271"/>
    </row>
    <row r="346" spans="28:38" ht="22" customHeight="1">
      <c r="AB346" s="3285"/>
      <c r="AC346" s="3271" t="s">
        <v>5913</v>
      </c>
      <c r="AD346" s="3271"/>
      <c r="AE346" s="3271"/>
      <c r="AF346" s="3271"/>
      <c r="AG346" s="3271"/>
      <c r="AH346" s="3271"/>
      <c r="AI346" s="3271"/>
      <c r="AJ346" s="3271"/>
      <c r="AK346" s="3271"/>
      <c r="AL346" s="3271"/>
    </row>
    <row r="347" spans="28:38" ht="22" customHeight="1">
      <c r="AB347" s="3320" t="s">
        <v>5847</v>
      </c>
      <c r="AC347" s="3268" t="s">
        <v>5914</v>
      </c>
      <c r="AD347" s="3271"/>
      <c r="AE347" s="3271"/>
      <c r="AF347" s="3271"/>
      <c r="AG347" s="3271"/>
      <c r="AH347" s="3271"/>
      <c r="AI347" s="3271"/>
      <c r="AJ347" s="3271"/>
      <c r="AK347" s="3271"/>
      <c r="AL347" s="3271"/>
    </row>
    <row r="348" spans="28:38" ht="22" customHeight="1">
      <c r="AB348" s="3321"/>
      <c r="AC348" s="3271"/>
      <c r="AD348" s="3271"/>
      <c r="AE348" s="3271"/>
      <c r="AF348" s="3271"/>
      <c r="AG348" s="3271"/>
      <c r="AH348" s="3271"/>
      <c r="AI348" s="3271"/>
      <c r="AJ348" s="3271"/>
      <c r="AK348" s="3271"/>
      <c r="AL348" s="3271"/>
    </row>
    <row r="349" spans="28:38" ht="22" customHeight="1">
      <c r="AB349" s="3298" t="s">
        <v>5915</v>
      </c>
      <c r="AC349" s="3268" t="s">
        <v>5916</v>
      </c>
      <c r="AD349" s="3271"/>
      <c r="AE349" s="3271"/>
      <c r="AF349" s="3271"/>
      <c r="AG349" s="3271"/>
      <c r="AH349" s="3271"/>
      <c r="AI349" s="3271"/>
      <c r="AJ349" s="3271"/>
      <c r="AK349" s="3271"/>
      <c r="AL349" s="3271"/>
    </row>
    <row r="350" spans="28:38" ht="22" customHeight="1">
      <c r="AB350" s="3311"/>
      <c r="AC350" s="3271"/>
      <c r="AD350" s="3271"/>
      <c r="AE350" s="3271"/>
      <c r="AF350" s="3271"/>
      <c r="AG350" s="3271"/>
      <c r="AH350" s="3271"/>
      <c r="AI350" s="3271"/>
      <c r="AJ350" s="3271"/>
      <c r="AK350" s="3271"/>
      <c r="AL350" s="3271"/>
    </row>
    <row r="351" spans="28:38" ht="22" customHeight="1">
      <c r="AB351" s="3269" t="s">
        <v>5917</v>
      </c>
      <c r="AC351" s="3270"/>
      <c r="AD351" s="3270"/>
      <c r="AE351" s="3270"/>
      <c r="AF351" s="3270"/>
      <c r="AG351" s="3270"/>
      <c r="AH351" s="3270"/>
      <c r="AI351" s="3270"/>
      <c r="AJ351" s="3270"/>
      <c r="AK351" s="3270"/>
      <c r="AL351" s="3270"/>
    </row>
    <row r="352" spans="28:38" ht="22" customHeight="1">
      <c r="AB352" s="3284" t="s">
        <v>5899</v>
      </c>
      <c r="AC352" s="3268" t="s">
        <v>5918</v>
      </c>
      <c r="AD352" s="3271"/>
      <c r="AE352" s="3271"/>
      <c r="AF352" s="3271"/>
      <c r="AG352" s="3271"/>
      <c r="AH352" s="3271"/>
      <c r="AI352" s="3271"/>
      <c r="AJ352" s="3271"/>
      <c r="AK352" s="3271"/>
      <c r="AL352" s="3271"/>
    </row>
    <row r="353" spans="28:38" ht="22" customHeight="1">
      <c r="AB353" s="3285"/>
      <c r="AC353" s="3271"/>
      <c r="AD353" s="3271"/>
      <c r="AE353" s="3271"/>
      <c r="AF353" s="3271"/>
      <c r="AG353" s="3271"/>
      <c r="AH353" s="3271"/>
      <c r="AI353" s="3271"/>
      <c r="AJ353" s="3271"/>
      <c r="AK353" s="3271"/>
      <c r="AL353" s="3271"/>
    </row>
    <row r="354" spans="28:38" ht="22" customHeight="1">
      <c r="AB354" s="3285"/>
      <c r="AC354" s="3271" t="s">
        <v>5919</v>
      </c>
      <c r="AD354" s="3271"/>
      <c r="AE354" s="3271"/>
      <c r="AF354" s="3271"/>
      <c r="AG354" s="3271"/>
      <c r="AH354" s="3271"/>
      <c r="AI354" s="3271"/>
      <c r="AJ354" s="3271"/>
      <c r="AK354" s="3271"/>
      <c r="AL354" s="3271"/>
    </row>
    <row r="355" spans="28:38" ht="22" customHeight="1">
      <c r="AB355" s="3285"/>
      <c r="AC355" s="3271" t="s">
        <v>5920</v>
      </c>
      <c r="AD355" s="3271"/>
      <c r="AE355" s="3271"/>
      <c r="AF355" s="3271"/>
      <c r="AG355" s="3271"/>
      <c r="AH355" s="3271"/>
      <c r="AI355" s="3271"/>
      <c r="AJ355" s="3271"/>
      <c r="AK355" s="3271"/>
      <c r="AL355" s="3271"/>
    </row>
    <row r="356" spans="28:38" ht="22" customHeight="1">
      <c r="AB356" s="3285"/>
      <c r="AC356" s="3268" t="s">
        <v>5921</v>
      </c>
      <c r="AD356" s="3268"/>
      <c r="AE356" s="3268"/>
      <c r="AF356" s="3268"/>
      <c r="AG356" s="3268"/>
      <c r="AH356" s="3268"/>
      <c r="AI356" s="3268"/>
      <c r="AJ356" s="3268"/>
      <c r="AK356" s="3268"/>
      <c r="AL356" s="3268"/>
    </row>
    <row r="357" spans="28:38" ht="22" customHeight="1">
      <c r="AB357" s="3285"/>
      <c r="AC357" s="3268"/>
      <c r="AD357" s="3268"/>
      <c r="AE357" s="3268"/>
      <c r="AF357" s="3268"/>
      <c r="AG357" s="3268"/>
      <c r="AH357" s="3268"/>
      <c r="AI357" s="3268"/>
      <c r="AJ357" s="3268"/>
      <c r="AK357" s="3268"/>
      <c r="AL357" s="3268"/>
    </row>
    <row r="358" spans="28:38" ht="22" customHeight="1">
      <c r="AB358" s="3285"/>
      <c r="AC358" s="3268"/>
      <c r="AD358" s="3268"/>
      <c r="AE358" s="3268"/>
      <c r="AF358" s="3268"/>
      <c r="AG358" s="3268"/>
      <c r="AH358" s="3268"/>
      <c r="AI358" s="3268"/>
      <c r="AJ358" s="3268"/>
      <c r="AK358" s="3268"/>
      <c r="AL358" s="3268"/>
    </row>
    <row r="359" spans="28:38" ht="22" customHeight="1">
      <c r="AB359" s="3285"/>
      <c r="AC359" s="3271" t="s">
        <v>5922</v>
      </c>
      <c r="AD359" s="3271"/>
      <c r="AE359" s="3271"/>
      <c r="AF359" s="3271"/>
      <c r="AG359" s="3271"/>
      <c r="AH359" s="3271"/>
      <c r="AI359" s="3271"/>
      <c r="AJ359" s="3271"/>
      <c r="AK359" s="3271"/>
      <c r="AL359" s="3271"/>
    </row>
    <row r="360" spans="28:38" ht="22" customHeight="1">
      <c r="AB360" s="3285"/>
      <c r="AC360" s="3271" t="s">
        <v>5923</v>
      </c>
      <c r="AD360" s="3271"/>
      <c r="AE360" s="3271"/>
      <c r="AF360" s="3271"/>
      <c r="AG360" s="3271"/>
      <c r="AH360" s="3271"/>
      <c r="AI360" s="3271"/>
      <c r="AJ360" s="3271"/>
      <c r="AK360" s="3271"/>
      <c r="AL360" s="3271"/>
    </row>
    <row r="361" spans="28:38" ht="22" customHeight="1">
      <c r="AB361" s="3284" t="s">
        <v>5558</v>
      </c>
      <c r="AC361" s="3271" t="s">
        <v>5924</v>
      </c>
      <c r="AD361" s="3271"/>
      <c r="AE361" s="3271"/>
      <c r="AF361" s="3271"/>
      <c r="AG361" s="3271"/>
      <c r="AH361" s="3271"/>
      <c r="AI361" s="3271"/>
      <c r="AJ361" s="3271"/>
      <c r="AK361" s="3271"/>
      <c r="AL361" s="3271"/>
    </row>
    <row r="362" spans="28:38" ht="22" customHeight="1">
      <c r="AB362" s="3285"/>
      <c r="AC362" s="3271" t="s">
        <v>5925</v>
      </c>
      <c r="AD362" s="3271"/>
      <c r="AE362" s="3271"/>
      <c r="AF362" s="3271"/>
      <c r="AG362" s="3271"/>
      <c r="AH362" s="3271"/>
      <c r="AI362" s="3271"/>
      <c r="AJ362" s="3271"/>
      <c r="AK362" s="3271"/>
      <c r="AL362" s="3271"/>
    </row>
    <row r="363" spans="28:38" ht="22" customHeight="1">
      <c r="AB363" s="3285"/>
      <c r="AC363" s="3271" t="s">
        <v>5926</v>
      </c>
      <c r="AD363" s="3271"/>
      <c r="AE363" s="3271"/>
      <c r="AF363" s="3271"/>
      <c r="AG363" s="3271"/>
      <c r="AH363" s="3271"/>
      <c r="AI363" s="3271"/>
      <c r="AJ363" s="3271"/>
      <c r="AK363" s="3271"/>
      <c r="AL363" s="3271"/>
    </row>
    <row r="364" spans="28:38" ht="22" customHeight="1">
      <c r="AB364" s="4" t="s">
        <v>5855</v>
      </c>
      <c r="AC364" s="3271" t="s">
        <v>5927</v>
      </c>
      <c r="AD364" s="3271"/>
      <c r="AE364" s="3271"/>
      <c r="AF364" s="3271"/>
      <c r="AG364" s="3271"/>
      <c r="AH364" s="3271"/>
      <c r="AI364" s="3271"/>
      <c r="AJ364" s="3271"/>
      <c r="AK364" s="3271"/>
      <c r="AL364" s="3271"/>
    </row>
    <row r="365" spans="28:38" ht="22" customHeight="1">
      <c r="AB365" s="3284" t="s">
        <v>5928</v>
      </c>
      <c r="AC365" s="3271" t="s">
        <v>5929</v>
      </c>
      <c r="AD365" s="3271"/>
      <c r="AE365" s="3271"/>
      <c r="AF365" s="3271"/>
      <c r="AG365" s="3271"/>
      <c r="AH365" s="3271"/>
      <c r="AI365" s="3271"/>
      <c r="AJ365" s="3271"/>
      <c r="AK365" s="3271"/>
      <c r="AL365" s="3271"/>
    </row>
    <row r="366" spans="28:38" ht="22" customHeight="1">
      <c r="AB366" s="3285"/>
      <c r="AC366" s="3268" t="s">
        <v>5930</v>
      </c>
      <c r="AD366" s="3271"/>
      <c r="AE366" s="3271"/>
      <c r="AF366" s="3271"/>
      <c r="AG366" s="3271"/>
      <c r="AH366" s="3271"/>
      <c r="AI366" s="3271"/>
      <c r="AJ366" s="3271"/>
      <c r="AK366" s="3271"/>
      <c r="AL366" s="3271"/>
    </row>
    <row r="367" spans="28:38" ht="22" customHeight="1">
      <c r="AB367" s="3285"/>
      <c r="AC367" s="3271"/>
      <c r="AD367" s="3271"/>
      <c r="AE367" s="3271"/>
      <c r="AF367" s="3271"/>
      <c r="AG367" s="3271"/>
      <c r="AH367" s="3271"/>
      <c r="AI367" s="3271"/>
      <c r="AJ367" s="3271"/>
      <c r="AK367" s="3271"/>
      <c r="AL367" s="3271"/>
    </row>
    <row r="368" spans="28:38" ht="22" customHeight="1">
      <c r="AB368" s="3285"/>
      <c r="AC368" s="3271"/>
      <c r="AD368" s="3271"/>
      <c r="AE368" s="3271"/>
      <c r="AF368" s="3271"/>
      <c r="AG368" s="3271"/>
      <c r="AH368" s="3271"/>
      <c r="AI368" s="3271"/>
      <c r="AJ368" s="3271"/>
      <c r="AK368" s="3271"/>
      <c r="AL368" s="3271"/>
    </row>
    <row r="369" spans="28:38" ht="22" customHeight="1">
      <c r="AB369" s="3285"/>
      <c r="AC369" s="3271"/>
      <c r="AD369" s="3271"/>
      <c r="AE369" s="3271"/>
      <c r="AF369" s="3271"/>
      <c r="AG369" s="3271"/>
      <c r="AH369" s="3271"/>
      <c r="AI369" s="3271"/>
      <c r="AJ369" s="3271"/>
      <c r="AK369" s="3271"/>
      <c r="AL369" s="3271"/>
    </row>
    <row r="370" spans="28:38" ht="22" customHeight="1">
      <c r="AB370" s="3285"/>
      <c r="AC370" s="3309" t="s">
        <v>5931</v>
      </c>
      <c r="AD370" s="3309"/>
      <c r="AE370" s="3309"/>
      <c r="AF370" s="3309"/>
      <c r="AG370" s="3309"/>
      <c r="AH370" s="3309"/>
      <c r="AI370" s="3309"/>
      <c r="AJ370" s="3309"/>
      <c r="AK370" s="3309"/>
      <c r="AL370" s="3309"/>
    </row>
    <row r="371" spans="28:38" ht="22" customHeight="1">
      <c r="AB371" s="3269" t="s">
        <v>5932</v>
      </c>
      <c r="AC371" s="3270"/>
      <c r="AD371" s="3270"/>
      <c r="AE371" s="3270"/>
      <c r="AF371" s="3270"/>
      <c r="AG371" s="3270"/>
      <c r="AH371" s="3270"/>
      <c r="AI371" s="3270"/>
      <c r="AJ371" s="3270"/>
      <c r="AK371" s="3270"/>
      <c r="AL371" s="3270"/>
    </row>
    <row r="372" spans="28:38" ht="22" customHeight="1">
      <c r="AB372" s="3284" t="s">
        <v>5899</v>
      </c>
      <c r="AC372" s="3340" t="s">
        <v>5933</v>
      </c>
      <c r="AD372" s="3345"/>
      <c r="AE372" s="3345"/>
      <c r="AF372" s="3345"/>
      <c r="AG372" s="3345"/>
      <c r="AH372" s="3345"/>
      <c r="AI372" s="3345"/>
      <c r="AJ372" s="3345"/>
      <c r="AK372" s="3345"/>
      <c r="AL372" s="3345"/>
    </row>
    <row r="373" spans="28:38" ht="22" customHeight="1">
      <c r="AB373" s="3285"/>
      <c r="AC373" s="3345"/>
      <c r="AD373" s="3345"/>
      <c r="AE373" s="3345"/>
      <c r="AF373" s="3345"/>
      <c r="AG373" s="3345"/>
      <c r="AH373" s="3345"/>
      <c r="AI373" s="3345"/>
      <c r="AJ373" s="3345"/>
      <c r="AK373" s="3345"/>
      <c r="AL373" s="3345"/>
    </row>
    <row r="374" spans="28:38" ht="22" customHeight="1">
      <c r="AB374" s="3285"/>
      <c r="AC374" s="3324" t="s">
        <v>5934</v>
      </c>
      <c r="AD374" s="3287"/>
      <c r="AE374" s="3287"/>
      <c r="AF374" s="3287"/>
      <c r="AG374" s="3287"/>
      <c r="AH374" s="3287"/>
      <c r="AI374" s="3287"/>
      <c r="AJ374" s="3287"/>
      <c r="AK374" s="3287"/>
      <c r="AL374" s="3287"/>
    </row>
    <row r="375" spans="28:38" ht="22" customHeight="1">
      <c r="AB375" s="3285"/>
      <c r="AC375" s="3287"/>
      <c r="AD375" s="3287"/>
      <c r="AE375" s="3287"/>
      <c r="AF375" s="3287"/>
      <c r="AG375" s="3287"/>
      <c r="AH375" s="3287"/>
      <c r="AI375" s="3287"/>
      <c r="AJ375" s="3287"/>
      <c r="AK375" s="3287"/>
      <c r="AL375" s="3287"/>
    </row>
    <row r="376" spans="28:38" ht="22" customHeight="1">
      <c r="AB376" s="3285"/>
      <c r="AC376" s="3287"/>
      <c r="AD376" s="3287"/>
      <c r="AE376" s="3287"/>
      <c r="AF376" s="3287"/>
      <c r="AG376" s="3287"/>
      <c r="AH376" s="3287"/>
      <c r="AI376" s="3287"/>
      <c r="AJ376" s="3287"/>
      <c r="AK376" s="3287"/>
      <c r="AL376" s="3287"/>
    </row>
    <row r="377" spans="28:38" ht="22" customHeight="1">
      <c r="AB377" s="3285"/>
      <c r="AC377" s="3268" t="s">
        <v>5935</v>
      </c>
      <c r="AD377" s="3271"/>
      <c r="AE377" s="3271"/>
      <c r="AF377" s="3271"/>
      <c r="AG377" s="3271"/>
      <c r="AH377" s="3271"/>
      <c r="AI377" s="3271"/>
      <c r="AJ377" s="3271"/>
      <c r="AK377" s="3271"/>
      <c r="AL377" s="3271"/>
    </row>
    <row r="378" spans="28:38" ht="22" customHeight="1">
      <c r="AB378" s="3285"/>
      <c r="AC378" s="3271"/>
      <c r="AD378" s="3271"/>
      <c r="AE378" s="3271"/>
      <c r="AF378" s="3271"/>
      <c r="AG378" s="3271"/>
      <c r="AH378" s="3271"/>
      <c r="AI378" s="3271"/>
      <c r="AJ378" s="3271"/>
      <c r="AK378" s="3271"/>
      <c r="AL378" s="3271"/>
    </row>
    <row r="379" spans="28:38" ht="22" customHeight="1">
      <c r="AB379" s="3285"/>
      <c r="AC379" s="3271" t="s">
        <v>5936</v>
      </c>
      <c r="AD379" s="3271"/>
      <c r="AE379" s="3271"/>
      <c r="AF379" s="3271"/>
      <c r="AG379" s="3271"/>
      <c r="AH379" s="3271"/>
      <c r="AI379" s="3271"/>
      <c r="AJ379" s="3271"/>
      <c r="AK379" s="3271"/>
      <c r="AL379" s="3271"/>
    </row>
    <row r="380" spans="28:38" ht="22" customHeight="1">
      <c r="AB380" s="3285"/>
      <c r="AC380" s="3324" t="s">
        <v>5937</v>
      </c>
      <c r="AD380" s="3324"/>
      <c r="AE380" s="3324"/>
      <c r="AF380" s="3324"/>
      <c r="AG380" s="3324"/>
      <c r="AH380" s="3324"/>
      <c r="AI380" s="3324"/>
      <c r="AJ380" s="3324"/>
      <c r="AK380" s="3324"/>
      <c r="AL380" s="3324"/>
    </row>
    <row r="381" spans="28:38" ht="22" customHeight="1">
      <c r="AB381" s="3285"/>
      <c r="AC381" s="3324"/>
      <c r="AD381" s="3324"/>
      <c r="AE381" s="3324"/>
      <c r="AF381" s="3324"/>
      <c r="AG381" s="3324"/>
      <c r="AH381" s="3324"/>
      <c r="AI381" s="3324"/>
      <c r="AJ381" s="3324"/>
      <c r="AK381" s="3324"/>
      <c r="AL381" s="3324"/>
    </row>
    <row r="382" spans="28:38" ht="22" customHeight="1">
      <c r="AB382" s="3285"/>
      <c r="AC382" s="3324"/>
      <c r="AD382" s="3324"/>
      <c r="AE382" s="3324"/>
      <c r="AF382" s="3324"/>
      <c r="AG382" s="3324"/>
      <c r="AH382" s="3324"/>
      <c r="AI382" s="3324"/>
      <c r="AJ382" s="3324"/>
      <c r="AK382" s="3324"/>
      <c r="AL382" s="3324"/>
    </row>
    <row r="383" spans="28:38" ht="22" customHeight="1">
      <c r="AB383" s="3285"/>
      <c r="AC383" s="3324" t="s">
        <v>5938</v>
      </c>
      <c r="AD383" s="3324"/>
      <c r="AE383" s="3324"/>
      <c r="AF383" s="3324"/>
      <c r="AG383" s="3324"/>
      <c r="AH383" s="3324"/>
      <c r="AI383" s="3324"/>
      <c r="AJ383" s="3324"/>
      <c r="AK383" s="3324"/>
      <c r="AL383" s="3324"/>
    </row>
    <row r="384" spans="28:38" ht="22" customHeight="1">
      <c r="AB384" s="3285"/>
      <c r="AC384" s="3324"/>
      <c r="AD384" s="3324"/>
      <c r="AE384" s="3324"/>
      <c r="AF384" s="3324"/>
      <c r="AG384" s="3324"/>
      <c r="AH384" s="3324"/>
      <c r="AI384" s="3324"/>
      <c r="AJ384" s="3324"/>
      <c r="AK384" s="3324"/>
      <c r="AL384" s="3324"/>
    </row>
    <row r="385" spans="28:38" ht="22" customHeight="1">
      <c r="AB385" s="3285"/>
      <c r="AC385" s="3324"/>
      <c r="AD385" s="3324"/>
      <c r="AE385" s="3324"/>
      <c r="AF385" s="3324"/>
      <c r="AG385" s="3324"/>
      <c r="AH385" s="3324"/>
      <c r="AI385" s="3324"/>
      <c r="AJ385" s="3324"/>
      <c r="AK385" s="3324"/>
      <c r="AL385" s="3324"/>
    </row>
    <row r="386" spans="28:38" ht="22" customHeight="1">
      <c r="AB386" s="3298" t="s">
        <v>5847</v>
      </c>
      <c r="AC386" s="3268" t="s">
        <v>5939</v>
      </c>
      <c r="AD386" s="3271"/>
      <c r="AE386" s="3271"/>
      <c r="AF386" s="3271"/>
      <c r="AG386" s="3271"/>
      <c r="AH386" s="3271"/>
      <c r="AI386" s="3271"/>
      <c r="AJ386" s="3271"/>
      <c r="AK386" s="3271"/>
      <c r="AL386" s="3271"/>
    </row>
    <row r="387" spans="28:38" ht="22" customHeight="1">
      <c r="AB387" s="3311"/>
      <c r="AC387" s="3271"/>
      <c r="AD387" s="3271"/>
      <c r="AE387" s="3271"/>
      <c r="AF387" s="3271"/>
      <c r="AG387" s="3271"/>
      <c r="AH387" s="3271"/>
      <c r="AI387" s="3271"/>
      <c r="AJ387" s="3271"/>
      <c r="AK387" s="3271"/>
      <c r="AL387" s="3271"/>
    </row>
    <row r="388" spans="28:38" ht="22" customHeight="1">
      <c r="AB388" s="10" t="s">
        <v>5558</v>
      </c>
      <c r="AC388" s="3271" t="s">
        <v>5940</v>
      </c>
      <c r="AD388" s="3271"/>
      <c r="AE388" s="3271"/>
      <c r="AF388" s="3271"/>
      <c r="AG388" s="3271"/>
      <c r="AH388" s="3271"/>
      <c r="AI388" s="3271"/>
      <c r="AJ388" s="3271"/>
      <c r="AK388" s="3271"/>
      <c r="AL388" s="3271"/>
    </row>
    <row r="389" spans="28:38" ht="22" customHeight="1">
      <c r="AB389" s="3284" t="s">
        <v>5941</v>
      </c>
      <c r="AC389" s="3271" t="s">
        <v>5942</v>
      </c>
      <c r="AD389" s="3271"/>
      <c r="AE389" s="3271"/>
      <c r="AF389" s="3271"/>
      <c r="AG389" s="3271"/>
      <c r="AH389" s="3271"/>
      <c r="AI389" s="3271"/>
      <c r="AJ389" s="3271"/>
      <c r="AK389" s="3271"/>
      <c r="AL389" s="3271"/>
    </row>
    <row r="390" spans="28:38" ht="22" customHeight="1">
      <c r="AB390" s="3285"/>
      <c r="AC390" s="3271" t="s">
        <v>5943</v>
      </c>
      <c r="AD390" s="3271"/>
      <c r="AE390" s="3271"/>
      <c r="AF390" s="3271"/>
      <c r="AG390" s="3271"/>
      <c r="AH390" s="3271"/>
      <c r="AI390" s="3271"/>
      <c r="AJ390" s="3271"/>
      <c r="AK390" s="3271"/>
      <c r="AL390" s="3271"/>
    </row>
  </sheetData>
  <sheetProtection sheet="1" objects="1"/>
  <mergeCells count="518">
    <mergeCell ref="AC301:AL302"/>
    <mergeCell ref="AC293:AL296"/>
    <mergeCell ref="AC283:AL289"/>
    <mergeCell ref="AC270:AL273"/>
    <mergeCell ref="AC261:AL262"/>
    <mergeCell ref="AC265:AL266"/>
    <mergeCell ref="AC268:AL269"/>
    <mergeCell ref="AC237:AL241"/>
    <mergeCell ref="AC249:AL253"/>
    <mergeCell ref="AC247:AL248"/>
    <mergeCell ref="Q160:Z163"/>
    <mergeCell ref="Q142:Z144"/>
    <mergeCell ref="Q124:Z128"/>
    <mergeCell ref="Q137:Z138"/>
    <mergeCell ref="Q147:Z148"/>
    <mergeCell ref="Q139:Z141"/>
    <mergeCell ref="Q145:Z146"/>
    <mergeCell ref="AC133:AL135"/>
    <mergeCell ref="AC122:AL124"/>
    <mergeCell ref="AC129:AL132"/>
    <mergeCell ref="AC138:AL147"/>
    <mergeCell ref="Q158:Z159"/>
    <mergeCell ref="Q149:Z153"/>
    <mergeCell ref="AC163:AL165"/>
    <mergeCell ref="Q164:Z165"/>
    <mergeCell ref="Q121:Z122"/>
    <mergeCell ref="Q135:Z136"/>
    <mergeCell ref="AC148:AL152"/>
    <mergeCell ref="AO79:AX83"/>
    <mergeCell ref="Q83:Z84"/>
    <mergeCell ref="AC75:AL79"/>
    <mergeCell ref="Q76:Z77"/>
    <mergeCell ref="Q78:Z80"/>
    <mergeCell ref="AC80:AL81"/>
    <mergeCell ref="Q57:Z58"/>
    <mergeCell ref="AO64:AX66"/>
    <mergeCell ref="AO62:AX63"/>
    <mergeCell ref="Q62:Z63"/>
    <mergeCell ref="Q59:Z60"/>
    <mergeCell ref="Q64:Z65"/>
    <mergeCell ref="Q66:Z67"/>
    <mergeCell ref="AO67:AX78"/>
    <mergeCell ref="AC72:AL73"/>
    <mergeCell ref="AC60:AL62"/>
    <mergeCell ref="AC63:AL65"/>
    <mergeCell ref="Q70:Z71"/>
    <mergeCell ref="Q68:Z69"/>
    <mergeCell ref="Q48:Z49"/>
    <mergeCell ref="AC53:AL57"/>
    <mergeCell ref="Q55:Z56"/>
    <mergeCell ref="AC46:AL48"/>
    <mergeCell ref="AC49:AL51"/>
    <mergeCell ref="Q50:Z51"/>
    <mergeCell ref="AN1:AX2"/>
    <mergeCell ref="Q15:Z17"/>
    <mergeCell ref="Q18:Z20"/>
    <mergeCell ref="F13:N14"/>
    <mergeCell ref="AC5:AL6"/>
    <mergeCell ref="Q4:Z6"/>
    <mergeCell ref="D3:E4"/>
    <mergeCell ref="F5:N6"/>
    <mergeCell ref="D7:E8"/>
    <mergeCell ref="F3:N4"/>
    <mergeCell ref="Q7:Z9"/>
    <mergeCell ref="D5:E6"/>
    <mergeCell ref="P1:Z2"/>
    <mergeCell ref="AC7:AL10"/>
    <mergeCell ref="Q12:Z13"/>
    <mergeCell ref="Q10:Z11"/>
    <mergeCell ref="AO4:AX15"/>
    <mergeCell ref="AC11:AL13"/>
    <mergeCell ref="D13:E14"/>
    <mergeCell ref="AB1:AL2"/>
    <mergeCell ref="F7:N8"/>
    <mergeCell ref="D9:E10"/>
    <mergeCell ref="AB17:AL17"/>
    <mergeCell ref="AC18:AL18"/>
    <mergeCell ref="Q95:Z96"/>
    <mergeCell ref="Q93:Z94"/>
    <mergeCell ref="Q91:Z92"/>
    <mergeCell ref="D1:N2"/>
    <mergeCell ref="D19:N20"/>
    <mergeCell ref="F11:N12"/>
    <mergeCell ref="F9:N10"/>
    <mergeCell ref="D17:N18"/>
    <mergeCell ref="D11:E12"/>
    <mergeCell ref="D21:N22"/>
    <mergeCell ref="D29:N30"/>
    <mergeCell ref="Q44:Z45"/>
    <mergeCell ref="Q26:Z40"/>
    <mergeCell ref="Q52:Z54"/>
    <mergeCell ref="P91:P96"/>
    <mergeCell ref="D60:F60"/>
    <mergeCell ref="G60:N60"/>
    <mergeCell ref="D61:F61"/>
    <mergeCell ref="G61:N61"/>
    <mergeCell ref="P61:Z61"/>
    <mergeCell ref="G55:N55"/>
    <mergeCell ref="D48:F48"/>
    <mergeCell ref="G48:N48"/>
    <mergeCell ref="D49:F49"/>
    <mergeCell ref="AB389:AB390"/>
    <mergeCell ref="AN4:AN15"/>
    <mergeCell ref="AN17:AN36"/>
    <mergeCell ref="AN37:AN41"/>
    <mergeCell ref="AN42:AN49"/>
    <mergeCell ref="AN50:AN60"/>
    <mergeCell ref="AN61:AN83"/>
    <mergeCell ref="AC380:AL382"/>
    <mergeCell ref="AC366:AL369"/>
    <mergeCell ref="AC356:AL358"/>
    <mergeCell ref="AC377:AL378"/>
    <mergeCell ref="AC374:AL376"/>
    <mergeCell ref="AC331:AL333"/>
    <mergeCell ref="AC315:AL319"/>
    <mergeCell ref="AC306:AL307"/>
    <mergeCell ref="AC337:AL338"/>
    <mergeCell ref="AC344:AL345"/>
    <mergeCell ref="AC340:AL341"/>
    <mergeCell ref="AC347:AL348"/>
    <mergeCell ref="AC31:AL36"/>
    <mergeCell ref="AC29:AL30"/>
    <mergeCell ref="AC102:AL103"/>
    <mergeCell ref="AC309:AL310"/>
    <mergeCell ref="AC243:AL245"/>
    <mergeCell ref="AC303:AL303"/>
    <mergeCell ref="AC304:AL304"/>
    <mergeCell ref="AC305:AL305"/>
    <mergeCell ref="AC308:AL308"/>
    <mergeCell ref="AC26:AL28"/>
    <mergeCell ref="AB361:AB363"/>
    <mergeCell ref="AB365:AB370"/>
    <mergeCell ref="AB372:AB385"/>
    <mergeCell ref="AB386:AB387"/>
    <mergeCell ref="AC227:AL228"/>
    <mergeCell ref="AC209:AL213"/>
    <mergeCell ref="AC217:AL218"/>
    <mergeCell ref="AC201:AL202"/>
    <mergeCell ref="AC168:AL169"/>
    <mergeCell ref="AC383:AL385"/>
    <mergeCell ref="AC349:AL350"/>
    <mergeCell ref="AC386:AL387"/>
    <mergeCell ref="AC117:AL120"/>
    <mergeCell ref="AC372:AL373"/>
    <mergeCell ref="AC221:AL223"/>
    <mergeCell ref="AC230:AL235"/>
    <mergeCell ref="AC205:AL207"/>
    <mergeCell ref="AC176:AL178"/>
    <mergeCell ref="AC170:AL171"/>
    <mergeCell ref="AB351:AL351"/>
    <mergeCell ref="AC354:AL354"/>
    <mergeCell ref="AC311:AL311"/>
    <mergeCell ref="AC312:AL312"/>
    <mergeCell ref="AC313:AL313"/>
    <mergeCell ref="AC314:AL314"/>
    <mergeCell ref="AB326:AL326"/>
    <mergeCell ref="AC327:AL327"/>
    <mergeCell ref="AC328:AL328"/>
    <mergeCell ref="AC329:AL329"/>
    <mergeCell ref="AC330:AL330"/>
    <mergeCell ref="AC320:AL325"/>
    <mergeCell ref="AB308:AB311"/>
    <mergeCell ref="AB312:AB313"/>
    <mergeCell ref="AB315:AB319"/>
    <mergeCell ref="AB320:AB325"/>
    <mergeCell ref="AB328:AB346"/>
    <mergeCell ref="AB347:AB348"/>
    <mergeCell ref="AB349:AB350"/>
    <mergeCell ref="AC352:AL353"/>
    <mergeCell ref="AB63:AB65"/>
    <mergeCell ref="AB68:AB70"/>
    <mergeCell ref="AB72:AB73"/>
    <mergeCell ref="AB75:AB92"/>
    <mergeCell ref="AB93:AB95"/>
    <mergeCell ref="AB96:AB97"/>
    <mergeCell ref="AB98:AB100"/>
    <mergeCell ref="AB101:AB104"/>
    <mergeCell ref="AB105:AB108"/>
    <mergeCell ref="AC334:AL334"/>
    <mergeCell ref="AC335:AL335"/>
    <mergeCell ref="AC336:AL336"/>
    <mergeCell ref="AC339:AL339"/>
    <mergeCell ref="AC342:AL342"/>
    <mergeCell ref="AC343:AL343"/>
    <mergeCell ref="AC346:AL346"/>
    <mergeCell ref="P160:P163"/>
    <mergeCell ref="P164:P165"/>
    <mergeCell ref="AB204:AB215"/>
    <mergeCell ref="AB216:AB218"/>
    <mergeCell ref="AB220:AB224"/>
    <mergeCell ref="AB226:AB235"/>
    <mergeCell ref="AB236:AB241"/>
    <mergeCell ref="AB242:AB253"/>
    <mergeCell ref="AB254:AB255"/>
    <mergeCell ref="AB257:AB259"/>
    <mergeCell ref="AB261:AB262"/>
    <mergeCell ref="AC292:AL292"/>
    <mergeCell ref="AC297:AL297"/>
    <mergeCell ref="AC298:AL298"/>
    <mergeCell ref="AB292:AB307"/>
    <mergeCell ref="AC299:AL299"/>
    <mergeCell ref="AC300:AL300"/>
    <mergeCell ref="AB371:AL371"/>
    <mergeCell ref="AC359:AL359"/>
    <mergeCell ref="AC360:AL360"/>
    <mergeCell ref="AC361:AL361"/>
    <mergeCell ref="AC362:AL362"/>
    <mergeCell ref="AC363:AL363"/>
    <mergeCell ref="AC364:AL364"/>
    <mergeCell ref="AC365:AL365"/>
    <mergeCell ref="AC370:AL370"/>
    <mergeCell ref="AB352:AB360"/>
    <mergeCell ref="AC379:AL379"/>
    <mergeCell ref="AC388:AL388"/>
    <mergeCell ref="AC389:AL389"/>
    <mergeCell ref="AC390:AL390"/>
    <mergeCell ref="P4:P6"/>
    <mergeCell ref="P7:P9"/>
    <mergeCell ref="P10:P11"/>
    <mergeCell ref="P12:P13"/>
    <mergeCell ref="P15:P17"/>
    <mergeCell ref="P18:P20"/>
    <mergeCell ref="P21:P22"/>
    <mergeCell ref="P23:P24"/>
    <mergeCell ref="P26:P40"/>
    <mergeCell ref="P41:P42"/>
    <mergeCell ref="P44:P47"/>
    <mergeCell ref="P48:P51"/>
    <mergeCell ref="P52:P54"/>
    <mergeCell ref="P55:P56"/>
    <mergeCell ref="P57:P58"/>
    <mergeCell ref="P59:P60"/>
    <mergeCell ref="P62:P63"/>
    <mergeCell ref="P64:P65"/>
    <mergeCell ref="P66:P67"/>
    <mergeCell ref="AC355:AL355"/>
    <mergeCell ref="AC276:AL276"/>
    <mergeCell ref="AB277:AL277"/>
    <mergeCell ref="AC278:AL278"/>
    <mergeCell ref="AC279:AL279"/>
    <mergeCell ref="AC280:AL280"/>
    <mergeCell ref="AC281:AL281"/>
    <mergeCell ref="AC282:AL282"/>
    <mergeCell ref="AC290:AL290"/>
    <mergeCell ref="AB291:AL291"/>
    <mergeCell ref="AB279:AB282"/>
    <mergeCell ref="AB283:AB289"/>
    <mergeCell ref="AC258:AL258"/>
    <mergeCell ref="AC259:AL259"/>
    <mergeCell ref="AC260:AL260"/>
    <mergeCell ref="AB263:AL263"/>
    <mergeCell ref="AC264:AL264"/>
    <mergeCell ref="AC267:AL267"/>
    <mergeCell ref="AC274:AL274"/>
    <mergeCell ref="AC275:AL275"/>
    <mergeCell ref="AB264:AB273"/>
    <mergeCell ref="AC226:AL226"/>
    <mergeCell ref="AC229:AL229"/>
    <mergeCell ref="AC236:AL236"/>
    <mergeCell ref="AC242:AL242"/>
    <mergeCell ref="AC246:AL246"/>
    <mergeCell ref="AC254:AL254"/>
    <mergeCell ref="AC255:AL255"/>
    <mergeCell ref="AB256:AL256"/>
    <mergeCell ref="AC257:AL257"/>
    <mergeCell ref="AC204:AL204"/>
    <mergeCell ref="AC208:AL208"/>
    <mergeCell ref="AC214:AL214"/>
    <mergeCell ref="AC215:AL215"/>
    <mergeCell ref="AC216:AL216"/>
    <mergeCell ref="AC219:AL219"/>
    <mergeCell ref="AC220:AL220"/>
    <mergeCell ref="AC224:AL224"/>
    <mergeCell ref="AB225:AL225"/>
    <mergeCell ref="AC192:AL192"/>
    <mergeCell ref="AC193:AL193"/>
    <mergeCell ref="AC194:AL194"/>
    <mergeCell ref="AC195:AL195"/>
    <mergeCell ref="AC196:AL196"/>
    <mergeCell ref="AB197:AL197"/>
    <mergeCell ref="AC198:AL198"/>
    <mergeCell ref="AC199:AL199"/>
    <mergeCell ref="AC200:AL200"/>
    <mergeCell ref="AB195:AB196"/>
    <mergeCell ref="AB198:AB203"/>
    <mergeCell ref="AC203:AL203"/>
    <mergeCell ref="AC181:AL181"/>
    <mergeCell ref="AC182:AL182"/>
    <mergeCell ref="AC183:AL183"/>
    <mergeCell ref="AC184:AL184"/>
    <mergeCell ref="AB185:AL185"/>
    <mergeCell ref="AC186:AL186"/>
    <mergeCell ref="AC189:AL189"/>
    <mergeCell ref="AC190:AL190"/>
    <mergeCell ref="AC191:AL191"/>
    <mergeCell ref="AB180:AB184"/>
    <mergeCell ref="AB186:AB191"/>
    <mergeCell ref="AC187:AL188"/>
    <mergeCell ref="AB160:AL160"/>
    <mergeCell ref="AC161:AL161"/>
    <mergeCell ref="AB162:AL162"/>
    <mergeCell ref="AC172:AL172"/>
    <mergeCell ref="AC173:AL173"/>
    <mergeCell ref="AC174:AL174"/>
    <mergeCell ref="AC175:AL175"/>
    <mergeCell ref="AC179:AL179"/>
    <mergeCell ref="AC180:AL180"/>
    <mergeCell ref="AB163:AB178"/>
    <mergeCell ref="AC166:AL167"/>
    <mergeCell ref="AC137:AL137"/>
    <mergeCell ref="AC153:AL153"/>
    <mergeCell ref="AC154:AL154"/>
    <mergeCell ref="AC155:AL155"/>
    <mergeCell ref="AC156:AL156"/>
    <mergeCell ref="P157:Z157"/>
    <mergeCell ref="AB157:AL157"/>
    <mergeCell ref="AC158:AL158"/>
    <mergeCell ref="AC159:AL159"/>
    <mergeCell ref="P134:P141"/>
    <mergeCell ref="P142:P144"/>
    <mergeCell ref="P145:P146"/>
    <mergeCell ref="P147:P148"/>
    <mergeCell ref="P149:P153"/>
    <mergeCell ref="P158:P159"/>
    <mergeCell ref="AB129:AB137"/>
    <mergeCell ref="AB138:AB154"/>
    <mergeCell ref="AB155:AB156"/>
    <mergeCell ref="Q130:Z132"/>
    <mergeCell ref="Q123:Z123"/>
    <mergeCell ref="AC125:AL125"/>
    <mergeCell ref="AC126:AL126"/>
    <mergeCell ref="AC127:AL127"/>
    <mergeCell ref="AC128:AL128"/>
    <mergeCell ref="P129:Z129"/>
    <mergeCell ref="P133:Z133"/>
    <mergeCell ref="Q134:Z134"/>
    <mergeCell ref="AC136:AL136"/>
    <mergeCell ref="P116:P123"/>
    <mergeCell ref="P124:P128"/>
    <mergeCell ref="P130:P132"/>
    <mergeCell ref="AB117:AB124"/>
    <mergeCell ref="AB125:AB128"/>
    <mergeCell ref="AC110:AL110"/>
    <mergeCell ref="AC111:AL111"/>
    <mergeCell ref="AC112:AL112"/>
    <mergeCell ref="AB113:AL113"/>
    <mergeCell ref="AC114:AL114"/>
    <mergeCell ref="P115:Z115"/>
    <mergeCell ref="AC115:AL115"/>
    <mergeCell ref="AC116:AL116"/>
    <mergeCell ref="AC121:AL121"/>
    <mergeCell ref="Q110:Z114"/>
    <mergeCell ref="Q116:Z117"/>
    <mergeCell ref="Q118:Z120"/>
    <mergeCell ref="P110:P114"/>
    <mergeCell ref="AB109:AB112"/>
    <mergeCell ref="AB114:AB115"/>
    <mergeCell ref="AC100:AL100"/>
    <mergeCell ref="AC101:AL101"/>
    <mergeCell ref="P104:Z104"/>
    <mergeCell ref="AC104:AL104"/>
    <mergeCell ref="AC105:AL105"/>
    <mergeCell ref="AC106:AL106"/>
    <mergeCell ref="AC107:AL107"/>
    <mergeCell ref="AC108:AL108"/>
    <mergeCell ref="AC109:AL109"/>
    <mergeCell ref="Q108:Z109"/>
    <mergeCell ref="P97:P100"/>
    <mergeCell ref="P101:P103"/>
    <mergeCell ref="P105:P107"/>
    <mergeCell ref="P108:P109"/>
    <mergeCell ref="Q105:Z107"/>
    <mergeCell ref="Q101:Z103"/>
    <mergeCell ref="Q97:Z98"/>
    <mergeCell ref="Q99:Z100"/>
    <mergeCell ref="AC91:AL91"/>
    <mergeCell ref="AC92:AL92"/>
    <mergeCell ref="AC93:AL93"/>
    <mergeCell ref="AC94:AL94"/>
    <mergeCell ref="AC95:AL95"/>
    <mergeCell ref="AC96:AL96"/>
    <mergeCell ref="AC97:AL97"/>
    <mergeCell ref="AC98:AL98"/>
    <mergeCell ref="AC99:AL99"/>
    <mergeCell ref="AC83:AL83"/>
    <mergeCell ref="AC84:AL84"/>
    <mergeCell ref="AC85:AL85"/>
    <mergeCell ref="AC86:AL86"/>
    <mergeCell ref="AC87:AL87"/>
    <mergeCell ref="AC88:AL88"/>
    <mergeCell ref="AC89:AL89"/>
    <mergeCell ref="P90:Z90"/>
    <mergeCell ref="AC90:AL90"/>
    <mergeCell ref="P81:P84"/>
    <mergeCell ref="P85:P89"/>
    <mergeCell ref="Q81:Z82"/>
    <mergeCell ref="Q85:Z89"/>
    <mergeCell ref="AC66:AL66"/>
    <mergeCell ref="AB67:AL67"/>
    <mergeCell ref="AC68:AL68"/>
    <mergeCell ref="AC69:AL69"/>
    <mergeCell ref="AC70:AL70"/>
    <mergeCell ref="AC71:AL71"/>
    <mergeCell ref="AB74:AL74"/>
    <mergeCell ref="P75:Z75"/>
    <mergeCell ref="AC82:AL82"/>
    <mergeCell ref="P68:P69"/>
    <mergeCell ref="P70:P71"/>
    <mergeCell ref="P72:P74"/>
    <mergeCell ref="P76:P80"/>
    <mergeCell ref="Q72:Z74"/>
    <mergeCell ref="AO61:AX61"/>
    <mergeCell ref="D62:F62"/>
    <mergeCell ref="G62:N62"/>
    <mergeCell ref="D63:F63"/>
    <mergeCell ref="G63:N63"/>
    <mergeCell ref="AO51:AX60"/>
    <mergeCell ref="D56:F56"/>
    <mergeCell ref="G56:N56"/>
    <mergeCell ref="D57:F57"/>
    <mergeCell ref="G57:N57"/>
    <mergeCell ref="D58:F58"/>
    <mergeCell ref="G58:N58"/>
    <mergeCell ref="AC58:AL58"/>
    <mergeCell ref="D59:F59"/>
    <mergeCell ref="G59:N59"/>
    <mergeCell ref="AC59:AL59"/>
    <mergeCell ref="D52:F52"/>
    <mergeCell ref="G52:N52"/>
    <mergeCell ref="AC52:AL52"/>
    <mergeCell ref="D53:F53"/>
    <mergeCell ref="G53:N53"/>
    <mergeCell ref="D54:F54"/>
    <mergeCell ref="G54:N54"/>
    <mergeCell ref="D55:F55"/>
    <mergeCell ref="G49:N49"/>
    <mergeCell ref="D50:F50"/>
    <mergeCell ref="G50:N50"/>
    <mergeCell ref="AO50:AX50"/>
    <mergeCell ref="D51:F51"/>
    <mergeCell ref="G51:N51"/>
    <mergeCell ref="AO45:AX49"/>
    <mergeCell ref="D44:F44"/>
    <mergeCell ref="G44:N44"/>
    <mergeCell ref="AC44:AL44"/>
    <mergeCell ref="D45:F45"/>
    <mergeCell ref="G45:N45"/>
    <mergeCell ref="AC45:AL45"/>
    <mergeCell ref="D46:F46"/>
    <mergeCell ref="G46:N46"/>
    <mergeCell ref="D47:F47"/>
    <mergeCell ref="G47:N47"/>
    <mergeCell ref="AB44:AB62"/>
    <mergeCell ref="Q46:Z47"/>
    <mergeCell ref="AO42:AX44"/>
    <mergeCell ref="D41:F41"/>
    <mergeCell ref="G41:N41"/>
    <mergeCell ref="AC41:AL41"/>
    <mergeCell ref="D42:F42"/>
    <mergeCell ref="G42:N42"/>
    <mergeCell ref="AC42:AL42"/>
    <mergeCell ref="D43:F43"/>
    <mergeCell ref="G43:N43"/>
    <mergeCell ref="P43:Z43"/>
    <mergeCell ref="AB43:AL43"/>
    <mergeCell ref="AB39:AB41"/>
    <mergeCell ref="Q41:Z42"/>
    <mergeCell ref="AO37:AX37"/>
    <mergeCell ref="D38:F38"/>
    <mergeCell ref="G38:N38"/>
    <mergeCell ref="AC38:AL38"/>
    <mergeCell ref="D39:F39"/>
    <mergeCell ref="G39:N39"/>
    <mergeCell ref="AC39:AL39"/>
    <mergeCell ref="D40:F40"/>
    <mergeCell ref="G40:N40"/>
    <mergeCell ref="AC40:AL40"/>
    <mergeCell ref="AB26:AB37"/>
    <mergeCell ref="AO24:AX26"/>
    <mergeCell ref="D25:N26"/>
    <mergeCell ref="D33:N34"/>
    <mergeCell ref="Q23:Z24"/>
    <mergeCell ref="AO27:AX36"/>
    <mergeCell ref="D31:N32"/>
    <mergeCell ref="AO38:AX41"/>
    <mergeCell ref="P25:Z25"/>
    <mergeCell ref="AB25:AL25"/>
    <mergeCell ref="D28:N28"/>
    <mergeCell ref="D35:N35"/>
    <mergeCell ref="D36:F36"/>
    <mergeCell ref="G36:N36"/>
    <mergeCell ref="D37:F37"/>
    <mergeCell ref="G37:N37"/>
    <mergeCell ref="AC37:AL37"/>
    <mergeCell ref="P3:Z3"/>
    <mergeCell ref="AB3:AL3"/>
    <mergeCell ref="AN3:AX3"/>
    <mergeCell ref="AC4:AL4"/>
    <mergeCell ref="P14:Z14"/>
    <mergeCell ref="AC14:AL14"/>
    <mergeCell ref="AC15:AL15"/>
    <mergeCell ref="D24:N24"/>
    <mergeCell ref="AC24:AL24"/>
    <mergeCell ref="AB4:AB10"/>
    <mergeCell ref="AB11:AB13"/>
    <mergeCell ref="AB18:AB22"/>
    <mergeCell ref="Q21:Z22"/>
    <mergeCell ref="AO17:AX21"/>
    <mergeCell ref="D16:N16"/>
    <mergeCell ref="AC16:AL16"/>
    <mergeCell ref="AN16:AX16"/>
    <mergeCell ref="AC19:AL19"/>
    <mergeCell ref="AC20:AL20"/>
    <mergeCell ref="AC21:AL21"/>
    <mergeCell ref="AC22:AL22"/>
    <mergeCell ref="AO22:AX22"/>
    <mergeCell ref="AC23:AL23"/>
    <mergeCell ref="AO23:AX23"/>
  </mergeCells>
  <hyperlinks>
    <hyperlink ref="F3" r:id="rId1" xr:uid="{00000000-0004-0000-0C00-000000000000}"/>
    <hyperlink ref="F5" r:id="rId2" xr:uid="{00000000-0004-0000-0C00-000001000000}"/>
    <hyperlink ref="F7" r:id="rId3" xr:uid="{00000000-0004-0000-0C00-000002000000}"/>
    <hyperlink ref="F9" r:id="rId4" xr:uid="{00000000-0004-0000-0C00-000003000000}"/>
    <hyperlink ref="F11" r:id="rId5" xr:uid="{00000000-0004-0000-0C00-000004000000}"/>
    <hyperlink ref="F13" r:id="rId6" xr:uid="{00000000-0004-0000-0C00-000005000000}"/>
  </hyperlinks>
  <pageMargins left="0.75" right="0.75" top="1" bottom="1" header="0.51180555555555596" footer="0.5118055555555559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资产" rangeCreator="" othersAccessPermission="edit"/>
    <arrUserId title="肖像" rangeCreator="" othersAccessPermission="edit"/>
    <arrUserId title="武器表" rangeCreator="" othersAccessPermission="edit"/>
    <arrUserId title="随身物品" rangeCreator="" othersAccessPermission="edit"/>
    <arrUserId title="属性" rangeCreator="" othersAccessPermission="edit"/>
    <arrUserId title="神话相关" rangeCreator="" othersAccessPermission="edit"/>
    <arrUserId title="技能表" rangeCreator="" othersAccessPermission="edit"/>
    <arrUserId title="法术一览" rangeCreator="" othersAccessPermission="edit"/>
    <arrUserId title="调查员信息" rangeCreator="" othersAccessPermission="edit"/>
    <arrUserId title="调查员经历" rangeCreator="" othersAccessPermission="edit"/>
    <arrUserId title="调查员伙伴" rangeCreator="" othersAccessPermission="edit"/>
    <arrUserId title="背景故事" rangeCreator="" othersAccessPermission="edit"/>
    <arrUserId title="自定义" rangeCreator="" othersAccessPermission="edit"/>
  </rangeList>
  <rangeList sheetStid="2" master=""/>
  <rangeList sheetStid="3" master="">
    <arrUserId title="自定义职业" rangeCreator="" othersAccessPermission="edit"/>
  </rangeList>
  <rangeList sheetStid="4" master=""/>
  <rangeList sheetStid="5" master=""/>
  <rangeList sheetStid="6" master=""/>
  <rangeList sheetStid="7" master="">
    <arrUserId title="技能查询" rangeCreator="" othersAccessPermission="edit"/>
  </rangeList>
  <rangeList sheetStid="8" master=""/>
  <rangeList sheetStid="9" master=""/>
  <rangeList sheetStid="10" master="">
    <arrUserId title="毒剂名称" rangeCreator="" othersAccessPermission="edit"/>
  </rangeList>
  <rangeList sheetStid="11" master=""/>
  <rangeList sheetStid="12" master=""/>
  <rangeList sheetStid="13"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Wen, Ashley</cp:lastModifiedBy>
  <dcterms:created xsi:type="dcterms:W3CDTF">2025-03-13T17:09:00Z</dcterms:created>
  <dcterms:modified xsi:type="dcterms:W3CDTF">2026-09-29T21:41:21Z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9ADA7B38677645C1BB0F3FD4019055CB_13</vt:lpwstr>
  </property>
  <property fmtid="{D5CDD505-2E9C-101B-9397-08002B2CF9AE}" pid="3" name="KSOProductBuildVer">
    <vt:lpwstr>1028-6.5.2.8766</vt:lpwstr>
  </property>
</Properties>
</file>